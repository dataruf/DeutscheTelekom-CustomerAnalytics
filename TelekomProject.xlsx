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comments1.xml" ContentType="application/vnd.openxmlformats-officedocument.spreadsheetml.comments+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dataruf\Desktop\"/>
    </mc:Choice>
  </mc:AlternateContent>
  <xr:revisionPtr revIDLastSave="0" documentId="8_{DF375D15-E825-4989-92A3-4E1E1F8E2175}" xr6:coauthVersionLast="47" xr6:coauthVersionMax="47" xr10:uidLastSave="{00000000-0000-0000-0000-000000000000}"/>
  <bookViews>
    <workbookView xWindow="-108" yWindow="-108" windowWidth="23256" windowHeight="12456" activeTab="4" xr2:uid="{B9F39441-1F04-480F-9470-D4AEA07889E7}"/>
  </bookViews>
  <sheets>
    <sheet name="Cohort" sheetId="1" r:id="rId1"/>
    <sheet name="Stabillik" sheetId="2" r:id="rId2"/>
    <sheet name="Pareto" sheetId="4" r:id="rId3"/>
    <sheet name="pivot" sheetId="7" r:id="rId4"/>
    <sheet name="endirim" sheetId="8" r:id="rId5"/>
  </sheets>
  <definedNames>
    <definedName name="_xlnm._FilterDatabase" localSheetId="1" hidden="1">Stabillik!#REF!</definedName>
    <definedName name="Slicer_campaign_name">#N/A</definedName>
  </definedNames>
  <calcPr calcId="191029"/>
  <pivotCaches>
    <pivotCache cacheId="0" r:id="rId6"/>
    <pivotCache cacheId="1" r:id="rId7"/>
    <pivotCache cacheId="2" r:id="rId8"/>
    <pivotCache cacheId="3" r:id="rId9"/>
    <pivotCache cacheId="4"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mpaign_7ad60341-f3e6-4893-9092-5947e638e60a" name="campaign" connection="Query - campaign"/>
          <x15:modelTable id="data_41439b99-21d2-4a85-aeef-3a43814d9c51" name="data" connection="Query - data"/>
          <x15:modelTable id="customer_2d112005-515e-4d9d-b6a8-012373e0518b" name="customer" connection="Query - customer"/>
        </x15:modelTables>
        <x15:modelRelationships>
          <x15:modelRelationship fromTable="data" fromColumn="id_campaign" toTable="campaign" toColumn="id"/>
          <x15:modelRelationship fromTable="data" fromColumn="id_customer" toTable="customer" toColumn="id"/>
        </x15:modelRelationships>
        <x15:extLst>
          <ext xmlns:x16="http://schemas.microsoft.com/office/spreadsheetml/2014/11/main" uri="{9835A34E-60A6-4A7C-AAB8-D5F71C897F49}">
            <x16:modelTimeGroupings>
              <x16:modelTimeGrouping tableName="data" columnName="join_date" columnId="join_date">
                <x16:calculatedTimeColumn columnName="join_date (Year)" columnId="join_date (Year)" contentType="years" isSelected="1"/>
                <x16:calculatedTimeColumn columnName="join_date (Quarter)" columnId="join_date (Quarter)" contentType="quarters" isSelected="1"/>
                <x16:calculatedTimeColumn columnName="join_date (Month Index)" columnId="join_date (Month Index)" contentType="monthsindex" isSelected="1"/>
                <x16:calculatedTimeColumn columnName="join_date (Month)" columnId="join_date (Month)" contentType="months" isSelected="1"/>
              </x16:modelTimeGrouping>
              <x16:modelTimeGrouping tableName="data" columnName="buy_date" columnId="buy_date">
                <x16:calculatedTimeColumn columnName="buy_date (Year)" columnId="buy_date (Year)" contentType="years" isSelected="1"/>
                <x16:calculatedTimeColumn columnName="buy_date (Quarter)" columnId="buy_date (Quarter)" contentType="quarters" isSelected="1"/>
                <x16:calculatedTimeColumn columnName="buy_date (Month Index)" columnId="buy_date (Month Index)" contentType="monthsindex" isSelected="1"/>
                <x16:calculatedTimeColumn columnName="buy_date (Month)" columnId="buy_date (Month)" contentType="months" isSelected="1"/>
              </x16:modelTimeGrouping>
              <x16:modelTimeGrouping tableName="campaign" columnName="activate_date" columnId="activate_date">
                <x16:calculatedTimeColumn columnName="activate_date (Year)" columnId="activate_date (Year)" contentType="years" isSelected="1"/>
                <x16:calculatedTimeColumn columnName="activate_date (Quarter)" columnId="activate_date (Quarter)" contentType="quarters" isSelected="1"/>
                <x16:calculatedTimeColumn columnName="activate_date (Month Index)" columnId="activate_date (Month Index)" contentType="monthsindex" isSelected="1"/>
                <x16:calculatedTimeColumn columnName="activate_date (Month)" columnId="activat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4" i="8" l="1"/>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7" i="8"/>
  <c r="G778" i="8"/>
  <c r="G779" i="8"/>
  <c r="G780" i="8"/>
  <c r="G781"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6" i="8"/>
  <c r="G927"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C4" i="8" a="1"/>
  <c r="C4" i="8" s="1"/>
  <c r="C5" i="8" a="1"/>
  <c r="C5" i="8" s="1"/>
  <c r="C6" i="8" a="1"/>
  <c r="C6" i="8" s="1"/>
  <c r="C7" i="8" a="1"/>
  <c r="C7" i="8" s="1"/>
  <c r="C8" i="8" a="1"/>
  <c r="C8" i="8" s="1"/>
  <c r="C9" i="8" a="1"/>
  <c r="C9" i="8" s="1"/>
  <c r="C10" i="8" a="1"/>
  <c r="C10" i="8" s="1"/>
  <c r="C11" i="8" a="1"/>
  <c r="C11" i="8" s="1"/>
  <c r="C12" i="8" a="1"/>
  <c r="C12" i="8" s="1"/>
  <c r="C13" i="8" a="1"/>
  <c r="C13" i="8" s="1"/>
  <c r="C14" i="8" a="1"/>
  <c r="C14" i="8" s="1"/>
  <c r="C15" i="8" a="1"/>
  <c r="C15" i="8" s="1"/>
  <c r="C16" i="8" a="1"/>
  <c r="C16" i="8" s="1"/>
  <c r="C17" i="8" a="1"/>
  <c r="C17" i="8" s="1"/>
  <c r="C18" i="8" a="1"/>
  <c r="C18" i="8" s="1"/>
  <c r="C19" i="8" a="1"/>
  <c r="C19" i="8" s="1"/>
  <c r="C20" i="8" a="1"/>
  <c r="C20" i="8" s="1"/>
  <c r="C21" i="8" a="1"/>
  <c r="C21" i="8" s="1"/>
  <c r="C22" i="8" a="1"/>
  <c r="C22" i="8" s="1"/>
  <c r="C23" i="8" a="1"/>
  <c r="C23" i="8" s="1"/>
  <c r="C24" i="8" a="1"/>
  <c r="C24" i="8" s="1"/>
  <c r="C25" i="8" a="1"/>
  <c r="C25" i="8" s="1"/>
  <c r="C26" i="8" a="1"/>
  <c r="C26" i="8" s="1"/>
  <c r="C27" i="8" a="1"/>
  <c r="C27" i="8" s="1"/>
  <c r="C28" i="8" a="1"/>
  <c r="C28" i="8" s="1"/>
  <c r="C29" i="8" a="1"/>
  <c r="C29" i="8" s="1"/>
  <c r="C30" i="8" a="1"/>
  <c r="C30" i="8" s="1"/>
  <c r="C31" i="8" a="1"/>
  <c r="C31" i="8" s="1"/>
  <c r="C32" i="8" a="1"/>
  <c r="C32" i="8" s="1"/>
  <c r="C33" i="8" a="1"/>
  <c r="C33" i="8" s="1"/>
  <c r="C34" i="8" a="1"/>
  <c r="C34" i="8" s="1"/>
  <c r="C35" i="8" a="1"/>
  <c r="C35" i="8" s="1"/>
  <c r="C36" i="8" a="1"/>
  <c r="C36" i="8" s="1"/>
  <c r="C37" i="8" a="1"/>
  <c r="C37" i="8" s="1"/>
  <c r="C38" i="8" a="1"/>
  <c r="C38" i="8" s="1"/>
  <c r="C39" i="8" a="1"/>
  <c r="C39" i="8" s="1"/>
  <c r="C40" i="8" a="1"/>
  <c r="C40" i="8" s="1"/>
  <c r="C41" i="8" a="1"/>
  <c r="C41" i="8" s="1"/>
  <c r="C42" i="8" a="1"/>
  <c r="C42" i="8" s="1"/>
  <c r="C43" i="8" a="1"/>
  <c r="C43" i="8" s="1"/>
  <c r="C44" i="8" a="1"/>
  <c r="C44" i="8" s="1"/>
  <c r="C45" i="8" a="1"/>
  <c r="C45" i="8" s="1"/>
  <c r="C46" i="8" a="1"/>
  <c r="C46" i="8" s="1"/>
  <c r="C47" i="8" a="1"/>
  <c r="C47" i="8" s="1"/>
  <c r="C48" i="8" a="1"/>
  <c r="C48" i="8" s="1"/>
  <c r="C49" i="8" a="1"/>
  <c r="C49" i="8" s="1"/>
  <c r="C50" i="8" a="1"/>
  <c r="C50" i="8" s="1"/>
  <c r="C51" i="8" a="1"/>
  <c r="C51" i="8" s="1"/>
  <c r="C52" i="8" a="1"/>
  <c r="C52" i="8" s="1"/>
  <c r="C53" i="8" a="1"/>
  <c r="C53" i="8" s="1"/>
  <c r="C54" i="8" a="1"/>
  <c r="C54" i="8" s="1"/>
  <c r="C55" i="8" a="1"/>
  <c r="C55" i="8" s="1"/>
  <c r="C56" i="8" a="1"/>
  <c r="C56" i="8" s="1"/>
  <c r="C57" i="8" a="1"/>
  <c r="C57" i="8" s="1"/>
  <c r="C58" i="8" a="1"/>
  <c r="C58" i="8" s="1"/>
  <c r="C59" i="8" a="1"/>
  <c r="C59" i="8" s="1"/>
  <c r="C60" i="8" a="1"/>
  <c r="C60" i="8" s="1"/>
  <c r="C61" i="8" a="1"/>
  <c r="C61" i="8" s="1"/>
  <c r="C62" i="8" a="1"/>
  <c r="C62" i="8" s="1"/>
  <c r="C63" i="8" a="1"/>
  <c r="C63" i="8" s="1"/>
  <c r="C64" i="8" a="1"/>
  <c r="C64" i="8" s="1"/>
  <c r="C65" i="8" a="1"/>
  <c r="C65" i="8" s="1"/>
  <c r="C66" i="8" a="1"/>
  <c r="C66" i="8" s="1"/>
  <c r="C67" i="8" a="1"/>
  <c r="C67" i="8"/>
  <c r="C68" i="8" a="1"/>
  <c r="C68" i="8" s="1"/>
  <c r="C69" i="8" a="1"/>
  <c r="C69" i="8" s="1"/>
  <c r="C70" i="8" a="1"/>
  <c r="C70" i="8" s="1"/>
  <c r="C71" i="8" a="1"/>
  <c r="C71" i="8" s="1"/>
  <c r="C72" i="8" a="1"/>
  <c r="C72" i="8" s="1"/>
  <c r="C73" i="8" a="1"/>
  <c r="C73" i="8" s="1"/>
  <c r="C74" i="8" a="1"/>
  <c r="C74" i="8" s="1"/>
  <c r="C75" i="8" a="1"/>
  <c r="C75" i="8" s="1"/>
  <c r="C76" i="8" a="1"/>
  <c r="C76" i="8" s="1"/>
  <c r="C77" i="8" a="1"/>
  <c r="C77" i="8" s="1"/>
  <c r="C78" i="8" a="1"/>
  <c r="C78" i="8" s="1"/>
  <c r="C79" i="8" a="1"/>
  <c r="C79" i="8" s="1"/>
  <c r="C80" i="8" a="1"/>
  <c r="C80" i="8" s="1"/>
  <c r="C81" i="8" a="1"/>
  <c r="C81" i="8" s="1"/>
  <c r="C82" i="8" a="1"/>
  <c r="C82" i="8" s="1"/>
  <c r="C83" i="8" a="1"/>
  <c r="C83" i="8" s="1"/>
  <c r="C84" i="8" a="1"/>
  <c r="C84" i="8" s="1"/>
  <c r="C85" i="8" a="1"/>
  <c r="C85" i="8" s="1"/>
  <c r="C86" i="8" a="1"/>
  <c r="C86" i="8" s="1"/>
  <c r="C87" i="8" a="1"/>
  <c r="C87" i="8" s="1"/>
  <c r="C88" i="8" a="1"/>
  <c r="C88" i="8" s="1"/>
  <c r="C89" i="8" a="1"/>
  <c r="C89" i="8" s="1"/>
  <c r="C90" i="8" a="1"/>
  <c r="C90" i="8" s="1"/>
  <c r="C91" i="8" a="1"/>
  <c r="C91" i="8" s="1"/>
  <c r="C92" i="8" a="1"/>
  <c r="C92" i="8" s="1"/>
  <c r="C93" i="8" a="1"/>
  <c r="C93" i="8" s="1"/>
  <c r="C94" i="8" a="1"/>
  <c r="C94" i="8" s="1"/>
  <c r="C95" i="8" a="1"/>
  <c r="C95" i="8" s="1"/>
  <c r="C96" i="8" a="1"/>
  <c r="C96" i="8" s="1"/>
  <c r="C97" i="8" a="1"/>
  <c r="C97" i="8" s="1"/>
  <c r="C98" i="8" a="1"/>
  <c r="C98" i="8" s="1"/>
  <c r="C99" i="8" a="1"/>
  <c r="C99" i="8" s="1"/>
  <c r="C100" i="8" a="1"/>
  <c r="C100" i="8" s="1"/>
  <c r="C101" i="8" a="1"/>
  <c r="C101" i="8" s="1"/>
  <c r="C102" i="8" a="1"/>
  <c r="C102" i="8" s="1"/>
  <c r="C103" i="8" a="1"/>
  <c r="C103" i="8" s="1"/>
  <c r="C104" i="8" a="1"/>
  <c r="C104" i="8" s="1"/>
  <c r="C105" i="8" a="1"/>
  <c r="C105" i="8" s="1"/>
  <c r="C106" i="8" a="1"/>
  <c r="C106" i="8" s="1"/>
  <c r="C107" i="8" a="1"/>
  <c r="C107" i="8" s="1"/>
  <c r="C108" i="8" a="1"/>
  <c r="C108" i="8" s="1"/>
  <c r="C109" i="8" a="1"/>
  <c r="C109" i="8" s="1"/>
  <c r="C110" i="8" a="1"/>
  <c r="C110" i="8" s="1"/>
  <c r="C111" i="8" a="1"/>
  <c r="C111" i="8" s="1"/>
  <c r="C112" i="8" a="1"/>
  <c r="C112" i="8" s="1"/>
  <c r="C113" i="8" a="1"/>
  <c r="C113" i="8" s="1"/>
  <c r="C114" i="8" a="1"/>
  <c r="C114" i="8" s="1"/>
  <c r="C115" i="8" a="1"/>
  <c r="C115" i="8"/>
  <c r="C116" i="8" a="1"/>
  <c r="C116" i="8" s="1"/>
  <c r="C117" i="8" a="1"/>
  <c r="C117" i="8" s="1"/>
  <c r="C118" i="8" a="1"/>
  <c r="C118" i="8" s="1"/>
  <c r="C119" i="8" a="1"/>
  <c r="C119" i="8" s="1"/>
  <c r="C120" i="8" a="1"/>
  <c r="C120" i="8" s="1"/>
  <c r="C121" i="8" a="1"/>
  <c r="C121" i="8" s="1"/>
  <c r="C122" i="8" a="1"/>
  <c r="C122" i="8" s="1"/>
  <c r="C123" i="8" a="1"/>
  <c r="C123" i="8" s="1"/>
  <c r="C124" i="8" a="1"/>
  <c r="C124" i="8" s="1"/>
  <c r="C125" i="8" a="1"/>
  <c r="C125" i="8" s="1"/>
  <c r="C126" i="8" a="1"/>
  <c r="C126" i="8" s="1"/>
  <c r="C127" i="8" a="1"/>
  <c r="C127" i="8" s="1"/>
  <c r="C128" i="8" a="1"/>
  <c r="C128" i="8" s="1"/>
  <c r="C129" i="8" a="1"/>
  <c r="C129" i="8" s="1"/>
  <c r="C130" i="8" a="1"/>
  <c r="C130" i="8" s="1"/>
  <c r="C131" i="8" a="1"/>
  <c r="C131" i="8" s="1"/>
  <c r="C132" i="8" a="1"/>
  <c r="C132" i="8" s="1"/>
  <c r="C133" i="8" a="1"/>
  <c r="C133" i="8" s="1"/>
  <c r="C134" i="8" a="1"/>
  <c r="C134" i="8" s="1"/>
  <c r="C135" i="8" a="1"/>
  <c r="C135" i="8" s="1"/>
  <c r="C136" i="8" a="1"/>
  <c r="C136" i="8" s="1"/>
  <c r="C137" i="8" a="1"/>
  <c r="C137" i="8" s="1"/>
  <c r="C138" i="8" a="1"/>
  <c r="C138" i="8" s="1"/>
  <c r="C139" i="8" a="1"/>
  <c r="C139" i="8" s="1"/>
  <c r="C140" i="8" a="1"/>
  <c r="C140" i="8" s="1"/>
  <c r="C141" i="8" a="1"/>
  <c r="C141" i="8" s="1"/>
  <c r="C142" i="8" a="1"/>
  <c r="C142" i="8" s="1"/>
  <c r="C143" i="8" a="1"/>
  <c r="C143" i="8" s="1"/>
  <c r="C144" i="8" a="1"/>
  <c r="C144" i="8" s="1"/>
  <c r="C145" i="8" a="1"/>
  <c r="C145" i="8" s="1"/>
  <c r="C146" i="8" a="1"/>
  <c r="C146" i="8" s="1"/>
  <c r="C147" i="8" a="1"/>
  <c r="C147" i="8" s="1"/>
  <c r="C148" i="8" a="1"/>
  <c r="C148" i="8" s="1"/>
  <c r="C149" i="8" a="1"/>
  <c r="C149" i="8" s="1"/>
  <c r="C150" i="8" a="1"/>
  <c r="C150" i="8" s="1"/>
  <c r="C151" i="8" a="1"/>
  <c r="C151" i="8" s="1"/>
  <c r="C152" i="8" a="1"/>
  <c r="C152" i="8" s="1"/>
  <c r="C153" i="8" a="1"/>
  <c r="C153" i="8" s="1"/>
  <c r="C154" i="8" a="1"/>
  <c r="C154" i="8" s="1"/>
  <c r="C155" i="8" a="1"/>
  <c r="C155" i="8" s="1"/>
  <c r="C156" i="8" a="1"/>
  <c r="C156" i="8" s="1"/>
  <c r="C157" i="8" a="1"/>
  <c r="C157" i="8" s="1"/>
  <c r="C158" i="8" a="1"/>
  <c r="C158" i="8" s="1"/>
  <c r="C159" i="8" a="1"/>
  <c r="C159" i="8" s="1"/>
  <c r="C160" i="8" a="1"/>
  <c r="C160" i="8" s="1"/>
  <c r="C161" i="8" a="1"/>
  <c r="C161" i="8" s="1"/>
  <c r="C162" i="8" a="1"/>
  <c r="C162" i="8" s="1"/>
  <c r="C163" i="8" a="1"/>
  <c r="C163" i="8" s="1"/>
  <c r="C164" i="8" a="1"/>
  <c r="C164" i="8" s="1"/>
  <c r="C165" i="8" a="1"/>
  <c r="C165" i="8" s="1"/>
  <c r="C166" i="8" a="1"/>
  <c r="C166" i="8" s="1"/>
  <c r="C167" i="8" a="1"/>
  <c r="C167" i="8" s="1"/>
  <c r="C168" i="8" a="1"/>
  <c r="C168" i="8" s="1"/>
  <c r="C169" i="8" a="1"/>
  <c r="C169" i="8" s="1"/>
  <c r="C170" i="8" a="1"/>
  <c r="C170" i="8" s="1"/>
  <c r="C171" i="8" a="1"/>
  <c r="C171" i="8" s="1"/>
  <c r="C172" i="8" a="1"/>
  <c r="C172" i="8" s="1"/>
  <c r="C173" i="8" a="1"/>
  <c r="C173" i="8" s="1"/>
  <c r="C174" i="8" a="1"/>
  <c r="C174" i="8" s="1"/>
  <c r="C175" i="8" a="1"/>
  <c r="C175" i="8" s="1"/>
  <c r="C176" i="8" a="1"/>
  <c r="C176" i="8" s="1"/>
  <c r="C177" i="8" a="1"/>
  <c r="C177" i="8" s="1"/>
  <c r="C178" i="8" a="1"/>
  <c r="C178" i="8" s="1"/>
  <c r="C179" i="8" a="1"/>
  <c r="C179" i="8" s="1"/>
  <c r="C180" i="8" a="1"/>
  <c r="C180" i="8" s="1"/>
  <c r="C181" i="8" a="1"/>
  <c r="C181" i="8" s="1"/>
  <c r="C182" i="8" a="1"/>
  <c r="C182" i="8" s="1"/>
  <c r="C183" i="8" a="1"/>
  <c r="C183" i="8" s="1"/>
  <c r="C184" i="8" a="1"/>
  <c r="C184" i="8" s="1"/>
  <c r="C185" i="8" a="1"/>
  <c r="C185" i="8" s="1"/>
  <c r="C186" i="8" a="1"/>
  <c r="C186" i="8" s="1"/>
  <c r="C187" i="8" a="1"/>
  <c r="C187" i="8" s="1"/>
  <c r="C188" i="8" a="1"/>
  <c r="C188" i="8" s="1"/>
  <c r="C189" i="8" a="1"/>
  <c r="C189" i="8" s="1"/>
  <c r="C190" i="8" a="1"/>
  <c r="C190" i="8" s="1"/>
  <c r="C191" i="8" a="1"/>
  <c r="C191" i="8" s="1"/>
  <c r="C192" i="8" a="1"/>
  <c r="C192" i="8" s="1"/>
  <c r="C193" i="8" a="1"/>
  <c r="C193" i="8" s="1"/>
  <c r="C194" i="8" a="1"/>
  <c r="C194" i="8" s="1"/>
  <c r="C195" i="8" a="1"/>
  <c r="C195" i="8" s="1"/>
  <c r="C196" i="8" a="1"/>
  <c r="C196" i="8" s="1"/>
  <c r="C197" i="8" a="1"/>
  <c r="C197" i="8" s="1"/>
  <c r="C198" i="8" a="1"/>
  <c r="C198" i="8" s="1"/>
  <c r="C199" i="8" a="1"/>
  <c r="C199" i="8" s="1"/>
  <c r="C200" i="8" a="1"/>
  <c r="C200" i="8" s="1"/>
  <c r="C201" i="8" a="1"/>
  <c r="C201" i="8" s="1"/>
  <c r="C202" i="8" a="1"/>
  <c r="C202" i="8" s="1"/>
  <c r="C203" i="8" a="1"/>
  <c r="C203" i="8" s="1"/>
  <c r="C204" i="8" a="1"/>
  <c r="C204" i="8" s="1"/>
  <c r="C205" i="8" a="1"/>
  <c r="C205" i="8" s="1"/>
  <c r="C206" i="8" a="1"/>
  <c r="C206" i="8" s="1"/>
  <c r="C207" i="8" a="1"/>
  <c r="C207" i="8" s="1"/>
  <c r="C208" i="8" a="1"/>
  <c r="C208" i="8" s="1"/>
  <c r="C209" i="8" a="1"/>
  <c r="C209" i="8" s="1"/>
  <c r="C210" i="8" a="1"/>
  <c r="C210" i="8" s="1"/>
  <c r="C211" i="8" a="1"/>
  <c r="C211" i="8" s="1"/>
  <c r="C212" i="8" a="1"/>
  <c r="C212" i="8" s="1"/>
  <c r="C213" i="8" a="1"/>
  <c r="C213" i="8" s="1"/>
  <c r="C214" i="8" a="1"/>
  <c r="C214" i="8" s="1"/>
  <c r="C215" i="8" a="1"/>
  <c r="C215" i="8" s="1"/>
  <c r="C216" i="8" a="1"/>
  <c r="C216" i="8" s="1"/>
  <c r="C217" i="8" a="1"/>
  <c r="C217" i="8" s="1"/>
  <c r="C218" i="8" a="1"/>
  <c r="C218" i="8" s="1"/>
  <c r="C219" i="8" a="1"/>
  <c r="C219" i="8" s="1"/>
  <c r="C220" i="8" a="1"/>
  <c r="C220" i="8" s="1"/>
  <c r="C221" i="8" a="1"/>
  <c r="C221" i="8" s="1"/>
  <c r="C222" i="8" a="1"/>
  <c r="C222" i="8" s="1"/>
  <c r="C223" i="8" a="1"/>
  <c r="C223" i="8" s="1"/>
  <c r="C224" i="8" a="1"/>
  <c r="C224" i="8" s="1"/>
  <c r="C225" i="8" a="1"/>
  <c r="C225" i="8" s="1"/>
  <c r="C226" i="8" a="1"/>
  <c r="C226" i="8" s="1"/>
  <c r="C227" i="8" a="1"/>
  <c r="C227" i="8" s="1"/>
  <c r="C228" i="8" a="1"/>
  <c r="C228" i="8" s="1"/>
  <c r="C229" i="8" a="1"/>
  <c r="C229" i="8" s="1"/>
  <c r="C230" i="8" a="1"/>
  <c r="C230" i="8" s="1"/>
  <c r="C231" i="8" a="1"/>
  <c r="C231" i="8" s="1"/>
  <c r="C232" i="8" a="1"/>
  <c r="C232" i="8" s="1"/>
  <c r="C233" i="8" a="1"/>
  <c r="C233" i="8" s="1"/>
  <c r="C234" i="8" a="1"/>
  <c r="C234" i="8" s="1"/>
  <c r="C235" i="8" a="1"/>
  <c r="C235" i="8" s="1"/>
  <c r="C236" i="8" a="1"/>
  <c r="C236" i="8" s="1"/>
  <c r="C237" i="8" a="1"/>
  <c r="C237" i="8" s="1"/>
  <c r="C238" i="8" a="1"/>
  <c r="C238" i="8" s="1"/>
  <c r="C239" i="8" a="1"/>
  <c r="C239" i="8" s="1"/>
  <c r="C240" i="8" a="1"/>
  <c r="C240" i="8" s="1"/>
  <c r="C241" i="8" a="1"/>
  <c r="C241" i="8" s="1"/>
  <c r="C242" i="8" a="1"/>
  <c r="C242" i="8" s="1"/>
  <c r="C243" i="8" a="1"/>
  <c r="C243" i="8" s="1"/>
  <c r="C244" i="8" a="1"/>
  <c r="C244" i="8" s="1"/>
  <c r="C245" i="8" a="1"/>
  <c r="C245" i="8" s="1"/>
  <c r="C246" i="8" a="1"/>
  <c r="C246" i="8" s="1"/>
  <c r="C247" i="8" a="1"/>
  <c r="C247" i="8" s="1"/>
  <c r="C248" i="8" a="1"/>
  <c r="C248" i="8" s="1"/>
  <c r="C249" i="8" a="1"/>
  <c r="C249" i="8" s="1"/>
  <c r="C250" i="8" a="1"/>
  <c r="C250" i="8" s="1"/>
  <c r="C251" i="8" a="1"/>
  <c r="C251" i="8" s="1"/>
  <c r="C252" i="8" a="1"/>
  <c r="C252" i="8" s="1"/>
  <c r="C253" i="8" a="1"/>
  <c r="C253" i="8" s="1"/>
  <c r="C254" i="8" a="1"/>
  <c r="C254" i="8" s="1"/>
  <c r="C255" i="8" a="1"/>
  <c r="C255" i="8" s="1"/>
  <c r="C256" i="8" a="1"/>
  <c r="C256" i="8" s="1"/>
  <c r="C257" i="8" a="1"/>
  <c r="C257" i="8" s="1"/>
  <c r="C258" i="8" a="1"/>
  <c r="C258" i="8" s="1"/>
  <c r="C259" i="8" a="1"/>
  <c r="C259" i="8" s="1"/>
  <c r="C260" i="8" a="1"/>
  <c r="C260" i="8" s="1"/>
  <c r="C261" i="8" a="1"/>
  <c r="C261" i="8" s="1"/>
  <c r="C262" i="8" a="1"/>
  <c r="C262" i="8" s="1"/>
  <c r="C263" i="8" a="1"/>
  <c r="C263" i="8" s="1"/>
  <c r="C264" i="8" a="1"/>
  <c r="C264" i="8" s="1"/>
  <c r="C265" i="8" a="1"/>
  <c r="C265" i="8" s="1"/>
  <c r="C266" i="8" a="1"/>
  <c r="C266" i="8" s="1"/>
  <c r="C267" i="8" a="1"/>
  <c r="C267" i="8" s="1"/>
  <c r="C268" i="8" a="1"/>
  <c r="C268" i="8" s="1"/>
  <c r="C269" i="8" a="1"/>
  <c r="C269" i="8" s="1"/>
  <c r="C270" i="8" a="1"/>
  <c r="C270" i="8" s="1"/>
  <c r="C271" i="8" a="1"/>
  <c r="C271" i="8" s="1"/>
  <c r="C272" i="8" a="1"/>
  <c r="C272" i="8" s="1"/>
  <c r="C273" i="8" a="1"/>
  <c r="C273" i="8" s="1"/>
  <c r="C274" i="8" a="1"/>
  <c r="C274" i="8" s="1"/>
  <c r="C275" i="8" a="1"/>
  <c r="C275" i="8" s="1"/>
  <c r="C276" i="8" a="1"/>
  <c r="C276" i="8" s="1"/>
  <c r="C277" i="8" a="1"/>
  <c r="C277" i="8" s="1"/>
  <c r="C278" i="8" a="1"/>
  <c r="C278" i="8" s="1"/>
  <c r="C279" i="8" a="1"/>
  <c r="C279" i="8" s="1"/>
  <c r="C280" i="8" a="1"/>
  <c r="C280" i="8" s="1"/>
  <c r="C281" i="8" a="1"/>
  <c r="C281" i="8" s="1"/>
  <c r="C282" i="8" a="1"/>
  <c r="C282" i="8" s="1"/>
  <c r="C283" i="8" a="1"/>
  <c r="C283" i="8" s="1"/>
  <c r="C284" i="8" a="1"/>
  <c r="C284" i="8" s="1"/>
  <c r="C285" i="8" a="1"/>
  <c r="C285" i="8" s="1"/>
  <c r="C286" i="8" a="1"/>
  <c r="C286" i="8" s="1"/>
  <c r="C287" i="8" a="1"/>
  <c r="C287" i="8" s="1"/>
  <c r="C288" i="8" a="1"/>
  <c r="C288" i="8" s="1"/>
  <c r="C289" i="8" a="1"/>
  <c r="C289" i="8" s="1"/>
  <c r="C290" i="8" a="1"/>
  <c r="C290" i="8" s="1"/>
  <c r="C291" i="8" a="1"/>
  <c r="C291" i="8" s="1"/>
  <c r="C292" i="8" a="1"/>
  <c r="C292" i="8" s="1"/>
  <c r="C293" i="8" a="1"/>
  <c r="C293" i="8" s="1"/>
  <c r="C294" i="8" a="1"/>
  <c r="C294" i="8" s="1"/>
  <c r="C295" i="8" a="1"/>
  <c r="C295" i="8" s="1"/>
  <c r="C296" i="8" a="1"/>
  <c r="C296" i="8" s="1"/>
  <c r="C297" i="8" a="1"/>
  <c r="C297" i="8" s="1"/>
  <c r="C298" i="8" a="1"/>
  <c r="C298" i="8" s="1"/>
  <c r="C299" i="8" a="1"/>
  <c r="C299" i="8" s="1"/>
  <c r="C300" i="8" a="1"/>
  <c r="C300" i="8" s="1"/>
  <c r="C301" i="8" a="1"/>
  <c r="C301" i="8" s="1"/>
  <c r="C302" i="8" a="1"/>
  <c r="C302" i="8" s="1"/>
  <c r="C303" i="8" a="1"/>
  <c r="C303" i="8" s="1"/>
  <c r="C304" i="8" a="1"/>
  <c r="C304" i="8" s="1"/>
  <c r="C305" i="8" a="1"/>
  <c r="C305" i="8" s="1"/>
  <c r="C306" i="8" a="1"/>
  <c r="C306" i="8" s="1"/>
  <c r="C307" i="8" a="1"/>
  <c r="C307" i="8" s="1"/>
  <c r="C308" i="8" a="1"/>
  <c r="C308" i="8" s="1"/>
  <c r="C309" i="8" a="1"/>
  <c r="C309" i="8" s="1"/>
  <c r="C310" i="8" a="1"/>
  <c r="C310" i="8" s="1"/>
  <c r="C311" i="8" a="1"/>
  <c r="C311" i="8" s="1"/>
  <c r="C312" i="8" a="1"/>
  <c r="C312" i="8"/>
  <c r="C313" i="8" a="1"/>
  <c r="C313" i="8" s="1"/>
  <c r="C314" i="8" a="1"/>
  <c r="C314" i="8" s="1"/>
  <c r="C315" i="8" a="1"/>
  <c r="C315" i="8" s="1"/>
  <c r="C316" i="8" a="1"/>
  <c r="C316" i="8" s="1"/>
  <c r="C317" i="8" a="1"/>
  <c r="C317" i="8" s="1"/>
  <c r="C318" i="8" a="1"/>
  <c r="C318" i="8" s="1"/>
  <c r="C319" i="8" a="1"/>
  <c r="C319" i="8" s="1"/>
  <c r="C320" i="8" a="1"/>
  <c r="C320" i="8"/>
  <c r="C321" i="8" a="1"/>
  <c r="C321" i="8" s="1"/>
  <c r="C322" i="8" a="1"/>
  <c r="C322" i="8" s="1"/>
  <c r="C323" i="8" a="1"/>
  <c r="C323" i="8" s="1"/>
  <c r="C324" i="8" a="1"/>
  <c r="C324" i="8" s="1"/>
  <c r="C325" i="8" a="1"/>
  <c r="C325" i="8" s="1"/>
  <c r="C326" i="8" a="1"/>
  <c r="C326" i="8" s="1"/>
  <c r="C327" i="8" a="1"/>
  <c r="C327" i="8" s="1"/>
  <c r="C328" i="8" a="1"/>
  <c r="C328" i="8"/>
  <c r="C329" i="8" a="1"/>
  <c r="C329" i="8" s="1"/>
  <c r="C330" i="8" a="1"/>
  <c r="C330" i="8" s="1"/>
  <c r="C331" i="8" a="1"/>
  <c r="C331" i="8" s="1"/>
  <c r="C332" i="8" a="1"/>
  <c r="C332" i="8" s="1"/>
  <c r="C333" i="8" a="1"/>
  <c r="C333" i="8" s="1"/>
  <c r="C334" i="8" a="1"/>
  <c r="C334" i="8" s="1"/>
  <c r="C335" i="8" a="1"/>
  <c r="C335" i="8" s="1"/>
  <c r="C336" i="8" a="1"/>
  <c r="C336" i="8" s="1"/>
  <c r="C337" i="8" a="1"/>
  <c r="C337" i="8" s="1"/>
  <c r="C338" i="8" a="1"/>
  <c r="C338" i="8" s="1"/>
  <c r="C339" i="8" a="1"/>
  <c r="C339" i="8" s="1"/>
  <c r="C340" i="8" a="1"/>
  <c r="C340" i="8" s="1"/>
  <c r="C341" i="8" a="1"/>
  <c r="C341" i="8" s="1"/>
  <c r="C342" i="8" a="1"/>
  <c r="C342" i="8" s="1"/>
  <c r="C343" i="8" a="1"/>
  <c r="C343" i="8" s="1"/>
  <c r="C344" i="8" a="1"/>
  <c r="C344" i="8" s="1"/>
  <c r="C345" i="8" a="1"/>
  <c r="C345" i="8" s="1"/>
  <c r="C346" i="8" a="1"/>
  <c r="C346" i="8"/>
  <c r="C347" i="8" a="1"/>
  <c r="C347" i="8" s="1"/>
  <c r="C348" i="8" a="1"/>
  <c r="C348" i="8" s="1"/>
  <c r="C349" i="8" a="1"/>
  <c r="C349" i="8" s="1"/>
  <c r="C350" i="8" a="1"/>
  <c r="C350" i="8" s="1"/>
  <c r="C351" i="8" a="1"/>
  <c r="C351" i="8" s="1"/>
  <c r="C352" i="8" a="1"/>
  <c r="C352" i="8" s="1"/>
  <c r="C353" i="8" a="1"/>
  <c r="C353" i="8" s="1"/>
  <c r="C354" i="8" a="1"/>
  <c r="C354" i="8" s="1"/>
  <c r="C355" i="8" a="1"/>
  <c r="C355" i="8" s="1"/>
  <c r="C356" i="8" a="1"/>
  <c r="C356" i="8" s="1"/>
  <c r="C357" i="8" a="1"/>
  <c r="C357" i="8" s="1"/>
  <c r="C358" i="8" a="1"/>
  <c r="C358" i="8" s="1"/>
  <c r="C359" i="8" a="1"/>
  <c r="C359" i="8" s="1"/>
  <c r="C360" i="8" a="1"/>
  <c r="C360" i="8" s="1"/>
  <c r="C361" i="8" a="1"/>
  <c r="C361" i="8" s="1"/>
  <c r="C362" i="8" a="1"/>
  <c r="C362" i="8" s="1"/>
  <c r="C363" i="8" a="1"/>
  <c r="C363" i="8" s="1"/>
  <c r="C364" i="8" a="1"/>
  <c r="C364" i="8" s="1"/>
  <c r="C365" i="8" a="1"/>
  <c r="C365" i="8" s="1"/>
  <c r="C366" i="8" a="1"/>
  <c r="C366" i="8" s="1"/>
  <c r="C367" i="8" a="1"/>
  <c r="C367" i="8" s="1"/>
  <c r="C368" i="8" a="1"/>
  <c r="C368" i="8" s="1"/>
  <c r="C369" i="8" a="1"/>
  <c r="C369" i="8" s="1"/>
  <c r="C370" i="8" a="1"/>
  <c r="C370" i="8" s="1"/>
  <c r="C371" i="8" a="1"/>
  <c r="C371" i="8" s="1"/>
  <c r="C372" i="8" a="1"/>
  <c r="C372" i="8" s="1"/>
  <c r="C373" i="8" a="1"/>
  <c r="C373" i="8" s="1"/>
  <c r="C374" i="8" a="1"/>
  <c r="C374" i="8" s="1"/>
  <c r="C375" i="8" a="1"/>
  <c r="C375" i="8" s="1"/>
  <c r="C376" i="8" a="1"/>
  <c r="C376" i="8" s="1"/>
  <c r="C377" i="8" a="1"/>
  <c r="C377" i="8" s="1"/>
  <c r="C378" i="8" a="1"/>
  <c r="C378" i="8" s="1"/>
  <c r="C379" i="8" a="1"/>
  <c r="C379" i="8" s="1"/>
  <c r="C380" i="8" a="1"/>
  <c r="C380" i="8" s="1"/>
  <c r="C381" i="8" a="1"/>
  <c r="C381" i="8" s="1"/>
  <c r="C382" i="8" a="1"/>
  <c r="C382" i="8" s="1"/>
  <c r="C383" i="8" a="1"/>
  <c r="C383" i="8" s="1"/>
  <c r="C384" i="8" a="1"/>
  <c r="C384" i="8"/>
  <c r="C385" i="8" a="1"/>
  <c r="C385" i="8" s="1"/>
  <c r="C386" i="8" a="1"/>
  <c r="C386" i="8" s="1"/>
  <c r="C387" i="8" a="1"/>
  <c r="C387" i="8" s="1"/>
  <c r="C388" i="8" a="1"/>
  <c r="C388" i="8" s="1"/>
  <c r="C389" i="8" a="1"/>
  <c r="C389" i="8" s="1"/>
  <c r="C390" i="8" a="1"/>
  <c r="C390" i="8" s="1"/>
  <c r="C391" i="8" a="1"/>
  <c r="C391" i="8" s="1"/>
  <c r="C392" i="8" a="1"/>
  <c r="C392" i="8" s="1"/>
  <c r="C393" i="8" a="1"/>
  <c r="C393" i="8" s="1"/>
  <c r="C394" i="8" a="1"/>
  <c r="C394" i="8" s="1"/>
  <c r="C395" i="8" a="1"/>
  <c r="C395" i="8" s="1"/>
  <c r="C396" i="8" a="1"/>
  <c r="C396" i="8" s="1"/>
  <c r="C397" i="8" a="1"/>
  <c r="C397" i="8" s="1"/>
  <c r="C398" i="8" a="1"/>
  <c r="C398" i="8" s="1"/>
  <c r="C399" i="8" a="1"/>
  <c r="C399" i="8" s="1"/>
  <c r="C400" i="8" a="1"/>
  <c r="C400" i="8" s="1"/>
  <c r="C401" i="8" a="1"/>
  <c r="C401" i="8" s="1"/>
  <c r="C402" i="8" a="1"/>
  <c r="C402" i="8" s="1"/>
  <c r="C403" i="8" a="1"/>
  <c r="C403" i="8" s="1"/>
  <c r="C404" i="8" a="1"/>
  <c r="C404" i="8" s="1"/>
  <c r="C405" i="8" a="1"/>
  <c r="C405" i="8" s="1"/>
  <c r="C406" i="8" a="1"/>
  <c r="C406" i="8" s="1"/>
  <c r="C407" i="8" a="1"/>
  <c r="C407" i="8" s="1"/>
  <c r="C408" i="8" a="1"/>
  <c r="C408" i="8" s="1"/>
  <c r="C409" i="8" a="1"/>
  <c r="C409" i="8" s="1"/>
  <c r="C410" i="8" a="1"/>
  <c r="C410" i="8" s="1"/>
  <c r="C411" i="8" a="1"/>
  <c r="C411" i="8" s="1"/>
  <c r="C412" i="8" a="1"/>
  <c r="C412" i="8" s="1"/>
  <c r="C413" i="8" a="1"/>
  <c r="C413" i="8" s="1"/>
  <c r="C414" i="8" a="1"/>
  <c r="C414" i="8" s="1"/>
  <c r="C415" i="8" a="1"/>
  <c r="C415" i="8" s="1"/>
  <c r="C416" i="8" a="1"/>
  <c r="C416" i="8" s="1"/>
  <c r="C417" i="8" a="1"/>
  <c r="C417" i="8" s="1"/>
  <c r="C418" i="8" a="1"/>
  <c r="C418" i="8" s="1"/>
  <c r="C419" i="8" a="1"/>
  <c r="C419" i="8" s="1"/>
  <c r="C420" i="8" a="1"/>
  <c r="C420" i="8" s="1"/>
  <c r="C421" i="8" a="1"/>
  <c r="C421" i="8" s="1"/>
  <c r="C422" i="8" a="1"/>
  <c r="C422" i="8" s="1"/>
  <c r="C423" i="8" a="1"/>
  <c r="C423" i="8" s="1"/>
  <c r="C424" i="8" a="1"/>
  <c r="C424" i="8" s="1"/>
  <c r="C425" i="8" a="1"/>
  <c r="C425" i="8" s="1"/>
  <c r="C426" i="8" a="1"/>
  <c r="C426" i="8" s="1"/>
  <c r="C427" i="8" a="1"/>
  <c r="C427" i="8" s="1"/>
  <c r="C428" i="8" a="1"/>
  <c r="C428" i="8" s="1"/>
  <c r="C429" i="8" a="1"/>
  <c r="C429" i="8" s="1"/>
  <c r="C430" i="8" a="1"/>
  <c r="C430" i="8" s="1"/>
  <c r="C431" i="8" a="1"/>
  <c r="C431" i="8" s="1"/>
  <c r="C432" i="8" a="1"/>
  <c r="C432" i="8" s="1"/>
  <c r="C433" i="8" a="1"/>
  <c r="C433" i="8" s="1"/>
  <c r="C434" i="8" a="1"/>
  <c r="C434" i="8" s="1"/>
  <c r="C435" i="8" a="1"/>
  <c r="C435" i="8" s="1"/>
  <c r="C436" i="8" a="1"/>
  <c r="C436" i="8" s="1"/>
  <c r="C437" i="8" a="1"/>
  <c r="C437" i="8" s="1"/>
  <c r="C438" i="8" a="1"/>
  <c r="C438" i="8" s="1"/>
  <c r="C439" i="8" a="1"/>
  <c r="C439" i="8" s="1"/>
  <c r="C440" i="8" a="1"/>
  <c r="C440" i="8" s="1"/>
  <c r="C441" i="8" a="1"/>
  <c r="C441" i="8" s="1"/>
  <c r="C442" i="8" a="1"/>
  <c r="C442" i="8" s="1"/>
  <c r="C443" i="8" a="1"/>
  <c r="C443" i="8" s="1"/>
  <c r="C444" i="8" a="1"/>
  <c r="C444" i="8" s="1"/>
  <c r="C445" i="8" a="1"/>
  <c r="C445" i="8" s="1"/>
  <c r="C446" i="8" a="1"/>
  <c r="C446" i="8" s="1"/>
  <c r="C447" i="8" a="1"/>
  <c r="C447" i="8" s="1"/>
  <c r="C448" i="8" a="1"/>
  <c r="C448" i="8"/>
  <c r="C449" i="8" a="1"/>
  <c r="C449" i="8" s="1"/>
  <c r="C450" i="8" a="1"/>
  <c r="C450" i="8" s="1"/>
  <c r="C451" i="8" a="1"/>
  <c r="C451" i="8" s="1"/>
  <c r="C452" i="8" a="1"/>
  <c r="C452" i="8" s="1"/>
  <c r="C453" i="8" a="1"/>
  <c r="C453" i="8" s="1"/>
  <c r="C454" i="8" a="1"/>
  <c r="C454" i="8" s="1"/>
  <c r="C455" i="8" a="1"/>
  <c r="C455" i="8" s="1"/>
  <c r="C456" i="8" a="1"/>
  <c r="C456" i="8" s="1"/>
  <c r="C457" i="8" a="1"/>
  <c r="C457" i="8" s="1"/>
  <c r="C458" i="8" a="1"/>
  <c r="C458" i="8" s="1"/>
  <c r="C459" i="8" a="1"/>
  <c r="C459" i="8" s="1"/>
  <c r="C460" i="8" a="1"/>
  <c r="C460" i="8" s="1"/>
  <c r="C461" i="8" a="1"/>
  <c r="C461" i="8" s="1"/>
  <c r="C462" i="8" a="1"/>
  <c r="C462" i="8" s="1"/>
  <c r="C463" i="8" a="1"/>
  <c r="C463" i="8" s="1"/>
  <c r="C464" i="8" a="1"/>
  <c r="C464" i="8" s="1"/>
  <c r="C465" i="8" a="1"/>
  <c r="C465" i="8" s="1"/>
  <c r="C466" i="8" a="1"/>
  <c r="C466" i="8" s="1"/>
  <c r="C467" i="8" a="1"/>
  <c r="C467" i="8" s="1"/>
  <c r="C468" i="8" a="1"/>
  <c r="C468" i="8" s="1"/>
  <c r="C469" i="8" a="1"/>
  <c r="C469" i="8" s="1"/>
  <c r="C470" i="8" a="1"/>
  <c r="C470" i="8" s="1"/>
  <c r="C471" i="8" a="1"/>
  <c r="C471" i="8" s="1"/>
  <c r="C472" i="8" a="1"/>
  <c r="C472" i="8" s="1"/>
  <c r="C473" i="8" a="1"/>
  <c r="C473" i="8" s="1"/>
  <c r="C474" i="8" a="1"/>
  <c r="C474" i="8" s="1"/>
  <c r="C475" i="8" a="1"/>
  <c r="C475" i="8" s="1"/>
  <c r="C476" i="8" a="1"/>
  <c r="C476" i="8" s="1"/>
  <c r="C477" i="8" a="1"/>
  <c r="C477" i="8" s="1"/>
  <c r="C478" i="8" a="1"/>
  <c r="C478" i="8" s="1"/>
  <c r="C479" i="8" a="1"/>
  <c r="C479" i="8" s="1"/>
  <c r="C480" i="8" a="1"/>
  <c r="C480" i="8" s="1"/>
  <c r="C481" i="8" a="1"/>
  <c r="C481" i="8" s="1"/>
  <c r="C482" i="8" a="1"/>
  <c r="C482" i="8" s="1"/>
  <c r="C483" i="8" a="1"/>
  <c r="C483" i="8" s="1"/>
  <c r="C484" i="8" a="1"/>
  <c r="C484" i="8" s="1"/>
  <c r="C485" i="8" a="1"/>
  <c r="C485" i="8" s="1"/>
  <c r="C486" i="8" a="1"/>
  <c r="C486" i="8" s="1"/>
  <c r="C487" i="8" a="1"/>
  <c r="C487" i="8" s="1"/>
  <c r="C488" i="8" a="1"/>
  <c r="C488" i="8"/>
  <c r="C489" i="8" a="1"/>
  <c r="C489" i="8"/>
  <c r="C490" i="8" a="1"/>
  <c r="C490" i="8" s="1"/>
  <c r="C491" i="8" a="1"/>
  <c r="C491" i="8"/>
  <c r="C492" i="8" a="1"/>
  <c r="C492" i="8" s="1"/>
  <c r="C493" i="8" a="1"/>
  <c r="C493" i="8" s="1"/>
  <c r="C494" i="8" a="1"/>
  <c r="C494" i="8" s="1"/>
  <c r="C495" i="8" a="1"/>
  <c r="C495" i="8" s="1"/>
  <c r="C496" i="8" a="1"/>
  <c r="C496" i="8" s="1"/>
  <c r="C497" i="8" a="1"/>
  <c r="C497" i="8" s="1"/>
  <c r="C498" i="8" a="1"/>
  <c r="C498" i="8" s="1"/>
  <c r="C499" i="8" a="1"/>
  <c r="C499" i="8" s="1"/>
  <c r="C500" i="8" a="1"/>
  <c r="C500" i="8" s="1"/>
  <c r="C501" i="8" a="1"/>
  <c r="C501" i="8" s="1"/>
  <c r="C502" i="8" a="1"/>
  <c r="C502" i="8" s="1"/>
  <c r="C503" i="8" a="1"/>
  <c r="C503" i="8" s="1"/>
  <c r="C504" i="8" a="1"/>
  <c r="C504" i="8" s="1"/>
  <c r="C505" i="8" a="1"/>
  <c r="C505" i="8" s="1"/>
  <c r="C506" i="8" a="1"/>
  <c r="C506" i="8"/>
  <c r="C507" i="8" a="1"/>
  <c r="C507" i="8" s="1"/>
  <c r="C508" i="8" a="1"/>
  <c r="C508" i="8" s="1"/>
  <c r="C509" i="8" a="1"/>
  <c r="C509" i="8" s="1"/>
  <c r="C510" i="8" a="1"/>
  <c r="C510" i="8" s="1"/>
  <c r="C511" i="8" a="1"/>
  <c r="C511" i="8" s="1"/>
  <c r="C512" i="8" a="1"/>
  <c r="C512" i="8" s="1"/>
  <c r="C513" i="8" a="1"/>
  <c r="C513" i="8" s="1"/>
  <c r="C514" i="8" a="1"/>
  <c r="C514" i="8" s="1"/>
  <c r="C515" i="8" a="1"/>
  <c r="C515" i="8" s="1"/>
  <c r="C516" i="8" a="1"/>
  <c r="C516" i="8" s="1"/>
  <c r="C517" i="8" a="1"/>
  <c r="C517" i="8" s="1"/>
  <c r="C518" i="8" a="1"/>
  <c r="C518" i="8" s="1"/>
  <c r="C519" i="8" a="1"/>
  <c r="C519" i="8" s="1"/>
  <c r="C520" i="8" a="1"/>
  <c r="C520" i="8" s="1"/>
  <c r="C521" i="8" a="1"/>
  <c r="C521" i="8"/>
  <c r="C522" i="8" a="1"/>
  <c r="C522" i="8"/>
  <c r="C523" i="8" a="1"/>
  <c r="C523" i="8"/>
  <c r="C524" i="8" a="1"/>
  <c r="C524" i="8" s="1"/>
  <c r="C525" i="8" a="1"/>
  <c r="C525" i="8" s="1"/>
  <c r="C526" i="8" a="1"/>
  <c r="C526" i="8" s="1"/>
  <c r="C527" i="8" a="1"/>
  <c r="C527" i="8" s="1"/>
  <c r="C528" i="8" a="1"/>
  <c r="C528" i="8" s="1"/>
  <c r="C529" i="8" a="1"/>
  <c r="C529" i="8" s="1"/>
  <c r="C530" i="8" a="1"/>
  <c r="C530" i="8" s="1"/>
  <c r="C531" i="8" a="1"/>
  <c r="C531" i="8" s="1"/>
  <c r="C532" i="8" a="1"/>
  <c r="C532" i="8" s="1"/>
  <c r="C533" i="8" a="1"/>
  <c r="C533" i="8" s="1"/>
  <c r="C534" i="8" a="1"/>
  <c r="C534" i="8" s="1"/>
  <c r="C535" i="8" a="1"/>
  <c r="C535" i="8" s="1"/>
  <c r="C536" i="8" a="1"/>
  <c r="C536" i="8" s="1"/>
  <c r="C537" i="8" a="1"/>
  <c r="C537" i="8" s="1"/>
  <c r="C538" i="8" a="1"/>
  <c r="C538" i="8"/>
  <c r="C539" i="8" a="1"/>
  <c r="C539" i="8" s="1"/>
  <c r="C540" i="8" a="1"/>
  <c r="C540" i="8" s="1"/>
  <c r="C541" i="8" a="1"/>
  <c r="C541" i="8" s="1"/>
  <c r="C542" i="8" a="1"/>
  <c r="C542" i="8"/>
  <c r="C543" i="8" a="1"/>
  <c r="C543" i="8" s="1"/>
  <c r="C544" i="8" a="1"/>
  <c r="C544" i="8" s="1"/>
  <c r="C545" i="8" a="1"/>
  <c r="C545" i="8" s="1"/>
  <c r="C546" i="8" a="1"/>
  <c r="C546" i="8" s="1"/>
  <c r="C547" i="8" a="1"/>
  <c r="C547" i="8" s="1"/>
  <c r="C548" i="8" a="1"/>
  <c r="C548" i="8" s="1"/>
  <c r="C549" i="8" a="1"/>
  <c r="C549" i="8" s="1"/>
  <c r="C550" i="8" a="1"/>
  <c r="C550" i="8" s="1"/>
  <c r="C551" i="8" a="1"/>
  <c r="C551" i="8" s="1"/>
  <c r="C552" i="8" a="1"/>
  <c r="C552" i="8" s="1"/>
  <c r="C553" i="8" a="1"/>
  <c r="C553" i="8"/>
  <c r="C554" i="8" a="1"/>
  <c r="C554" i="8" s="1"/>
  <c r="C555" i="8" a="1"/>
  <c r="C555" i="8" s="1"/>
  <c r="C556" i="8" a="1"/>
  <c r="C556" i="8" s="1"/>
  <c r="C557" i="8" a="1"/>
  <c r="C557" i="8" s="1"/>
  <c r="C558" i="8" a="1"/>
  <c r="C558" i="8"/>
  <c r="C559" i="8" a="1"/>
  <c r="C559" i="8" s="1"/>
  <c r="C560" i="8" a="1"/>
  <c r="C560" i="8" s="1"/>
  <c r="C561" i="8" a="1"/>
  <c r="C561" i="8" s="1"/>
  <c r="C562" i="8" a="1"/>
  <c r="C562" i="8" s="1"/>
  <c r="C563" i="8" a="1"/>
  <c r="C563" i="8" s="1"/>
  <c r="C564" i="8" a="1"/>
  <c r="C564" i="8" s="1"/>
  <c r="C565" i="8" a="1"/>
  <c r="C565" i="8" s="1"/>
  <c r="C566" i="8" a="1"/>
  <c r="C566" i="8" s="1"/>
  <c r="C567" i="8" a="1"/>
  <c r="C567" i="8" s="1"/>
  <c r="C568" i="8" a="1"/>
  <c r="C568" i="8"/>
  <c r="C569" i="8" a="1"/>
  <c r="C569" i="8" s="1"/>
  <c r="C570" i="8" a="1"/>
  <c r="C570" i="8" s="1"/>
  <c r="C571" i="8" a="1"/>
  <c r="C571" i="8" s="1"/>
  <c r="C572" i="8" a="1"/>
  <c r="C572" i="8" s="1"/>
  <c r="C573" i="8" a="1"/>
  <c r="C573" i="8" s="1"/>
  <c r="C574" i="8" a="1"/>
  <c r="C574" i="8"/>
  <c r="C575" i="8" a="1"/>
  <c r="C575" i="8" s="1"/>
  <c r="C576" i="8" a="1"/>
  <c r="C576" i="8" s="1"/>
  <c r="C577" i="8" a="1"/>
  <c r="C577" i="8" s="1"/>
  <c r="C578" i="8" a="1"/>
  <c r="C578" i="8" s="1"/>
  <c r="C579" i="8" a="1"/>
  <c r="C579" i="8" s="1"/>
  <c r="C580" i="8" a="1"/>
  <c r="C580" i="8" s="1"/>
  <c r="C581" i="8" a="1"/>
  <c r="C581" i="8" s="1"/>
  <c r="C582" i="8" a="1"/>
  <c r="C582" i="8" s="1"/>
  <c r="C583" i="8" a="1"/>
  <c r="C583" i="8" s="1"/>
  <c r="C584" i="8" a="1"/>
  <c r="C584" i="8" s="1"/>
  <c r="C585" i="8" a="1"/>
  <c r="C585" i="8" s="1"/>
  <c r="C586" i="8" a="1"/>
  <c r="C586" i="8" s="1"/>
  <c r="C587" i="8" a="1"/>
  <c r="C587" i="8" s="1"/>
  <c r="C588" i="8" a="1"/>
  <c r="C588" i="8" s="1"/>
  <c r="C589" i="8" a="1"/>
  <c r="C589" i="8" s="1"/>
  <c r="C590" i="8" a="1"/>
  <c r="C590" i="8"/>
  <c r="C591" i="8" a="1"/>
  <c r="C591" i="8" s="1"/>
  <c r="C592" i="8" a="1"/>
  <c r="C592" i="8" s="1"/>
  <c r="C593" i="8" a="1"/>
  <c r="C593" i="8" s="1"/>
  <c r="C594" i="8" a="1"/>
  <c r="C594" i="8" s="1"/>
  <c r="C595" i="8" a="1"/>
  <c r="C595" i="8" s="1"/>
  <c r="C596" i="8" a="1"/>
  <c r="C596" i="8" s="1"/>
  <c r="C597" i="8" a="1"/>
  <c r="C597" i="8" s="1"/>
  <c r="C598" i="8" a="1"/>
  <c r="C598" i="8"/>
  <c r="C599" i="8" a="1"/>
  <c r="C599" i="8" s="1"/>
  <c r="C600" i="8" a="1"/>
  <c r="C600" i="8" s="1"/>
  <c r="C601" i="8" a="1"/>
  <c r="C601" i="8"/>
  <c r="C602" i="8" a="1"/>
  <c r="C602" i="8"/>
  <c r="C603" i="8" a="1"/>
  <c r="C603" i="8" s="1"/>
  <c r="C604" i="8" a="1"/>
  <c r="C604" i="8" s="1"/>
  <c r="C605" i="8" a="1"/>
  <c r="C605" i="8" s="1"/>
  <c r="C606" i="8" a="1"/>
  <c r="C606" i="8" s="1"/>
  <c r="C607" i="8" a="1"/>
  <c r="C607" i="8" s="1"/>
  <c r="C608" i="8" a="1"/>
  <c r="C608" i="8"/>
  <c r="C609" i="8" a="1"/>
  <c r="C609" i="8" s="1"/>
  <c r="C610" i="8" a="1"/>
  <c r="C610" i="8" s="1"/>
  <c r="C611" i="8" a="1"/>
  <c r="C611" i="8" s="1"/>
  <c r="C612" i="8" a="1"/>
  <c r="C612" i="8" s="1"/>
  <c r="C613" i="8" a="1"/>
  <c r="C613" i="8" s="1"/>
  <c r="C614" i="8" a="1"/>
  <c r="C614" i="8" s="1"/>
  <c r="C615" i="8" a="1"/>
  <c r="C615" i="8" s="1"/>
  <c r="C616" i="8" a="1"/>
  <c r="C616" i="8" s="1"/>
  <c r="C617" i="8" a="1"/>
  <c r="C617" i="8" s="1"/>
  <c r="C618" i="8" a="1"/>
  <c r="C618" i="8" s="1"/>
  <c r="C619" i="8" a="1"/>
  <c r="C619" i="8" s="1"/>
  <c r="C620" i="8" a="1"/>
  <c r="C620" i="8" s="1"/>
  <c r="C621" i="8" a="1"/>
  <c r="C621" i="8" s="1"/>
  <c r="C622" i="8" a="1"/>
  <c r="C622" i="8" s="1"/>
  <c r="C623" i="8" a="1"/>
  <c r="C623" i="8" s="1"/>
  <c r="C624" i="8" a="1"/>
  <c r="C624" i="8" s="1"/>
  <c r="C625" i="8" a="1"/>
  <c r="C625" i="8" s="1"/>
  <c r="C626" i="8" a="1"/>
  <c r="C626" i="8" s="1"/>
  <c r="C627" i="8" a="1"/>
  <c r="C627" i="8" s="1"/>
  <c r="C628" i="8" a="1"/>
  <c r="C628" i="8" s="1"/>
  <c r="C629" i="8" a="1"/>
  <c r="C629" i="8" s="1"/>
  <c r="C630" i="8" a="1"/>
  <c r="C630" i="8" s="1"/>
  <c r="C631" i="8" a="1"/>
  <c r="C631" i="8" s="1"/>
  <c r="C632" i="8" a="1"/>
  <c r="C632" i="8"/>
  <c r="C633" i="8" a="1"/>
  <c r="C633" i="8"/>
  <c r="C634" i="8" a="1"/>
  <c r="C634" i="8" s="1"/>
  <c r="C635" i="8" a="1"/>
  <c r="C635" i="8"/>
  <c r="C636" i="8" a="1"/>
  <c r="C636" i="8" s="1"/>
  <c r="C637" i="8" a="1"/>
  <c r="C637" i="8" s="1"/>
  <c r="C638" i="8" a="1"/>
  <c r="C638" i="8" s="1"/>
  <c r="C639" i="8" a="1"/>
  <c r="C639" i="8" s="1"/>
  <c r="C640" i="8" a="1"/>
  <c r="C640" i="8" s="1"/>
  <c r="C641" i="8" a="1"/>
  <c r="C641" i="8" s="1"/>
  <c r="C642" i="8" a="1"/>
  <c r="C642" i="8" s="1"/>
  <c r="C643" i="8" a="1"/>
  <c r="C643" i="8" s="1"/>
  <c r="C644" i="8" a="1"/>
  <c r="C644" i="8" s="1"/>
  <c r="C645" i="8" a="1"/>
  <c r="C645" i="8" s="1"/>
  <c r="C646" i="8" a="1"/>
  <c r="C646" i="8" s="1"/>
  <c r="C647" i="8" a="1"/>
  <c r="C647" i="8" s="1"/>
  <c r="C648" i="8" a="1"/>
  <c r="C648" i="8" s="1"/>
  <c r="C649" i="8" a="1"/>
  <c r="C649" i="8"/>
  <c r="C650" i="8" a="1"/>
  <c r="C650" i="8"/>
  <c r="C651" i="8" a="1"/>
  <c r="C651" i="8" s="1"/>
  <c r="C652" i="8" a="1"/>
  <c r="C652" i="8" s="1"/>
  <c r="C653" i="8" a="1"/>
  <c r="C653" i="8" s="1"/>
  <c r="C654" i="8" a="1"/>
  <c r="C654" i="8" s="1"/>
  <c r="C655" i="8" a="1"/>
  <c r="C655" i="8" s="1"/>
  <c r="C656" i="8" a="1"/>
  <c r="C656" i="8" s="1"/>
  <c r="C657" i="8" a="1"/>
  <c r="C657" i="8" s="1"/>
  <c r="C658" i="8" a="1"/>
  <c r="C658" i="8" s="1"/>
  <c r="C659" i="8" a="1"/>
  <c r="C659" i="8" s="1"/>
  <c r="C660" i="8" a="1"/>
  <c r="C660" i="8" s="1"/>
  <c r="C661" i="8" a="1"/>
  <c r="C661" i="8" s="1"/>
  <c r="C662" i="8" a="1"/>
  <c r="C662" i="8" s="1"/>
  <c r="C663" i="8" a="1"/>
  <c r="C663" i="8" s="1"/>
  <c r="C664" i="8" a="1"/>
  <c r="C664" i="8" s="1"/>
  <c r="C665" i="8" a="1"/>
  <c r="C665" i="8"/>
  <c r="C666" i="8" a="1"/>
  <c r="C666" i="8"/>
  <c r="C667" i="8" a="1"/>
  <c r="C667" i="8"/>
  <c r="C668" i="8" a="1"/>
  <c r="C668" i="8" s="1"/>
  <c r="C669" i="8" a="1"/>
  <c r="C669" i="8" s="1"/>
  <c r="C670" i="8" a="1"/>
  <c r="C670" i="8" s="1"/>
  <c r="C671" i="8" a="1"/>
  <c r="C671" i="8" s="1"/>
  <c r="C672" i="8" a="1"/>
  <c r="C672" i="8" s="1"/>
  <c r="C673" i="8" a="1"/>
  <c r="C673" i="8" s="1"/>
  <c r="C674" i="8" a="1"/>
  <c r="C674" i="8" s="1"/>
  <c r="C675" i="8" a="1"/>
  <c r="C675" i="8" s="1"/>
  <c r="C676" i="8" a="1"/>
  <c r="C676" i="8" s="1"/>
  <c r="C677" i="8" a="1"/>
  <c r="C677" i="8" s="1"/>
  <c r="C678" i="8" a="1"/>
  <c r="C678" i="8" s="1"/>
  <c r="C679" i="8" a="1"/>
  <c r="C679" i="8" s="1"/>
  <c r="C680" i="8" a="1"/>
  <c r="C680" i="8" s="1"/>
  <c r="C681" i="8" a="1"/>
  <c r="C681" i="8" s="1"/>
  <c r="C682" i="8" a="1"/>
  <c r="C682" i="8"/>
  <c r="C683" i="8" a="1"/>
  <c r="C683" i="8" s="1"/>
  <c r="C684" i="8" a="1"/>
  <c r="C684" i="8" s="1"/>
  <c r="C685" i="8" a="1"/>
  <c r="C685" i="8"/>
  <c r="C686" i="8" a="1"/>
  <c r="C686" i="8" s="1"/>
  <c r="C687" i="8" a="1"/>
  <c r="C687" i="8" s="1"/>
  <c r="C688" i="8" a="1"/>
  <c r="C688" i="8" s="1"/>
  <c r="C689" i="8" a="1"/>
  <c r="C689" i="8" s="1"/>
  <c r="C690" i="8" a="1"/>
  <c r="C690" i="8"/>
  <c r="C691" i="8" a="1"/>
  <c r="C691" i="8" s="1"/>
  <c r="C692" i="8" a="1"/>
  <c r="C692" i="8" s="1"/>
  <c r="C693" i="8" a="1"/>
  <c r="C693" i="8"/>
  <c r="C694" i="8" a="1"/>
  <c r="C694" i="8" s="1"/>
  <c r="C695" i="8" a="1"/>
  <c r="C695" i="8"/>
  <c r="C696" i="8" a="1"/>
  <c r="C696" i="8"/>
  <c r="C697" i="8" a="1"/>
  <c r="C697" i="8"/>
  <c r="C698" i="8" a="1"/>
  <c r="C698" i="8"/>
  <c r="C699" i="8" a="1"/>
  <c r="C699" i="8" s="1"/>
  <c r="C700" i="8" a="1"/>
  <c r="C700" i="8"/>
  <c r="C701" i="8" a="1"/>
  <c r="C701" i="8" s="1"/>
  <c r="C702" i="8" a="1"/>
  <c r="C702" i="8" s="1"/>
  <c r="C703" i="8" a="1"/>
  <c r="C703" i="8" s="1"/>
  <c r="C704" i="8" a="1"/>
  <c r="C704" i="8" s="1"/>
  <c r="C705" i="8" a="1"/>
  <c r="C705" i="8" s="1"/>
  <c r="C706" i="8" a="1"/>
  <c r="C706" i="8" s="1"/>
  <c r="C707" i="8" a="1"/>
  <c r="C707" i="8"/>
  <c r="C708" i="8" a="1"/>
  <c r="C708" i="8" s="1"/>
  <c r="C709" i="8" a="1"/>
  <c r="C709" i="8" s="1"/>
  <c r="C710" i="8" a="1"/>
  <c r="C710" i="8" s="1"/>
  <c r="C711" i="8" a="1"/>
  <c r="C711" i="8" s="1"/>
  <c r="C712" i="8" a="1"/>
  <c r="C712" i="8"/>
  <c r="C713" i="8" a="1"/>
  <c r="C713" i="8"/>
  <c r="C714" i="8" a="1"/>
  <c r="C714" i="8"/>
  <c r="C715" i="8" a="1"/>
  <c r="C715" i="8"/>
  <c r="C716" i="8" a="1"/>
  <c r="C716" i="8" s="1"/>
  <c r="C717" i="8" a="1"/>
  <c r="C717" i="8"/>
  <c r="C718" i="8" a="1"/>
  <c r="C718" i="8" s="1"/>
  <c r="C719" i="8" a="1"/>
  <c r="C719" i="8"/>
  <c r="C720" i="8" a="1"/>
  <c r="C720" i="8" s="1"/>
  <c r="C721" i="8" a="1"/>
  <c r="C721" i="8" s="1"/>
  <c r="C722" i="8" a="1"/>
  <c r="C722" i="8" s="1"/>
  <c r="C723" i="8" a="1"/>
  <c r="C723" i="8" s="1"/>
  <c r="C724" i="8" a="1"/>
  <c r="C724" i="8"/>
  <c r="C725" i="8" a="1"/>
  <c r="C725" i="8" s="1"/>
  <c r="C726" i="8" a="1"/>
  <c r="C726" i="8" s="1"/>
  <c r="C727" i="8" a="1"/>
  <c r="C727" i="8" s="1"/>
  <c r="C728" i="8" a="1"/>
  <c r="C728" i="8" s="1"/>
  <c r="C729" i="8" a="1"/>
  <c r="C729" i="8"/>
  <c r="C730" i="8" a="1"/>
  <c r="C730" i="8"/>
  <c r="C731" i="8" a="1"/>
  <c r="C731" i="8"/>
  <c r="C732" i="8" a="1"/>
  <c r="C732" i="8"/>
  <c r="C733" i="8" a="1"/>
  <c r="C733" i="8" s="1"/>
  <c r="C734" i="8" a="1"/>
  <c r="C734" i="8" s="1"/>
  <c r="C735" i="8" a="1"/>
  <c r="C735" i="8"/>
  <c r="C736" i="8" a="1"/>
  <c r="C736" i="8" s="1"/>
  <c r="C737" i="8" a="1"/>
  <c r="C737" i="8" s="1"/>
  <c r="C738" i="8" a="1"/>
  <c r="C738" i="8"/>
  <c r="C739" i="8" a="1"/>
  <c r="C739" i="8"/>
  <c r="C740" i="8" a="1"/>
  <c r="C740" i="8"/>
  <c r="C741" i="8" a="1"/>
  <c r="C741" i="8"/>
  <c r="C742" i="8" a="1"/>
  <c r="C742" i="8" s="1"/>
  <c r="C743" i="8" a="1"/>
  <c r="C743" i="8" s="1"/>
  <c r="C744" i="8" a="1"/>
  <c r="C744" i="8" s="1"/>
  <c r="C745" i="8" a="1"/>
  <c r="C745" i="8" s="1"/>
  <c r="C746" i="8" a="1"/>
  <c r="C746" i="8" s="1"/>
  <c r="C747" i="8" a="1"/>
  <c r="C747" i="8"/>
  <c r="C748" i="8" a="1"/>
  <c r="C748" i="8"/>
  <c r="C749" i="8" a="1"/>
  <c r="C749" i="8"/>
  <c r="C750" i="8" a="1"/>
  <c r="C750" i="8" s="1"/>
  <c r="C751" i="8" a="1"/>
  <c r="C751" i="8"/>
  <c r="C752" i="8" a="1"/>
  <c r="C752" i="8" s="1"/>
  <c r="C753" i="8" a="1"/>
  <c r="C753" i="8" s="1"/>
  <c r="C754" i="8" a="1"/>
  <c r="C754" i="8"/>
  <c r="C755" i="8" a="1"/>
  <c r="C755" i="8"/>
  <c r="C756" i="8" a="1"/>
  <c r="C756" i="8" s="1"/>
  <c r="C757" i="8" a="1"/>
  <c r="C757" i="8" s="1"/>
  <c r="C758" i="8" a="1"/>
  <c r="C758" i="8" s="1"/>
  <c r="C759" i="8" a="1"/>
  <c r="C759" i="8"/>
  <c r="C760" i="8" a="1"/>
  <c r="C760" i="8" s="1"/>
  <c r="C761" i="8" a="1"/>
  <c r="C761" i="8" s="1"/>
  <c r="C762" i="8" a="1"/>
  <c r="C762" i="8" s="1"/>
  <c r="C763" i="8" a="1"/>
  <c r="C763" i="8"/>
  <c r="C764" i="8" a="1"/>
  <c r="C764" i="8" s="1"/>
  <c r="C765" i="8" a="1"/>
  <c r="C765" i="8"/>
  <c r="C766" i="8" a="1"/>
  <c r="C766" i="8" s="1"/>
  <c r="C767" i="8" a="1"/>
  <c r="C767" i="8"/>
  <c r="C768" i="8" a="1"/>
  <c r="C768" i="8" s="1"/>
  <c r="C769" i="8" a="1"/>
  <c r="C769" i="8" s="1"/>
  <c r="C770" i="8" a="1"/>
  <c r="C770" i="8" s="1"/>
  <c r="C771" i="8" a="1"/>
  <c r="C771" i="8" s="1"/>
  <c r="C772" i="8" a="1"/>
  <c r="C772" i="8" s="1"/>
  <c r="C773" i="8" a="1"/>
  <c r="C773" i="8" s="1"/>
  <c r="C774" i="8" a="1"/>
  <c r="C774" i="8" s="1"/>
  <c r="C775" i="8" a="1"/>
  <c r="C775" i="8"/>
  <c r="C776" i="8" a="1"/>
  <c r="C776" i="8" s="1"/>
  <c r="C777" i="8" a="1"/>
  <c r="C777" i="8" s="1"/>
  <c r="C778" i="8" a="1"/>
  <c r="C778" i="8" s="1"/>
  <c r="C779" i="8" a="1"/>
  <c r="C779" i="8"/>
  <c r="C780" i="8" a="1"/>
  <c r="C780" i="8" s="1"/>
  <c r="C781" i="8" a="1"/>
  <c r="C781" i="8" s="1"/>
  <c r="C782" i="8" a="1"/>
  <c r="C782" i="8" s="1"/>
  <c r="C783" i="8" a="1"/>
  <c r="C783" i="8"/>
  <c r="C784" i="8" a="1"/>
  <c r="C784" i="8" s="1"/>
  <c r="C785" i="8" a="1"/>
  <c r="C785" i="8" s="1"/>
  <c r="C786" i="8" a="1"/>
  <c r="C786" i="8" s="1"/>
  <c r="C787" i="8" a="1"/>
  <c r="C787" i="8"/>
  <c r="C788" i="8" a="1"/>
  <c r="C788" i="8" s="1"/>
  <c r="C789" i="8" a="1"/>
  <c r="C789" i="8" s="1"/>
  <c r="C790" i="8" a="1"/>
  <c r="C790" i="8" s="1"/>
  <c r="C791" i="8" a="1"/>
  <c r="C791" i="8"/>
  <c r="C792" i="8" a="1"/>
  <c r="C792" i="8" s="1"/>
  <c r="C793" i="8" a="1"/>
  <c r="C793" i="8" s="1"/>
  <c r="C794" i="8" a="1"/>
  <c r="C794" i="8" s="1"/>
  <c r="C795" i="8" a="1"/>
  <c r="C795" i="8" s="1"/>
  <c r="C796" i="8" a="1"/>
  <c r="C796" i="8" s="1"/>
  <c r="C797" i="8" a="1"/>
  <c r="C797" i="8" s="1"/>
  <c r="C798" i="8" a="1"/>
  <c r="C798" i="8" s="1"/>
  <c r="C799" i="8" a="1"/>
  <c r="C799" i="8" s="1"/>
  <c r="C800" i="8" a="1"/>
  <c r="C800" i="8" s="1"/>
  <c r="C801" i="8" a="1"/>
  <c r="C801" i="8" s="1"/>
  <c r="C802" i="8" a="1"/>
  <c r="C802" i="8" s="1"/>
  <c r="C803" i="8" a="1"/>
  <c r="C803" i="8" s="1"/>
  <c r="C804" i="8" a="1"/>
  <c r="C804" i="8" s="1"/>
  <c r="C805" i="8" a="1"/>
  <c r="C805" i="8" s="1"/>
  <c r="C806" i="8" a="1"/>
  <c r="C806" i="8" s="1"/>
  <c r="C807" i="8" a="1"/>
  <c r="C807" i="8"/>
  <c r="C808" i="8" a="1"/>
  <c r="C808" i="8" s="1"/>
  <c r="C809" i="8" a="1"/>
  <c r="C809" i="8" s="1"/>
  <c r="C810" i="8" a="1"/>
  <c r="C810" i="8" s="1"/>
  <c r="C811" i="8" a="1"/>
  <c r="C811" i="8" s="1"/>
  <c r="C812" i="8" a="1"/>
  <c r="C812" i="8" s="1"/>
  <c r="C813" i="8" a="1"/>
  <c r="C813" i="8" s="1"/>
  <c r="C814" i="8" a="1"/>
  <c r="C814" i="8" s="1"/>
  <c r="C815" i="8" a="1"/>
  <c r="C815" i="8"/>
  <c r="C816" i="8" a="1"/>
  <c r="C816" i="8" s="1"/>
  <c r="C817" i="8" a="1"/>
  <c r="C817" i="8" s="1"/>
  <c r="C818" i="8" a="1"/>
  <c r="C818" i="8" s="1"/>
  <c r="C819" i="8" a="1"/>
  <c r="C819" i="8" s="1"/>
  <c r="C820" i="8" a="1"/>
  <c r="C820" i="8" s="1"/>
  <c r="C821" i="8" a="1"/>
  <c r="C821" i="8" s="1"/>
  <c r="C822" i="8" a="1"/>
  <c r="C822" i="8" s="1"/>
  <c r="C823" i="8" a="1"/>
  <c r="C823" i="8"/>
  <c r="C824" i="8" a="1"/>
  <c r="C824" i="8" s="1"/>
  <c r="C825" i="8" a="1"/>
  <c r="C825" i="8" s="1"/>
  <c r="C826" i="8" a="1"/>
  <c r="C826" i="8" s="1"/>
  <c r="C827" i="8" a="1"/>
  <c r="C827" i="8" s="1"/>
  <c r="C828" i="8" a="1"/>
  <c r="C828" i="8" s="1"/>
  <c r="C829" i="8" a="1"/>
  <c r="C829" i="8" s="1"/>
  <c r="C830" i="8" a="1"/>
  <c r="C830" i="8" s="1"/>
  <c r="C831" i="8" a="1"/>
  <c r="C831" i="8" s="1"/>
  <c r="C832" i="8" a="1"/>
  <c r="C832" i="8" s="1"/>
  <c r="C833" i="8" a="1"/>
  <c r="C833" i="8" s="1"/>
  <c r="C834" i="8" a="1"/>
  <c r="C834" i="8" s="1"/>
  <c r="C835" i="8" a="1"/>
  <c r="C835" i="8" s="1"/>
  <c r="C836" i="8" a="1"/>
  <c r="C836" i="8" s="1"/>
  <c r="C837" i="8" a="1"/>
  <c r="C837" i="8" s="1"/>
  <c r="C838" i="8" a="1"/>
  <c r="C838" i="8" s="1"/>
  <c r="C839" i="8" a="1"/>
  <c r="C839" i="8" s="1"/>
  <c r="C840" i="8" a="1"/>
  <c r="C840" i="8" s="1"/>
  <c r="C841" i="8" a="1"/>
  <c r="C841" i="8" s="1"/>
  <c r="C842" i="8" a="1"/>
  <c r="C842" i="8" s="1"/>
  <c r="C843" i="8" a="1"/>
  <c r="C843" i="8" s="1"/>
  <c r="C844" i="8" a="1"/>
  <c r="C844" i="8" s="1"/>
  <c r="C845" i="8" a="1"/>
  <c r="C845" i="8" s="1"/>
  <c r="C846" i="8" a="1"/>
  <c r="C846" i="8" s="1"/>
  <c r="C847" i="8" a="1"/>
  <c r="C847" i="8" s="1"/>
  <c r="C848" i="8" a="1"/>
  <c r="C848" i="8" s="1"/>
  <c r="C849" i="8" a="1"/>
  <c r="C849" i="8" s="1"/>
  <c r="C850" i="8" a="1"/>
  <c r="C850" i="8" s="1"/>
  <c r="C851" i="8" a="1"/>
  <c r="C851" i="8" s="1"/>
  <c r="C852" i="8" a="1"/>
  <c r="C852" i="8" s="1"/>
  <c r="C853" i="8" a="1"/>
  <c r="C853" i="8" s="1"/>
  <c r="C854" i="8" a="1"/>
  <c r="C854" i="8" s="1"/>
  <c r="C855" i="8" a="1"/>
  <c r="C855" i="8" s="1"/>
  <c r="C856" i="8" a="1"/>
  <c r="C856" i="8" s="1"/>
  <c r="C857" i="8" a="1"/>
  <c r="C857" i="8" s="1"/>
  <c r="C858" i="8" a="1"/>
  <c r="C858" i="8" s="1"/>
  <c r="C859" i="8" a="1"/>
  <c r="C859" i="8" s="1"/>
  <c r="C860" i="8" a="1"/>
  <c r="C860" i="8" s="1"/>
  <c r="C861" i="8" a="1"/>
  <c r="C861" i="8" s="1"/>
  <c r="C862" i="8" a="1"/>
  <c r="C862" i="8" s="1"/>
  <c r="C863" i="8" a="1"/>
  <c r="C863" i="8" s="1"/>
  <c r="C864" i="8" a="1"/>
  <c r="C864" i="8" s="1"/>
  <c r="C865" i="8" a="1"/>
  <c r="C865" i="8" s="1"/>
  <c r="C866" i="8" a="1"/>
  <c r="C866" i="8" s="1"/>
  <c r="C867" i="8" a="1"/>
  <c r="C867" i="8" s="1"/>
  <c r="C868" i="8" a="1"/>
  <c r="C868" i="8" s="1"/>
  <c r="C869" i="8" a="1"/>
  <c r="C869" i="8" s="1"/>
  <c r="C870" i="8" a="1"/>
  <c r="C870" i="8" s="1"/>
  <c r="C871" i="8" a="1"/>
  <c r="C871" i="8" s="1"/>
  <c r="C872" i="8" a="1"/>
  <c r="C872" i="8" s="1"/>
  <c r="C873" i="8" a="1"/>
  <c r="C873" i="8" s="1"/>
  <c r="C874" i="8" a="1"/>
  <c r="C874" i="8" s="1"/>
  <c r="C875" i="8" a="1"/>
  <c r="C875" i="8" s="1"/>
  <c r="C876" i="8" a="1"/>
  <c r="C876" i="8" s="1"/>
  <c r="C877" i="8" a="1"/>
  <c r="C877" i="8" s="1"/>
  <c r="C878" i="8" a="1"/>
  <c r="C878" i="8" s="1"/>
  <c r="C879" i="8" a="1"/>
  <c r="C879" i="8" s="1"/>
  <c r="C880" i="8" a="1"/>
  <c r="C880" i="8" s="1"/>
  <c r="C881" i="8" a="1"/>
  <c r="C881" i="8" s="1"/>
  <c r="C882" i="8" a="1"/>
  <c r="C882" i="8" s="1"/>
  <c r="C883" i="8" a="1"/>
  <c r="C883" i="8" s="1"/>
  <c r="C884" i="8" a="1"/>
  <c r="C884" i="8" s="1"/>
  <c r="C885" i="8" a="1"/>
  <c r="C885" i="8" s="1"/>
  <c r="C886" i="8" a="1"/>
  <c r="C886" i="8" s="1"/>
  <c r="C887" i="8" a="1"/>
  <c r="C887" i="8" s="1"/>
  <c r="C888" i="8" a="1"/>
  <c r="C888" i="8" s="1"/>
  <c r="C889" i="8" a="1"/>
  <c r="C889" i="8" s="1"/>
  <c r="C890" i="8" a="1"/>
  <c r="C890" i="8" s="1"/>
  <c r="C891" i="8" a="1"/>
  <c r="C891" i="8" s="1"/>
  <c r="C892" i="8" a="1"/>
  <c r="C892" i="8" s="1"/>
  <c r="C893" i="8" a="1"/>
  <c r="C893" i="8" s="1"/>
  <c r="C894" i="8" a="1"/>
  <c r="C894" i="8" s="1"/>
  <c r="C895" i="8" a="1"/>
  <c r="C895" i="8" s="1"/>
  <c r="C896" i="8" a="1"/>
  <c r="C896" i="8" s="1"/>
  <c r="C897" i="8" a="1"/>
  <c r="C897" i="8" s="1"/>
  <c r="C898" i="8" a="1"/>
  <c r="C898" i="8" s="1"/>
  <c r="C899" i="8" a="1"/>
  <c r="C899" i="8" s="1"/>
  <c r="C900" i="8" a="1"/>
  <c r="C900" i="8" s="1"/>
  <c r="C901" i="8" a="1"/>
  <c r="C901" i="8" s="1"/>
  <c r="C902" i="8" a="1"/>
  <c r="C902" i="8" s="1"/>
  <c r="C903" i="8" a="1"/>
  <c r="C903" i="8" s="1"/>
  <c r="C904" i="8" a="1"/>
  <c r="C904" i="8" s="1"/>
  <c r="C905" i="8" a="1"/>
  <c r="C905" i="8" s="1"/>
  <c r="C906" i="8" a="1"/>
  <c r="C906" i="8" s="1"/>
  <c r="C907" i="8" a="1"/>
  <c r="C907" i="8" s="1"/>
  <c r="C908" i="8" a="1"/>
  <c r="C908" i="8" s="1"/>
  <c r="C909" i="8" a="1"/>
  <c r="C909" i="8" s="1"/>
  <c r="C910" i="8" a="1"/>
  <c r="C910" i="8" s="1"/>
  <c r="C911" i="8" a="1"/>
  <c r="C911" i="8" s="1"/>
  <c r="C912" i="8" a="1"/>
  <c r="C912" i="8" s="1"/>
  <c r="C913" i="8" a="1"/>
  <c r="C913" i="8" s="1"/>
  <c r="C914" i="8" a="1"/>
  <c r="C914" i="8" s="1"/>
  <c r="C915" i="8" a="1"/>
  <c r="C915" i="8" s="1"/>
  <c r="C916" i="8" a="1"/>
  <c r="C916" i="8" s="1"/>
  <c r="C917" i="8" a="1"/>
  <c r="C917" i="8" s="1"/>
  <c r="C918" i="8" a="1"/>
  <c r="C918" i="8" s="1"/>
  <c r="C919" i="8" a="1"/>
  <c r="C919" i="8" s="1"/>
  <c r="C920" i="8" a="1"/>
  <c r="C920" i="8" s="1"/>
  <c r="C921" i="8" a="1"/>
  <c r="C921" i="8" s="1"/>
  <c r="C922" i="8" a="1"/>
  <c r="C922" i="8" s="1"/>
  <c r="C923" i="8" a="1"/>
  <c r="C923" i="8" s="1"/>
  <c r="C924" i="8" a="1"/>
  <c r="C924" i="8" s="1"/>
  <c r="C925" i="8" a="1"/>
  <c r="C925" i="8" s="1"/>
  <c r="C926" i="8" a="1"/>
  <c r="C926" i="8" s="1"/>
  <c r="C927" i="8" a="1"/>
  <c r="C927" i="8" s="1"/>
  <c r="C928" i="8" a="1"/>
  <c r="C928" i="8" s="1"/>
  <c r="C929" i="8" a="1"/>
  <c r="C929" i="8" s="1"/>
  <c r="C930" i="8" a="1"/>
  <c r="C930" i="8" s="1"/>
  <c r="C931" i="8" a="1"/>
  <c r="C931" i="8" s="1"/>
  <c r="C932" i="8" a="1"/>
  <c r="C932" i="8" s="1"/>
  <c r="C933" i="8" a="1"/>
  <c r="C933" i="8" s="1"/>
  <c r="C934" i="8" a="1"/>
  <c r="C934" i="8" s="1"/>
  <c r="C935" i="8" a="1"/>
  <c r="C935" i="8" s="1"/>
  <c r="C936" i="8" a="1"/>
  <c r="C936" i="8" s="1"/>
  <c r="C937" i="8" a="1"/>
  <c r="C937" i="8" s="1"/>
  <c r="C938" i="8" a="1"/>
  <c r="C938" i="8" s="1"/>
  <c r="C939" i="8" a="1"/>
  <c r="C939" i="8" s="1"/>
  <c r="C940" i="8" a="1"/>
  <c r="C940" i="8" s="1"/>
  <c r="C941" i="8" a="1"/>
  <c r="C941" i="8" s="1"/>
  <c r="C942" i="8" a="1"/>
  <c r="C942" i="8" s="1"/>
  <c r="C943" i="8" a="1"/>
  <c r="C943" i="8" s="1"/>
  <c r="C944" i="8" a="1"/>
  <c r="C944" i="8" s="1"/>
  <c r="C945" i="8" a="1"/>
  <c r="C945" i="8" s="1"/>
  <c r="C946" i="8" a="1"/>
  <c r="C946" i="8" s="1"/>
  <c r="C947" i="8" a="1"/>
  <c r="C947" i="8" s="1"/>
  <c r="C948" i="8" a="1"/>
  <c r="C948" i="8" s="1"/>
  <c r="C949" i="8" a="1"/>
  <c r="C949" i="8" s="1"/>
  <c r="C950" i="8" a="1"/>
  <c r="C950" i="8" s="1"/>
  <c r="C951" i="8" a="1"/>
  <c r="C951" i="8" s="1"/>
  <c r="C952" i="8" a="1"/>
  <c r="C952" i="8" s="1"/>
  <c r="C953" i="8" a="1"/>
  <c r="C953" i="8" s="1"/>
  <c r="C954" i="8" a="1"/>
  <c r="C954" i="8" s="1"/>
  <c r="C955" i="8" a="1"/>
  <c r="C955" i="8" s="1"/>
  <c r="C956" i="8" a="1"/>
  <c r="C956" i="8" s="1"/>
  <c r="C957" i="8" a="1"/>
  <c r="C957" i="8" s="1"/>
  <c r="C958" i="8" a="1"/>
  <c r="C958" i="8" s="1"/>
  <c r="C959" i="8" a="1"/>
  <c r="C959" i="8" s="1"/>
  <c r="C960" i="8" a="1"/>
  <c r="C960" i="8" s="1"/>
  <c r="C961" i="8" a="1"/>
  <c r="C961" i="8" s="1"/>
  <c r="C962" i="8" a="1"/>
  <c r="C962" i="8" s="1"/>
  <c r="C963" i="8" a="1"/>
  <c r="C963" i="8" s="1"/>
  <c r="C964" i="8" a="1"/>
  <c r="C964" i="8" s="1"/>
  <c r="C965" i="8" a="1"/>
  <c r="C965" i="8" s="1"/>
  <c r="C966" i="8" a="1"/>
  <c r="C966" i="8" s="1"/>
  <c r="C967" i="8" a="1"/>
  <c r="C967" i="8" s="1"/>
  <c r="C968" i="8" a="1"/>
  <c r="C968" i="8" s="1"/>
  <c r="C969" i="8" a="1"/>
  <c r="C969" i="8" s="1"/>
  <c r="C970" i="8" a="1"/>
  <c r="C970" i="8" s="1"/>
  <c r="C971" i="8" a="1"/>
  <c r="C971" i="8" s="1"/>
  <c r="C972" i="8" a="1"/>
  <c r="C972" i="8" s="1"/>
  <c r="C973" i="8" a="1"/>
  <c r="C973" i="8" s="1"/>
  <c r="C974" i="8" a="1"/>
  <c r="C974" i="8" s="1"/>
  <c r="C975" i="8" a="1"/>
  <c r="C975" i="8" s="1"/>
  <c r="E5" i="8" a="1"/>
  <c r="E5" i="8" s="1"/>
  <c r="E6" i="8" a="1"/>
  <c r="E6" i="8" s="1"/>
  <c r="E7" i="8" a="1"/>
  <c r="E7" i="8" s="1"/>
  <c r="E8" i="8" a="1"/>
  <c r="E8" i="8" s="1"/>
  <c r="E9" i="8" a="1"/>
  <c r="E9" i="8" s="1"/>
  <c r="E10" i="8" a="1"/>
  <c r="E10" i="8" s="1"/>
  <c r="E11" i="8" a="1"/>
  <c r="E11" i="8" s="1"/>
  <c r="E12" i="8" a="1"/>
  <c r="E12" i="8" s="1"/>
  <c r="E13" i="8" a="1"/>
  <c r="E13" i="8" s="1"/>
  <c r="E14" i="8" a="1"/>
  <c r="E14" i="8" s="1"/>
  <c r="E15" i="8" a="1"/>
  <c r="E15" i="8" s="1"/>
  <c r="E16" i="8" a="1"/>
  <c r="E16" i="8" s="1"/>
  <c r="E17" i="8" a="1"/>
  <c r="E17" i="8" s="1"/>
  <c r="E18" i="8" a="1"/>
  <c r="E18" i="8" s="1"/>
  <c r="E19" i="8" a="1"/>
  <c r="E19" i="8" s="1"/>
  <c r="E20" i="8" a="1"/>
  <c r="E20" i="8" s="1"/>
  <c r="E21" i="8" a="1"/>
  <c r="E21" i="8" s="1"/>
  <c r="E22" i="8" a="1"/>
  <c r="E22" i="8" s="1"/>
  <c r="E23" i="8" a="1"/>
  <c r="E23" i="8" s="1"/>
  <c r="E24" i="8" a="1"/>
  <c r="E24" i="8" s="1"/>
  <c r="E25" i="8" a="1"/>
  <c r="E25" i="8" s="1"/>
  <c r="E26" i="8" a="1"/>
  <c r="E26" i="8" s="1"/>
  <c r="E27" i="8" a="1"/>
  <c r="E27" i="8" s="1"/>
  <c r="E28" i="8" a="1"/>
  <c r="E28" i="8" s="1"/>
  <c r="E29" i="8" a="1"/>
  <c r="E29" i="8" s="1"/>
  <c r="E30" i="8" a="1"/>
  <c r="E30" i="8" s="1"/>
  <c r="E31" i="8" a="1"/>
  <c r="E31" i="8" s="1"/>
  <c r="E32" i="8" a="1"/>
  <c r="E32" i="8" s="1"/>
  <c r="E33" i="8" a="1"/>
  <c r="E33" i="8" s="1"/>
  <c r="E34" i="8" a="1"/>
  <c r="E34" i="8" s="1"/>
  <c r="E35" i="8" a="1"/>
  <c r="E35" i="8" s="1"/>
  <c r="E36" i="8" a="1"/>
  <c r="E36" i="8" s="1"/>
  <c r="E37" i="8" a="1"/>
  <c r="E37" i="8" s="1"/>
  <c r="E38" i="8" a="1"/>
  <c r="E38" i="8" s="1"/>
  <c r="E39" i="8" a="1"/>
  <c r="E39" i="8" s="1"/>
  <c r="E40" i="8" a="1"/>
  <c r="E40" i="8" s="1"/>
  <c r="E41" i="8" a="1"/>
  <c r="E41" i="8" s="1"/>
  <c r="E42" i="8" a="1"/>
  <c r="E42" i="8" s="1"/>
  <c r="E43" i="8" a="1"/>
  <c r="E43" i="8" s="1"/>
  <c r="E44" i="8" a="1"/>
  <c r="E44" i="8" s="1"/>
  <c r="E45" i="8" a="1"/>
  <c r="E45" i="8" s="1"/>
  <c r="E46" i="8" a="1"/>
  <c r="E46" i="8" s="1"/>
  <c r="E47" i="8" a="1"/>
  <c r="E47" i="8" s="1"/>
  <c r="E48" i="8" a="1"/>
  <c r="E48" i="8" s="1"/>
  <c r="E49" i="8" a="1"/>
  <c r="E49" i="8" s="1"/>
  <c r="E50" i="8" a="1"/>
  <c r="E50" i="8" s="1"/>
  <c r="E51" i="8" a="1"/>
  <c r="E51" i="8" s="1"/>
  <c r="E52" i="8" a="1"/>
  <c r="E52" i="8" s="1"/>
  <c r="E53" i="8" a="1"/>
  <c r="E53" i="8" s="1"/>
  <c r="E54" i="8" a="1"/>
  <c r="E54" i="8" s="1"/>
  <c r="E55" i="8" a="1"/>
  <c r="E55" i="8" s="1"/>
  <c r="E56" i="8" a="1"/>
  <c r="E56" i="8" s="1"/>
  <c r="E57" i="8" a="1"/>
  <c r="E57" i="8" s="1"/>
  <c r="E58" i="8" a="1"/>
  <c r="E58" i="8" s="1"/>
  <c r="E59" i="8" a="1"/>
  <c r="E59" i="8" s="1"/>
  <c r="E60" i="8" a="1"/>
  <c r="E60" i="8" s="1"/>
  <c r="E61" i="8" a="1"/>
  <c r="E61" i="8" s="1"/>
  <c r="E62" i="8" a="1"/>
  <c r="E62" i="8" s="1"/>
  <c r="E63" i="8" a="1"/>
  <c r="E63" i="8" s="1"/>
  <c r="E64" i="8" a="1"/>
  <c r="E64" i="8" s="1"/>
  <c r="E65" i="8" a="1"/>
  <c r="E65" i="8" s="1"/>
  <c r="E66" i="8" a="1"/>
  <c r="E66" i="8" s="1"/>
  <c r="E67" i="8" a="1"/>
  <c r="E67" i="8" s="1"/>
  <c r="E68" i="8" a="1"/>
  <c r="E68" i="8" s="1"/>
  <c r="E69" i="8" a="1"/>
  <c r="E69" i="8" s="1"/>
  <c r="E70" i="8" a="1"/>
  <c r="E70" i="8" s="1"/>
  <c r="E71" i="8" a="1"/>
  <c r="E71" i="8" s="1"/>
  <c r="E72" i="8" a="1"/>
  <c r="E72" i="8" s="1"/>
  <c r="E73" i="8" a="1"/>
  <c r="E73" i="8" s="1"/>
  <c r="E74" i="8" a="1"/>
  <c r="E74" i="8" s="1"/>
  <c r="E75" i="8" a="1"/>
  <c r="E75" i="8" s="1"/>
  <c r="E76" i="8" a="1"/>
  <c r="E76" i="8" s="1"/>
  <c r="E77" i="8" a="1"/>
  <c r="E77" i="8" s="1"/>
  <c r="E78" i="8" a="1"/>
  <c r="E78" i="8" s="1"/>
  <c r="E79" i="8" a="1"/>
  <c r="E79" i="8" s="1"/>
  <c r="E80" i="8" a="1"/>
  <c r="E80" i="8" s="1"/>
  <c r="E81" i="8" a="1"/>
  <c r="E81" i="8" s="1"/>
  <c r="E82" i="8" a="1"/>
  <c r="E82" i="8" s="1"/>
  <c r="E83" i="8" a="1"/>
  <c r="E83" i="8" s="1"/>
  <c r="E84" i="8" a="1"/>
  <c r="E84" i="8" s="1"/>
  <c r="E85" i="8" a="1"/>
  <c r="E85" i="8" s="1"/>
  <c r="E86" i="8" a="1"/>
  <c r="E86" i="8" s="1"/>
  <c r="E87" i="8" a="1"/>
  <c r="E87" i="8" s="1"/>
  <c r="E88" i="8" a="1"/>
  <c r="E88" i="8" s="1"/>
  <c r="E89" i="8" a="1"/>
  <c r="E89" i="8" s="1"/>
  <c r="E90" i="8" a="1"/>
  <c r="E90" i="8" s="1"/>
  <c r="E91" i="8" a="1"/>
  <c r="E91" i="8" s="1"/>
  <c r="E92" i="8" a="1"/>
  <c r="E92" i="8" s="1"/>
  <c r="E93" i="8" a="1"/>
  <c r="E93" i="8" s="1"/>
  <c r="E94" i="8" a="1"/>
  <c r="E94" i="8" s="1"/>
  <c r="E95" i="8" a="1"/>
  <c r="E95" i="8" s="1"/>
  <c r="E96" i="8" a="1"/>
  <c r="E96" i="8" s="1"/>
  <c r="E97" i="8" a="1"/>
  <c r="E97" i="8" s="1"/>
  <c r="E98" i="8" a="1"/>
  <c r="E98" i="8" s="1"/>
  <c r="E99" i="8" a="1"/>
  <c r="E99" i="8" s="1"/>
  <c r="E100" i="8" a="1"/>
  <c r="E100" i="8" s="1"/>
  <c r="E101" i="8" a="1"/>
  <c r="E101" i="8" s="1"/>
  <c r="E102" i="8" a="1"/>
  <c r="E102" i="8" s="1"/>
  <c r="E103" i="8" a="1"/>
  <c r="E103" i="8" s="1"/>
  <c r="E104" i="8" a="1"/>
  <c r="E104" i="8" s="1"/>
  <c r="E105" i="8" a="1"/>
  <c r="E105" i="8" s="1"/>
  <c r="E106" i="8" a="1"/>
  <c r="E106" i="8" s="1"/>
  <c r="E107" i="8" a="1"/>
  <c r="E107" i="8" s="1"/>
  <c r="E108" i="8" a="1"/>
  <c r="E108" i="8" s="1"/>
  <c r="E109" i="8" a="1"/>
  <c r="E109" i="8" s="1"/>
  <c r="E110" i="8" a="1"/>
  <c r="E110" i="8" s="1"/>
  <c r="E111" i="8" a="1"/>
  <c r="E111" i="8" s="1"/>
  <c r="E112" i="8" a="1"/>
  <c r="E112" i="8" s="1"/>
  <c r="E113" i="8" a="1"/>
  <c r="E113" i="8" s="1"/>
  <c r="E114" i="8" a="1"/>
  <c r="E114" i="8" s="1"/>
  <c r="E115" i="8" a="1"/>
  <c r="E115" i="8" s="1"/>
  <c r="E116" i="8" a="1"/>
  <c r="E116" i="8" s="1"/>
  <c r="E117" i="8" a="1"/>
  <c r="E117" i="8" s="1"/>
  <c r="E118" i="8" a="1"/>
  <c r="E118" i="8" s="1"/>
  <c r="E119" i="8" a="1"/>
  <c r="E119" i="8" s="1"/>
  <c r="E120" i="8" a="1"/>
  <c r="E120" i="8" s="1"/>
  <c r="E121" i="8" a="1"/>
  <c r="E121" i="8" s="1"/>
  <c r="E122" i="8" a="1"/>
  <c r="E122" i="8" s="1"/>
  <c r="E123" i="8" a="1"/>
  <c r="E123" i="8" s="1"/>
  <c r="E124" i="8" a="1"/>
  <c r="E124" i="8" s="1"/>
  <c r="E125" i="8" a="1"/>
  <c r="E125" i="8" s="1"/>
  <c r="E126" i="8" a="1"/>
  <c r="E126" i="8" s="1"/>
  <c r="E127" i="8" a="1"/>
  <c r="E127" i="8" s="1"/>
  <c r="E128" i="8" a="1"/>
  <c r="E128" i="8" s="1"/>
  <c r="E129" i="8" a="1"/>
  <c r="E129" i="8" s="1"/>
  <c r="E130" i="8" a="1"/>
  <c r="E130" i="8" s="1"/>
  <c r="E131" i="8" a="1"/>
  <c r="E131" i="8" s="1"/>
  <c r="E132" i="8" a="1"/>
  <c r="E132" i="8" s="1"/>
  <c r="E133" i="8" a="1"/>
  <c r="E133" i="8" s="1"/>
  <c r="E134" i="8" a="1"/>
  <c r="E134" i="8" s="1"/>
  <c r="E135" i="8" a="1"/>
  <c r="E135" i="8" s="1"/>
  <c r="E136" i="8" a="1"/>
  <c r="E136" i="8" s="1"/>
  <c r="E137" i="8" a="1"/>
  <c r="E137" i="8" s="1"/>
  <c r="E138" i="8" a="1"/>
  <c r="E138" i="8" s="1"/>
  <c r="E139" i="8" a="1"/>
  <c r="E139" i="8" s="1"/>
  <c r="E140" i="8" a="1"/>
  <c r="E140" i="8" s="1"/>
  <c r="E141" i="8" a="1"/>
  <c r="E141" i="8" s="1"/>
  <c r="E142" i="8" a="1"/>
  <c r="E142" i="8" s="1"/>
  <c r="E143" i="8" a="1"/>
  <c r="E143" i="8" s="1"/>
  <c r="E144" i="8" a="1"/>
  <c r="E144" i="8" s="1"/>
  <c r="E145" i="8" a="1"/>
  <c r="E145" i="8" s="1"/>
  <c r="E146" i="8" a="1"/>
  <c r="E146" i="8" s="1"/>
  <c r="E147" i="8" a="1"/>
  <c r="E147" i="8" s="1"/>
  <c r="E148" i="8" a="1"/>
  <c r="E148" i="8" s="1"/>
  <c r="E149" i="8" a="1"/>
  <c r="E149" i="8" s="1"/>
  <c r="E150" i="8" a="1"/>
  <c r="E150" i="8" s="1"/>
  <c r="E151" i="8" a="1"/>
  <c r="E151" i="8" s="1"/>
  <c r="E152" i="8" a="1"/>
  <c r="E152" i="8" s="1"/>
  <c r="E153" i="8" a="1"/>
  <c r="E153" i="8" s="1"/>
  <c r="E154" i="8" a="1"/>
  <c r="E154" i="8" s="1"/>
  <c r="E155" i="8" a="1"/>
  <c r="E155" i="8" s="1"/>
  <c r="E156" i="8" a="1"/>
  <c r="E156" i="8" s="1"/>
  <c r="E157" i="8" a="1"/>
  <c r="E157" i="8" s="1"/>
  <c r="E158" i="8" a="1"/>
  <c r="E158" i="8" s="1"/>
  <c r="E159" i="8" a="1"/>
  <c r="E159" i="8" s="1"/>
  <c r="E160" i="8" a="1"/>
  <c r="E160" i="8" s="1"/>
  <c r="E161" i="8" a="1"/>
  <c r="E161" i="8" s="1"/>
  <c r="E162" i="8" a="1"/>
  <c r="E162" i="8" s="1"/>
  <c r="E163" i="8" a="1"/>
  <c r="E163" i="8" s="1"/>
  <c r="E164" i="8" a="1"/>
  <c r="E164" i="8" s="1"/>
  <c r="E165" i="8" a="1"/>
  <c r="E165" i="8" s="1"/>
  <c r="E166" i="8" a="1"/>
  <c r="E166" i="8" s="1"/>
  <c r="E167" i="8" a="1"/>
  <c r="E167" i="8" s="1"/>
  <c r="E168" i="8" a="1"/>
  <c r="E168" i="8" s="1"/>
  <c r="E169" i="8" a="1"/>
  <c r="E169" i="8" s="1"/>
  <c r="E170" i="8" a="1"/>
  <c r="E170" i="8" s="1"/>
  <c r="E171" i="8" a="1"/>
  <c r="E171" i="8" s="1"/>
  <c r="E172" i="8" a="1"/>
  <c r="E172" i="8" s="1"/>
  <c r="E173" i="8" a="1"/>
  <c r="E173" i="8" s="1"/>
  <c r="E174" i="8" a="1"/>
  <c r="E174" i="8" s="1"/>
  <c r="E175" i="8" a="1"/>
  <c r="E175" i="8" s="1"/>
  <c r="E176" i="8" a="1"/>
  <c r="E176" i="8" s="1"/>
  <c r="E177" i="8" a="1"/>
  <c r="E177" i="8" s="1"/>
  <c r="E178" i="8" a="1"/>
  <c r="E178" i="8" s="1"/>
  <c r="E179" i="8" a="1"/>
  <c r="E179" i="8" s="1"/>
  <c r="E180" i="8" a="1"/>
  <c r="E180" i="8" s="1"/>
  <c r="E181" i="8" a="1"/>
  <c r="E181" i="8" s="1"/>
  <c r="E182" i="8" a="1"/>
  <c r="E182" i="8" s="1"/>
  <c r="E183" i="8" a="1"/>
  <c r="E183" i="8" s="1"/>
  <c r="E184" i="8" a="1"/>
  <c r="E184" i="8" s="1"/>
  <c r="E185" i="8" a="1"/>
  <c r="E185" i="8" s="1"/>
  <c r="E186" i="8" a="1"/>
  <c r="E186" i="8" s="1"/>
  <c r="E187" i="8" a="1"/>
  <c r="E187" i="8" s="1"/>
  <c r="E188" i="8" a="1"/>
  <c r="E188" i="8" s="1"/>
  <c r="E189" i="8" a="1"/>
  <c r="E189" i="8" s="1"/>
  <c r="E190" i="8" a="1"/>
  <c r="E190" i="8" s="1"/>
  <c r="E191" i="8" a="1"/>
  <c r="E191" i="8" s="1"/>
  <c r="E192" i="8" a="1"/>
  <c r="E192" i="8" s="1"/>
  <c r="E193" i="8" a="1"/>
  <c r="E193" i="8" s="1"/>
  <c r="E194" i="8" a="1"/>
  <c r="E194" i="8" s="1"/>
  <c r="E195" i="8" a="1"/>
  <c r="E195" i="8" s="1"/>
  <c r="E196" i="8" a="1"/>
  <c r="E196" i="8" s="1"/>
  <c r="E197" i="8" a="1"/>
  <c r="E197" i="8" s="1"/>
  <c r="E198" i="8" a="1"/>
  <c r="E198" i="8" s="1"/>
  <c r="E199" i="8" a="1"/>
  <c r="E199" i="8" s="1"/>
  <c r="E200" i="8" a="1"/>
  <c r="E200" i="8" s="1"/>
  <c r="E201" i="8" a="1"/>
  <c r="E201" i="8" s="1"/>
  <c r="E202" i="8" a="1"/>
  <c r="E202" i="8" s="1"/>
  <c r="E203" i="8" a="1"/>
  <c r="E203" i="8" s="1"/>
  <c r="E204" i="8" a="1"/>
  <c r="E204" i="8" s="1"/>
  <c r="E205" i="8" a="1"/>
  <c r="E205" i="8" s="1"/>
  <c r="E206" i="8" a="1"/>
  <c r="E206" i="8" s="1"/>
  <c r="E207" i="8" a="1"/>
  <c r="E207" i="8" s="1"/>
  <c r="E208" i="8" a="1"/>
  <c r="E208" i="8" s="1"/>
  <c r="E209" i="8" a="1"/>
  <c r="E209" i="8" s="1"/>
  <c r="E210" i="8" a="1"/>
  <c r="E210" i="8" s="1"/>
  <c r="E211" i="8" a="1"/>
  <c r="E211" i="8" s="1"/>
  <c r="E212" i="8" a="1"/>
  <c r="E212" i="8" s="1"/>
  <c r="E213" i="8" a="1"/>
  <c r="E213" i="8" s="1"/>
  <c r="E214" i="8" a="1"/>
  <c r="E214" i="8" s="1"/>
  <c r="E215" i="8" a="1"/>
  <c r="E215" i="8" s="1"/>
  <c r="E216" i="8" a="1"/>
  <c r="E216" i="8" s="1"/>
  <c r="E217" i="8" a="1"/>
  <c r="E217" i="8" s="1"/>
  <c r="E218" i="8" a="1"/>
  <c r="E218" i="8" s="1"/>
  <c r="E219" i="8" a="1"/>
  <c r="E219" i="8" s="1"/>
  <c r="E220" i="8" a="1"/>
  <c r="E220" i="8" s="1"/>
  <c r="E221" i="8" a="1"/>
  <c r="E221" i="8" s="1"/>
  <c r="E222" i="8" a="1"/>
  <c r="E222" i="8" s="1"/>
  <c r="E223" i="8" a="1"/>
  <c r="E223" i="8" s="1"/>
  <c r="E224" i="8" a="1"/>
  <c r="E224" i="8" s="1"/>
  <c r="E225" i="8" a="1"/>
  <c r="E225" i="8" s="1"/>
  <c r="E226" i="8" a="1"/>
  <c r="E226" i="8" s="1"/>
  <c r="E227" i="8" a="1"/>
  <c r="E227" i="8" s="1"/>
  <c r="E228" i="8" a="1"/>
  <c r="E228" i="8" s="1"/>
  <c r="E229" i="8" a="1"/>
  <c r="E229" i="8" s="1"/>
  <c r="E230" i="8" a="1"/>
  <c r="E230" i="8" s="1"/>
  <c r="E231" i="8" a="1"/>
  <c r="E231" i="8" s="1"/>
  <c r="E232" i="8" a="1"/>
  <c r="E232" i="8" s="1"/>
  <c r="E233" i="8" a="1"/>
  <c r="E233" i="8" s="1"/>
  <c r="E234" i="8" a="1"/>
  <c r="E234" i="8" s="1"/>
  <c r="E235" i="8" a="1"/>
  <c r="E235" i="8" s="1"/>
  <c r="E236" i="8" a="1"/>
  <c r="E236" i="8" s="1"/>
  <c r="E237" i="8" a="1"/>
  <c r="E237" i="8" s="1"/>
  <c r="E238" i="8" a="1"/>
  <c r="E238" i="8" s="1"/>
  <c r="E239" i="8" a="1"/>
  <c r="E239" i="8" s="1"/>
  <c r="E240" i="8" a="1"/>
  <c r="E240" i="8" s="1"/>
  <c r="E241" i="8" a="1"/>
  <c r="E241" i="8" s="1"/>
  <c r="E242" i="8" a="1"/>
  <c r="E242" i="8" s="1"/>
  <c r="E243" i="8" a="1"/>
  <c r="E243" i="8" s="1"/>
  <c r="E244" i="8" a="1"/>
  <c r="E244" i="8" s="1"/>
  <c r="E245" i="8" a="1"/>
  <c r="E245" i="8" s="1"/>
  <c r="E246" i="8" a="1"/>
  <c r="E246" i="8" s="1"/>
  <c r="E247" i="8" a="1"/>
  <c r="E247" i="8" s="1"/>
  <c r="E248" i="8" a="1"/>
  <c r="E248" i="8" s="1"/>
  <c r="E249" i="8" a="1"/>
  <c r="E249" i="8" s="1"/>
  <c r="E250" i="8" a="1"/>
  <c r="E250" i="8" s="1"/>
  <c r="E251" i="8" a="1"/>
  <c r="E251" i="8" s="1"/>
  <c r="E252" i="8" a="1"/>
  <c r="E252" i="8" s="1"/>
  <c r="E253" i="8" a="1"/>
  <c r="E253" i="8" s="1"/>
  <c r="E254" i="8" a="1"/>
  <c r="E254" i="8" s="1"/>
  <c r="E255" i="8" a="1"/>
  <c r="E255" i="8" s="1"/>
  <c r="E256" i="8" a="1"/>
  <c r="E256" i="8" s="1"/>
  <c r="E257" i="8" a="1"/>
  <c r="E257" i="8" s="1"/>
  <c r="E258" i="8" a="1"/>
  <c r="E258" i="8" s="1"/>
  <c r="E259" i="8" a="1"/>
  <c r="E259" i="8" s="1"/>
  <c r="E260" i="8" a="1"/>
  <c r="E260" i="8" s="1"/>
  <c r="E261" i="8" a="1"/>
  <c r="E261" i="8" s="1"/>
  <c r="E262" i="8" a="1"/>
  <c r="E262" i="8" s="1"/>
  <c r="E263" i="8" a="1"/>
  <c r="E263" i="8" s="1"/>
  <c r="E264" i="8" a="1"/>
  <c r="E264" i="8" s="1"/>
  <c r="E265" i="8" a="1"/>
  <c r="E265" i="8" s="1"/>
  <c r="E266" i="8" a="1"/>
  <c r="E266" i="8" s="1"/>
  <c r="E267" i="8" a="1"/>
  <c r="E267" i="8" s="1"/>
  <c r="E268" i="8" a="1"/>
  <c r="E268" i="8" s="1"/>
  <c r="E269" i="8" a="1"/>
  <c r="E269" i="8" s="1"/>
  <c r="E270" i="8" a="1"/>
  <c r="E270" i="8" s="1"/>
  <c r="E271" i="8" a="1"/>
  <c r="E271" i="8" s="1"/>
  <c r="E272" i="8" a="1"/>
  <c r="E272" i="8" s="1"/>
  <c r="E273" i="8" a="1"/>
  <c r="E273" i="8" s="1"/>
  <c r="E274" i="8" a="1"/>
  <c r="E274" i="8" s="1"/>
  <c r="E275" i="8" a="1"/>
  <c r="E275" i="8" s="1"/>
  <c r="E276" i="8" a="1"/>
  <c r="E276" i="8" s="1"/>
  <c r="E277" i="8" a="1"/>
  <c r="E277" i="8" s="1"/>
  <c r="E278" i="8" a="1"/>
  <c r="E278" i="8" s="1"/>
  <c r="E279" i="8" a="1"/>
  <c r="E279" i="8" s="1"/>
  <c r="E280" i="8" a="1"/>
  <c r="E280" i="8" s="1"/>
  <c r="E281" i="8" a="1"/>
  <c r="E281" i="8" s="1"/>
  <c r="E282" i="8" a="1"/>
  <c r="E282" i="8" s="1"/>
  <c r="E283" i="8" a="1"/>
  <c r="E283" i="8" s="1"/>
  <c r="E284" i="8" a="1"/>
  <c r="E284" i="8" s="1"/>
  <c r="E285" i="8" a="1"/>
  <c r="E285" i="8" s="1"/>
  <c r="E286" i="8" a="1"/>
  <c r="E286" i="8" s="1"/>
  <c r="E287" i="8" a="1"/>
  <c r="E287" i="8" s="1"/>
  <c r="E288" i="8" a="1"/>
  <c r="E288" i="8" s="1"/>
  <c r="E289" i="8" a="1"/>
  <c r="E289" i="8" s="1"/>
  <c r="E290" i="8" a="1"/>
  <c r="E290" i="8" s="1"/>
  <c r="E291" i="8" a="1"/>
  <c r="E291" i="8" s="1"/>
  <c r="E292" i="8" a="1"/>
  <c r="E292" i="8" s="1"/>
  <c r="E293" i="8" a="1"/>
  <c r="E293" i="8" s="1"/>
  <c r="E294" i="8" a="1"/>
  <c r="E294" i="8" s="1"/>
  <c r="E295" i="8" a="1"/>
  <c r="E295" i="8" s="1"/>
  <c r="E296" i="8" a="1"/>
  <c r="E296" i="8" s="1"/>
  <c r="E297" i="8" a="1"/>
  <c r="E297" i="8" s="1"/>
  <c r="E298" i="8" a="1"/>
  <c r="E298" i="8" s="1"/>
  <c r="E299" i="8" a="1"/>
  <c r="E299" i="8" s="1"/>
  <c r="E300" i="8" a="1"/>
  <c r="E300" i="8" s="1"/>
  <c r="E301" i="8" a="1"/>
  <c r="E301" i="8" s="1"/>
  <c r="E302" i="8" a="1"/>
  <c r="E302" i="8" s="1"/>
  <c r="E303" i="8" a="1"/>
  <c r="E303" i="8" s="1"/>
  <c r="E304" i="8" a="1"/>
  <c r="E304" i="8" s="1"/>
  <c r="E305" i="8" a="1"/>
  <c r="E305" i="8" s="1"/>
  <c r="E306" i="8" a="1"/>
  <c r="E306" i="8" s="1"/>
  <c r="E307" i="8" a="1"/>
  <c r="E307" i="8" s="1"/>
  <c r="E308" i="8" a="1"/>
  <c r="E308" i="8" s="1"/>
  <c r="E309" i="8" a="1"/>
  <c r="E309" i="8" s="1"/>
  <c r="E310" i="8" a="1"/>
  <c r="E310" i="8" s="1"/>
  <c r="E311" i="8" a="1"/>
  <c r="E311" i="8" s="1"/>
  <c r="E312" i="8" a="1"/>
  <c r="E312" i="8" s="1"/>
  <c r="E313" i="8" a="1"/>
  <c r="E313" i="8" s="1"/>
  <c r="E314" i="8" a="1"/>
  <c r="E314" i="8" s="1"/>
  <c r="E315" i="8" a="1"/>
  <c r="E315" i="8" s="1"/>
  <c r="E316" i="8" a="1"/>
  <c r="E316" i="8" s="1"/>
  <c r="E317" i="8" a="1"/>
  <c r="E317" i="8" s="1"/>
  <c r="E318" i="8" a="1"/>
  <c r="E318" i="8" s="1"/>
  <c r="E319" i="8" a="1"/>
  <c r="E319" i="8" s="1"/>
  <c r="E320" i="8" a="1"/>
  <c r="E320" i="8" s="1"/>
  <c r="E321" i="8" a="1"/>
  <c r="E321" i="8" s="1"/>
  <c r="E322" i="8" a="1"/>
  <c r="E322" i="8" s="1"/>
  <c r="E323" i="8" a="1"/>
  <c r="E323" i="8" s="1"/>
  <c r="E324" i="8" a="1"/>
  <c r="E324" i="8" s="1"/>
  <c r="E325" i="8" a="1"/>
  <c r="E325" i="8" s="1"/>
  <c r="E326" i="8" a="1"/>
  <c r="E326" i="8" s="1"/>
  <c r="E327" i="8" a="1"/>
  <c r="E327" i="8" s="1"/>
  <c r="E328" i="8" a="1"/>
  <c r="E328" i="8" s="1"/>
  <c r="E329" i="8" a="1"/>
  <c r="E329" i="8" s="1"/>
  <c r="E330" i="8" a="1"/>
  <c r="E330" i="8" s="1"/>
  <c r="E331" i="8" a="1"/>
  <c r="E331" i="8" s="1"/>
  <c r="E332" i="8" a="1"/>
  <c r="E332" i="8" s="1"/>
  <c r="E333" i="8" a="1"/>
  <c r="E333" i="8" s="1"/>
  <c r="E334" i="8" a="1"/>
  <c r="E334" i="8" s="1"/>
  <c r="E335" i="8" a="1"/>
  <c r="E335" i="8" s="1"/>
  <c r="E336" i="8" a="1"/>
  <c r="E336" i="8" s="1"/>
  <c r="E337" i="8" a="1"/>
  <c r="E337" i="8" s="1"/>
  <c r="E338" i="8" a="1"/>
  <c r="E338" i="8" s="1"/>
  <c r="E339" i="8" a="1"/>
  <c r="E339" i="8" s="1"/>
  <c r="E340" i="8" a="1"/>
  <c r="E340" i="8" s="1"/>
  <c r="E341" i="8" a="1"/>
  <c r="E341" i="8" s="1"/>
  <c r="E342" i="8" a="1"/>
  <c r="E342" i="8" s="1"/>
  <c r="E343" i="8" a="1"/>
  <c r="E343" i="8" s="1"/>
  <c r="E344" i="8" a="1"/>
  <c r="E344" i="8" s="1"/>
  <c r="E345" i="8" a="1"/>
  <c r="E345" i="8" s="1"/>
  <c r="E346" i="8" a="1"/>
  <c r="E346" i="8" s="1"/>
  <c r="E347" i="8" a="1"/>
  <c r="E347" i="8" s="1"/>
  <c r="E348" i="8" a="1"/>
  <c r="E348" i="8" s="1"/>
  <c r="E349" i="8" a="1"/>
  <c r="E349" i="8" s="1"/>
  <c r="E350" i="8" a="1"/>
  <c r="E350" i="8" s="1"/>
  <c r="E351" i="8" a="1"/>
  <c r="E351" i="8" s="1"/>
  <c r="E352" i="8" a="1"/>
  <c r="E352" i="8" s="1"/>
  <c r="E353" i="8" a="1"/>
  <c r="E353" i="8" s="1"/>
  <c r="E354" i="8" a="1"/>
  <c r="E354" i="8" s="1"/>
  <c r="E355" i="8" a="1"/>
  <c r="E355" i="8" s="1"/>
  <c r="E356" i="8" a="1"/>
  <c r="E356" i="8" s="1"/>
  <c r="E357" i="8" a="1"/>
  <c r="E357" i="8" s="1"/>
  <c r="E358" i="8" a="1"/>
  <c r="E358" i="8" s="1"/>
  <c r="E359" i="8" a="1"/>
  <c r="E359" i="8" s="1"/>
  <c r="E360" i="8" a="1"/>
  <c r="E360" i="8" s="1"/>
  <c r="E361" i="8" a="1"/>
  <c r="E361" i="8" s="1"/>
  <c r="E362" i="8" a="1"/>
  <c r="E362" i="8" s="1"/>
  <c r="E363" i="8" a="1"/>
  <c r="E363" i="8" s="1"/>
  <c r="E364" i="8" a="1"/>
  <c r="E364" i="8" s="1"/>
  <c r="E365" i="8" a="1"/>
  <c r="E365" i="8" s="1"/>
  <c r="E366" i="8" a="1"/>
  <c r="E366" i="8" s="1"/>
  <c r="E367" i="8" a="1"/>
  <c r="E367" i="8" s="1"/>
  <c r="E368" i="8" a="1"/>
  <c r="E368" i="8" s="1"/>
  <c r="E369" i="8" a="1"/>
  <c r="E369" i="8" s="1"/>
  <c r="E370" i="8" a="1"/>
  <c r="E370" i="8" s="1"/>
  <c r="E371" i="8" a="1"/>
  <c r="E371" i="8" s="1"/>
  <c r="E372" i="8" a="1"/>
  <c r="E372" i="8" s="1"/>
  <c r="E373" i="8" a="1"/>
  <c r="E373" i="8" s="1"/>
  <c r="E374" i="8" a="1"/>
  <c r="E374" i="8" s="1"/>
  <c r="E375" i="8" a="1"/>
  <c r="E375" i="8" s="1"/>
  <c r="E376" i="8" a="1"/>
  <c r="E376" i="8" s="1"/>
  <c r="E377" i="8" a="1"/>
  <c r="E377" i="8" s="1"/>
  <c r="E378" i="8" a="1"/>
  <c r="E378" i="8" s="1"/>
  <c r="E379" i="8" a="1"/>
  <c r="E379" i="8" s="1"/>
  <c r="E380" i="8" a="1"/>
  <c r="E380" i="8" s="1"/>
  <c r="E381" i="8" a="1"/>
  <c r="E381" i="8" s="1"/>
  <c r="E382" i="8" a="1"/>
  <c r="E382" i="8" s="1"/>
  <c r="E383" i="8" a="1"/>
  <c r="E383" i="8" s="1"/>
  <c r="E384" i="8" a="1"/>
  <c r="E384" i="8" s="1"/>
  <c r="E385" i="8" a="1"/>
  <c r="E385" i="8" s="1"/>
  <c r="E386" i="8" a="1"/>
  <c r="E386" i="8" s="1"/>
  <c r="E387" i="8" a="1"/>
  <c r="E387" i="8" s="1"/>
  <c r="E388" i="8" a="1"/>
  <c r="E388" i="8" s="1"/>
  <c r="E389" i="8" a="1"/>
  <c r="E389" i="8" s="1"/>
  <c r="E390" i="8" a="1"/>
  <c r="E390" i="8" s="1"/>
  <c r="E391" i="8" a="1"/>
  <c r="E391" i="8" s="1"/>
  <c r="E392" i="8" a="1"/>
  <c r="E392" i="8" s="1"/>
  <c r="E393" i="8" a="1"/>
  <c r="E393" i="8" s="1"/>
  <c r="E394" i="8" a="1"/>
  <c r="E394" i="8" s="1"/>
  <c r="E395" i="8" a="1"/>
  <c r="E395" i="8" s="1"/>
  <c r="E396" i="8" a="1"/>
  <c r="E396" i="8" s="1"/>
  <c r="E397" i="8" a="1"/>
  <c r="E397" i="8" s="1"/>
  <c r="E398" i="8" a="1"/>
  <c r="E398" i="8" s="1"/>
  <c r="E399" i="8" a="1"/>
  <c r="E399" i="8" s="1"/>
  <c r="E400" i="8" a="1"/>
  <c r="E400" i="8" s="1"/>
  <c r="E401" i="8" a="1"/>
  <c r="E401" i="8" s="1"/>
  <c r="E402" i="8" a="1"/>
  <c r="E402" i="8" s="1"/>
  <c r="E403" i="8" a="1"/>
  <c r="E403" i="8" s="1"/>
  <c r="E404" i="8" a="1"/>
  <c r="E404" i="8" s="1"/>
  <c r="E405" i="8" a="1"/>
  <c r="E405" i="8" s="1"/>
  <c r="E406" i="8" a="1"/>
  <c r="E406" i="8" s="1"/>
  <c r="E407" i="8" a="1"/>
  <c r="E407" i="8" s="1"/>
  <c r="E408" i="8" a="1"/>
  <c r="E408" i="8" s="1"/>
  <c r="E409" i="8" a="1"/>
  <c r="E409" i="8" s="1"/>
  <c r="E410" i="8" a="1"/>
  <c r="E410" i="8" s="1"/>
  <c r="E411" i="8" a="1"/>
  <c r="E411" i="8" s="1"/>
  <c r="E412" i="8" a="1"/>
  <c r="E412" i="8" s="1"/>
  <c r="E413" i="8" a="1"/>
  <c r="E413" i="8" s="1"/>
  <c r="E414" i="8" a="1"/>
  <c r="E414" i="8" s="1"/>
  <c r="E415" i="8" a="1"/>
  <c r="E415" i="8" s="1"/>
  <c r="E416" i="8" a="1"/>
  <c r="E416" i="8" s="1"/>
  <c r="E417" i="8" a="1"/>
  <c r="E417" i="8" s="1"/>
  <c r="E418" i="8" a="1"/>
  <c r="E418" i="8" s="1"/>
  <c r="E419" i="8" a="1"/>
  <c r="E419" i="8" s="1"/>
  <c r="E420" i="8" a="1"/>
  <c r="E420" i="8" s="1"/>
  <c r="E421" i="8" a="1"/>
  <c r="E421" i="8" s="1"/>
  <c r="E422" i="8" a="1"/>
  <c r="E422" i="8" s="1"/>
  <c r="E423" i="8" a="1"/>
  <c r="E423" i="8" s="1"/>
  <c r="E424" i="8" a="1"/>
  <c r="E424" i="8" s="1"/>
  <c r="E425" i="8" a="1"/>
  <c r="E425" i="8" s="1"/>
  <c r="E426" i="8" a="1"/>
  <c r="E426" i="8" s="1"/>
  <c r="E427" i="8" a="1"/>
  <c r="E427" i="8" s="1"/>
  <c r="E428" i="8" a="1"/>
  <c r="E428" i="8" s="1"/>
  <c r="E429" i="8" a="1"/>
  <c r="E429" i="8" s="1"/>
  <c r="E430" i="8" a="1"/>
  <c r="E430" i="8" s="1"/>
  <c r="E431" i="8" a="1"/>
  <c r="E431" i="8" s="1"/>
  <c r="E432" i="8" a="1"/>
  <c r="E432" i="8" s="1"/>
  <c r="E433" i="8" a="1"/>
  <c r="E433" i="8" s="1"/>
  <c r="E434" i="8" a="1"/>
  <c r="E434" i="8" s="1"/>
  <c r="E435" i="8" a="1"/>
  <c r="E435" i="8" s="1"/>
  <c r="E436" i="8" a="1"/>
  <c r="E436" i="8" s="1"/>
  <c r="E437" i="8" a="1"/>
  <c r="E437" i="8" s="1"/>
  <c r="E438" i="8" a="1"/>
  <c r="E438" i="8" s="1"/>
  <c r="E439" i="8" a="1"/>
  <c r="E439" i="8" s="1"/>
  <c r="E440" i="8" a="1"/>
  <c r="E440" i="8" s="1"/>
  <c r="E441" i="8" a="1"/>
  <c r="E441" i="8" s="1"/>
  <c r="E442" i="8" a="1"/>
  <c r="E442" i="8" s="1"/>
  <c r="E443" i="8" a="1"/>
  <c r="E443" i="8" s="1"/>
  <c r="E444" i="8" a="1"/>
  <c r="E444" i="8" s="1"/>
  <c r="E445" i="8" a="1"/>
  <c r="E445" i="8" s="1"/>
  <c r="E446" i="8" a="1"/>
  <c r="E446" i="8" s="1"/>
  <c r="E447" i="8" a="1"/>
  <c r="E447" i="8" s="1"/>
  <c r="E448" i="8" a="1"/>
  <c r="E448" i="8" s="1"/>
  <c r="E449" i="8" a="1"/>
  <c r="E449" i="8" s="1"/>
  <c r="E450" i="8" a="1"/>
  <c r="E450" i="8" s="1"/>
  <c r="E451" i="8" a="1"/>
  <c r="E451" i="8" s="1"/>
  <c r="E452" i="8" a="1"/>
  <c r="E452" i="8" s="1"/>
  <c r="E453" i="8" a="1"/>
  <c r="E453" i="8" s="1"/>
  <c r="E454" i="8" a="1"/>
  <c r="E454" i="8" s="1"/>
  <c r="E455" i="8" a="1"/>
  <c r="E455" i="8" s="1"/>
  <c r="E456" i="8" a="1"/>
  <c r="E456" i="8" s="1"/>
  <c r="E457" i="8" a="1"/>
  <c r="E457" i="8" s="1"/>
  <c r="E458" i="8" a="1"/>
  <c r="E458" i="8" s="1"/>
  <c r="E459" i="8" a="1"/>
  <c r="E459" i="8" s="1"/>
  <c r="E460" i="8" a="1"/>
  <c r="E460" i="8" s="1"/>
  <c r="E461" i="8" a="1"/>
  <c r="E461" i="8" s="1"/>
  <c r="E462" i="8" a="1"/>
  <c r="E462" i="8" s="1"/>
  <c r="E463" i="8" a="1"/>
  <c r="E463" i="8" s="1"/>
  <c r="E464" i="8" a="1"/>
  <c r="E464" i="8" s="1"/>
  <c r="E465" i="8" a="1"/>
  <c r="E465" i="8" s="1"/>
  <c r="E466" i="8" a="1"/>
  <c r="E466" i="8" s="1"/>
  <c r="E467" i="8" a="1"/>
  <c r="E467" i="8" s="1"/>
  <c r="E468" i="8" a="1"/>
  <c r="E468" i="8" s="1"/>
  <c r="E469" i="8" a="1"/>
  <c r="E469" i="8" s="1"/>
  <c r="E470" i="8" a="1"/>
  <c r="E470" i="8" s="1"/>
  <c r="E471" i="8" a="1"/>
  <c r="E471" i="8" s="1"/>
  <c r="E472" i="8" a="1"/>
  <c r="E472" i="8" s="1"/>
  <c r="E473" i="8" a="1"/>
  <c r="E473" i="8" s="1"/>
  <c r="E474" i="8" a="1"/>
  <c r="E474" i="8" s="1"/>
  <c r="E475" i="8" a="1"/>
  <c r="E475" i="8" s="1"/>
  <c r="E476" i="8" a="1"/>
  <c r="E476" i="8" s="1"/>
  <c r="E477" i="8" a="1"/>
  <c r="E477" i="8" s="1"/>
  <c r="E478" i="8" a="1"/>
  <c r="E478" i="8" s="1"/>
  <c r="E479" i="8" a="1"/>
  <c r="E479" i="8" s="1"/>
  <c r="E480" i="8" a="1"/>
  <c r="E480" i="8" s="1"/>
  <c r="E481" i="8" a="1"/>
  <c r="E481" i="8" s="1"/>
  <c r="E482" i="8" a="1"/>
  <c r="E482" i="8" s="1"/>
  <c r="E483" i="8" a="1"/>
  <c r="E483" i="8" s="1"/>
  <c r="E484" i="8" a="1"/>
  <c r="E484" i="8" s="1"/>
  <c r="E485" i="8" a="1"/>
  <c r="E485" i="8" s="1"/>
  <c r="E486" i="8" a="1"/>
  <c r="E486" i="8" s="1"/>
  <c r="E487" i="8" a="1"/>
  <c r="E487" i="8" s="1"/>
  <c r="E488" i="8" a="1"/>
  <c r="E488" i="8" s="1"/>
  <c r="E489" i="8" a="1"/>
  <c r="E489" i="8" s="1"/>
  <c r="E490" i="8" a="1"/>
  <c r="E490" i="8" s="1"/>
  <c r="E491" i="8" a="1"/>
  <c r="E491" i="8" s="1"/>
  <c r="E492" i="8" a="1"/>
  <c r="E492" i="8" s="1"/>
  <c r="E493" i="8" a="1"/>
  <c r="E493" i="8" s="1"/>
  <c r="E494" i="8" a="1"/>
  <c r="E494" i="8" s="1"/>
  <c r="E495" i="8" a="1"/>
  <c r="E495" i="8" s="1"/>
  <c r="E496" i="8" a="1"/>
  <c r="E496" i="8" s="1"/>
  <c r="E497" i="8" a="1"/>
  <c r="E497" i="8" s="1"/>
  <c r="E498" i="8" a="1"/>
  <c r="E498" i="8" s="1"/>
  <c r="E499" i="8" a="1"/>
  <c r="E499" i="8" s="1"/>
  <c r="E500" i="8" a="1"/>
  <c r="E500" i="8" s="1"/>
  <c r="E501" i="8" a="1"/>
  <c r="E501" i="8" s="1"/>
  <c r="E502" i="8" a="1"/>
  <c r="E502" i="8" s="1"/>
  <c r="E503" i="8" a="1"/>
  <c r="E503" i="8" s="1"/>
  <c r="E504" i="8" a="1"/>
  <c r="E504" i="8" s="1"/>
  <c r="E505" i="8" a="1"/>
  <c r="E505" i="8" s="1"/>
  <c r="E506" i="8" a="1"/>
  <c r="E506" i="8" s="1"/>
  <c r="E507" i="8" a="1"/>
  <c r="E507" i="8" s="1"/>
  <c r="E508" i="8" a="1"/>
  <c r="E508" i="8" s="1"/>
  <c r="E509" i="8" a="1"/>
  <c r="E509" i="8" s="1"/>
  <c r="E510" i="8" a="1"/>
  <c r="E510" i="8" s="1"/>
  <c r="E511" i="8" a="1"/>
  <c r="E511" i="8" s="1"/>
  <c r="E512" i="8" a="1"/>
  <c r="E512" i="8" s="1"/>
  <c r="E513" i="8" a="1"/>
  <c r="E513" i="8" s="1"/>
  <c r="E514" i="8" a="1"/>
  <c r="E514" i="8" s="1"/>
  <c r="E515" i="8" a="1"/>
  <c r="E515" i="8" s="1"/>
  <c r="E516" i="8" a="1"/>
  <c r="E516" i="8" s="1"/>
  <c r="E517" i="8" a="1"/>
  <c r="E517" i="8" s="1"/>
  <c r="E518" i="8" a="1"/>
  <c r="E518" i="8" s="1"/>
  <c r="E519" i="8" a="1"/>
  <c r="E519" i="8" s="1"/>
  <c r="E520" i="8" a="1"/>
  <c r="E520" i="8" s="1"/>
  <c r="E521" i="8" a="1"/>
  <c r="E521" i="8" s="1"/>
  <c r="E522" i="8" a="1"/>
  <c r="E522" i="8" s="1"/>
  <c r="E523" i="8" a="1"/>
  <c r="E523" i="8" s="1"/>
  <c r="E524" i="8" a="1"/>
  <c r="E524" i="8" s="1"/>
  <c r="E525" i="8" a="1"/>
  <c r="E525" i="8" s="1"/>
  <c r="E526" i="8" a="1"/>
  <c r="E526" i="8" s="1"/>
  <c r="E527" i="8" a="1"/>
  <c r="E527" i="8" s="1"/>
  <c r="E528" i="8" a="1"/>
  <c r="E528" i="8" s="1"/>
  <c r="E529" i="8" a="1"/>
  <c r="E529" i="8" s="1"/>
  <c r="E530" i="8" a="1"/>
  <c r="E530" i="8" s="1"/>
  <c r="E531" i="8" a="1"/>
  <c r="E531" i="8" s="1"/>
  <c r="E532" i="8" a="1"/>
  <c r="E532" i="8" s="1"/>
  <c r="E533" i="8" a="1"/>
  <c r="E533" i="8" s="1"/>
  <c r="E534" i="8" a="1"/>
  <c r="E534" i="8" s="1"/>
  <c r="E535" i="8" a="1"/>
  <c r="E535" i="8" s="1"/>
  <c r="E536" i="8" a="1"/>
  <c r="E536" i="8" s="1"/>
  <c r="E537" i="8" a="1"/>
  <c r="E537" i="8" s="1"/>
  <c r="E538" i="8" a="1"/>
  <c r="E538" i="8" s="1"/>
  <c r="E539" i="8" a="1"/>
  <c r="E539" i="8" s="1"/>
  <c r="E540" i="8" a="1"/>
  <c r="E540" i="8" s="1"/>
  <c r="E541" i="8" a="1"/>
  <c r="E541" i="8" s="1"/>
  <c r="E542" i="8" a="1"/>
  <c r="E542" i="8" s="1"/>
  <c r="E543" i="8" a="1"/>
  <c r="E543" i="8" s="1"/>
  <c r="E544" i="8" a="1"/>
  <c r="E544" i="8" s="1"/>
  <c r="E545" i="8" a="1"/>
  <c r="E545" i="8" s="1"/>
  <c r="E546" i="8" a="1"/>
  <c r="E546" i="8" s="1"/>
  <c r="E547" i="8" a="1"/>
  <c r="E547" i="8" s="1"/>
  <c r="E548" i="8" a="1"/>
  <c r="E548" i="8" s="1"/>
  <c r="E549" i="8" a="1"/>
  <c r="E549" i="8" s="1"/>
  <c r="E550" i="8" a="1"/>
  <c r="E550" i="8" s="1"/>
  <c r="E551" i="8" a="1"/>
  <c r="E551" i="8" s="1"/>
  <c r="E552" i="8" a="1"/>
  <c r="E552" i="8" s="1"/>
  <c r="E553" i="8" a="1"/>
  <c r="E553" i="8" s="1"/>
  <c r="E554" i="8" a="1"/>
  <c r="E554" i="8" s="1"/>
  <c r="E555" i="8" a="1"/>
  <c r="E555" i="8" s="1"/>
  <c r="E556" i="8" a="1"/>
  <c r="E556" i="8" s="1"/>
  <c r="E557" i="8" a="1"/>
  <c r="E557" i="8" s="1"/>
  <c r="E558" i="8" a="1"/>
  <c r="E558" i="8" s="1"/>
  <c r="E559" i="8" a="1"/>
  <c r="E559" i="8" s="1"/>
  <c r="E560" i="8" a="1"/>
  <c r="E560" i="8" s="1"/>
  <c r="E561" i="8" a="1"/>
  <c r="E561" i="8" s="1"/>
  <c r="E562" i="8" a="1"/>
  <c r="E562" i="8" s="1"/>
  <c r="E563" i="8" a="1"/>
  <c r="E563" i="8" s="1"/>
  <c r="E564" i="8" a="1"/>
  <c r="E564" i="8" s="1"/>
  <c r="E565" i="8" a="1"/>
  <c r="E565" i="8" s="1"/>
  <c r="E566" i="8" a="1"/>
  <c r="E566" i="8" s="1"/>
  <c r="E567" i="8" a="1"/>
  <c r="E567" i="8" s="1"/>
  <c r="E568" i="8" a="1"/>
  <c r="E568" i="8" s="1"/>
  <c r="E569" i="8" a="1"/>
  <c r="E569" i="8" s="1"/>
  <c r="E570" i="8" a="1"/>
  <c r="E570" i="8" s="1"/>
  <c r="E571" i="8" a="1"/>
  <c r="E571" i="8" s="1"/>
  <c r="E572" i="8" a="1"/>
  <c r="E572" i="8" s="1"/>
  <c r="E573" i="8" a="1"/>
  <c r="E573" i="8" s="1"/>
  <c r="E574" i="8" a="1"/>
  <c r="E574" i="8" s="1"/>
  <c r="E575" i="8" a="1"/>
  <c r="E575" i="8" s="1"/>
  <c r="E576" i="8" a="1"/>
  <c r="E576" i="8" s="1"/>
  <c r="E577" i="8" a="1"/>
  <c r="E577" i="8" s="1"/>
  <c r="E578" i="8" a="1"/>
  <c r="E578" i="8" s="1"/>
  <c r="E579" i="8" a="1"/>
  <c r="E579" i="8" s="1"/>
  <c r="E580" i="8" a="1"/>
  <c r="E580" i="8" s="1"/>
  <c r="E581" i="8" a="1"/>
  <c r="E581" i="8" s="1"/>
  <c r="E582" i="8" a="1"/>
  <c r="E582" i="8" s="1"/>
  <c r="E583" i="8" a="1"/>
  <c r="E583" i="8" s="1"/>
  <c r="E584" i="8" a="1"/>
  <c r="E584" i="8" s="1"/>
  <c r="E585" i="8" a="1"/>
  <c r="E585" i="8" s="1"/>
  <c r="E586" i="8" a="1"/>
  <c r="E586" i="8" s="1"/>
  <c r="E587" i="8" a="1"/>
  <c r="E587" i="8" s="1"/>
  <c r="E588" i="8" a="1"/>
  <c r="E588" i="8" s="1"/>
  <c r="E589" i="8" a="1"/>
  <c r="E589" i="8" s="1"/>
  <c r="E590" i="8" a="1"/>
  <c r="E590" i="8" s="1"/>
  <c r="E591" i="8" a="1"/>
  <c r="E591" i="8" s="1"/>
  <c r="E592" i="8" a="1"/>
  <c r="E592" i="8" s="1"/>
  <c r="E593" i="8" a="1"/>
  <c r="E593" i="8" s="1"/>
  <c r="E594" i="8" a="1"/>
  <c r="E594" i="8" s="1"/>
  <c r="E595" i="8" a="1"/>
  <c r="E595" i="8" s="1"/>
  <c r="E596" i="8" a="1"/>
  <c r="E596" i="8"/>
  <c r="E597" i="8" a="1"/>
  <c r="E597" i="8" s="1"/>
  <c r="E598" i="8" a="1"/>
  <c r="E598" i="8" s="1"/>
  <c r="E599" i="8" a="1"/>
  <c r="E599" i="8" s="1"/>
  <c r="E600" i="8" a="1"/>
  <c r="E600" i="8" s="1"/>
  <c r="E601" i="8" a="1"/>
  <c r="E601" i="8" s="1"/>
  <c r="E602" i="8" a="1"/>
  <c r="E602" i="8" s="1"/>
  <c r="E603" i="8" a="1"/>
  <c r="E603" i="8" s="1"/>
  <c r="E604" i="8" a="1"/>
  <c r="E604" i="8" s="1"/>
  <c r="E605" i="8" a="1"/>
  <c r="E605" i="8" s="1"/>
  <c r="E606" i="8" a="1"/>
  <c r="E606" i="8" s="1"/>
  <c r="E607" i="8" a="1"/>
  <c r="E607" i="8" s="1"/>
  <c r="E608" i="8" a="1"/>
  <c r="E608" i="8" s="1"/>
  <c r="E609" i="8" a="1"/>
  <c r="E609" i="8" s="1"/>
  <c r="E610" i="8" a="1"/>
  <c r="E610" i="8" s="1"/>
  <c r="E611" i="8" a="1"/>
  <c r="E611" i="8" s="1"/>
  <c r="E612" i="8" a="1"/>
  <c r="E612" i="8" s="1"/>
  <c r="E613" i="8" a="1"/>
  <c r="E613" i="8" s="1"/>
  <c r="E614" i="8" a="1"/>
  <c r="E614" i="8" s="1"/>
  <c r="E615" i="8" a="1"/>
  <c r="E615" i="8" s="1"/>
  <c r="E616" i="8" a="1"/>
  <c r="E616" i="8" s="1"/>
  <c r="E617" i="8" a="1"/>
  <c r="E617" i="8" s="1"/>
  <c r="E618" i="8" a="1"/>
  <c r="E618" i="8" s="1"/>
  <c r="E619" i="8" a="1"/>
  <c r="E619" i="8" s="1"/>
  <c r="E620" i="8" a="1"/>
  <c r="E620" i="8" s="1"/>
  <c r="E621" i="8" a="1"/>
  <c r="E621" i="8" s="1"/>
  <c r="E622" i="8" a="1"/>
  <c r="E622" i="8" s="1"/>
  <c r="E623" i="8" a="1"/>
  <c r="E623" i="8"/>
  <c r="E624" i="8" a="1"/>
  <c r="E624" i="8" s="1"/>
  <c r="E625" i="8" a="1"/>
  <c r="E625" i="8" s="1"/>
  <c r="E626" i="8" a="1"/>
  <c r="E626" i="8" s="1"/>
  <c r="E627" i="8" a="1"/>
  <c r="E627" i="8" s="1"/>
  <c r="E628" i="8" a="1"/>
  <c r="E628" i="8" s="1"/>
  <c r="E629" i="8" a="1"/>
  <c r="E629" i="8" s="1"/>
  <c r="E630" i="8" a="1"/>
  <c r="E630" i="8" s="1"/>
  <c r="E631" i="8" a="1"/>
  <c r="E631" i="8" s="1"/>
  <c r="E632" i="8" a="1"/>
  <c r="E632" i="8" s="1"/>
  <c r="E633" i="8" a="1"/>
  <c r="E633" i="8" s="1"/>
  <c r="E634" i="8" a="1"/>
  <c r="E634" i="8" s="1"/>
  <c r="E635" i="8" a="1"/>
  <c r="E635" i="8" s="1"/>
  <c r="E636" i="8" a="1"/>
  <c r="E636" i="8" s="1"/>
  <c r="E637" i="8" a="1"/>
  <c r="E637" i="8" s="1"/>
  <c r="E638" i="8" a="1"/>
  <c r="E638" i="8" s="1"/>
  <c r="E639" i="8" a="1"/>
  <c r="E639" i="8" s="1"/>
  <c r="E640" i="8" a="1"/>
  <c r="E640" i="8" s="1"/>
  <c r="E641" i="8" a="1"/>
  <c r="E641" i="8" s="1"/>
  <c r="E642" i="8" a="1"/>
  <c r="E642" i="8" s="1"/>
  <c r="E643" i="8" a="1"/>
  <c r="E643" i="8" s="1"/>
  <c r="E644" i="8" a="1"/>
  <c r="E644" i="8" s="1"/>
  <c r="E645" i="8" a="1"/>
  <c r="E645" i="8" s="1"/>
  <c r="E646" i="8" a="1"/>
  <c r="E646" i="8" s="1"/>
  <c r="E647" i="8" a="1"/>
  <c r="E647" i="8" s="1"/>
  <c r="E648" i="8" a="1"/>
  <c r="E648" i="8" s="1"/>
  <c r="E649" i="8" a="1"/>
  <c r="E649" i="8" s="1"/>
  <c r="E650" i="8" a="1"/>
  <c r="E650" i="8" s="1"/>
  <c r="E651" i="8" a="1"/>
  <c r="E651" i="8" s="1"/>
  <c r="E652" i="8" a="1"/>
  <c r="E652" i="8" s="1"/>
  <c r="E653" i="8" a="1"/>
  <c r="E653" i="8" s="1"/>
  <c r="E654" i="8" a="1"/>
  <c r="E654" i="8" s="1"/>
  <c r="E655" i="8" a="1"/>
  <c r="E655" i="8" s="1"/>
  <c r="E656" i="8" a="1"/>
  <c r="E656" i="8" s="1"/>
  <c r="E657" i="8" a="1"/>
  <c r="E657" i="8" s="1"/>
  <c r="E658" i="8" a="1"/>
  <c r="E658" i="8" s="1"/>
  <c r="E659" i="8" a="1"/>
  <c r="E659" i="8" s="1"/>
  <c r="E660" i="8" a="1"/>
  <c r="E660" i="8"/>
  <c r="E661" i="8" a="1"/>
  <c r="E661" i="8" s="1"/>
  <c r="E662" i="8" a="1"/>
  <c r="E662" i="8" s="1"/>
  <c r="E663" i="8" a="1"/>
  <c r="E663" i="8" s="1"/>
  <c r="E664" i="8" a="1"/>
  <c r="E664" i="8" s="1"/>
  <c r="E665" i="8" a="1"/>
  <c r="E665" i="8" s="1"/>
  <c r="E666" i="8" a="1"/>
  <c r="E666" i="8" s="1"/>
  <c r="E667" i="8" a="1"/>
  <c r="E667" i="8" s="1"/>
  <c r="E668" i="8" a="1"/>
  <c r="E668" i="8" s="1"/>
  <c r="E669" i="8" a="1"/>
  <c r="E669" i="8" s="1"/>
  <c r="E670" i="8" a="1"/>
  <c r="E670" i="8" s="1"/>
  <c r="E671" i="8" a="1"/>
  <c r="E671" i="8" s="1"/>
  <c r="E672" i="8" a="1"/>
  <c r="E672" i="8" s="1"/>
  <c r="E673" i="8" a="1"/>
  <c r="E673" i="8" s="1"/>
  <c r="E674" i="8" a="1"/>
  <c r="E674" i="8" s="1"/>
  <c r="E675" i="8" a="1"/>
  <c r="E675" i="8" s="1"/>
  <c r="E676" i="8" a="1"/>
  <c r="E676" i="8" s="1"/>
  <c r="E677" i="8" a="1"/>
  <c r="E677" i="8" s="1"/>
  <c r="E678" i="8" a="1"/>
  <c r="E678" i="8" s="1"/>
  <c r="E679" i="8" a="1"/>
  <c r="E679" i="8" s="1"/>
  <c r="E680" i="8" a="1"/>
  <c r="E680" i="8" s="1"/>
  <c r="E681" i="8" a="1"/>
  <c r="E681" i="8" s="1"/>
  <c r="E682" i="8" a="1"/>
  <c r="E682" i="8" s="1"/>
  <c r="E683" i="8" a="1"/>
  <c r="E683" i="8" s="1"/>
  <c r="E684" i="8" a="1"/>
  <c r="E684" i="8" s="1"/>
  <c r="E685" i="8" a="1"/>
  <c r="E685" i="8" s="1"/>
  <c r="E686" i="8" a="1"/>
  <c r="E686" i="8" s="1"/>
  <c r="E687" i="8" a="1"/>
  <c r="E687" i="8" s="1"/>
  <c r="E688" i="8" a="1"/>
  <c r="E688" i="8" s="1"/>
  <c r="E689" i="8" a="1"/>
  <c r="E689" i="8" s="1"/>
  <c r="E690" i="8" a="1"/>
  <c r="E690" i="8" s="1"/>
  <c r="E691" i="8" a="1"/>
  <c r="E691" i="8" s="1"/>
  <c r="E692" i="8" a="1"/>
  <c r="E692" i="8" s="1"/>
  <c r="E693" i="8" a="1"/>
  <c r="E693" i="8"/>
  <c r="E694" i="8" a="1"/>
  <c r="E694" i="8" s="1"/>
  <c r="E695" i="8" a="1"/>
  <c r="E695" i="8" s="1"/>
  <c r="E696" i="8" a="1"/>
  <c r="E696" i="8" s="1"/>
  <c r="E697" i="8" a="1"/>
  <c r="E697" i="8" s="1"/>
  <c r="E698" i="8" a="1"/>
  <c r="E698" i="8" s="1"/>
  <c r="E699" i="8" a="1"/>
  <c r="E699" i="8" s="1"/>
  <c r="E700" i="8" a="1"/>
  <c r="E700" i="8" s="1"/>
  <c r="E701" i="8" a="1"/>
  <c r="E701" i="8" s="1"/>
  <c r="E702" i="8" a="1"/>
  <c r="E702" i="8" s="1"/>
  <c r="E703" i="8" a="1"/>
  <c r="E703" i="8" s="1"/>
  <c r="E704" i="8" a="1"/>
  <c r="E704" i="8" s="1"/>
  <c r="E705" i="8" a="1"/>
  <c r="E705" i="8" s="1"/>
  <c r="E706" i="8" a="1"/>
  <c r="E706" i="8" s="1"/>
  <c r="E707" i="8" a="1"/>
  <c r="E707" i="8" s="1"/>
  <c r="E708" i="8" a="1"/>
  <c r="E708" i="8" s="1"/>
  <c r="E709" i="8" a="1"/>
  <c r="E709" i="8" s="1"/>
  <c r="E710" i="8" a="1"/>
  <c r="E710" i="8" s="1"/>
  <c r="E711" i="8" a="1"/>
  <c r="E711" i="8" s="1"/>
  <c r="E712" i="8" a="1"/>
  <c r="E712" i="8" s="1"/>
  <c r="E713" i="8" a="1"/>
  <c r="E713" i="8" s="1"/>
  <c r="E714" i="8" a="1"/>
  <c r="E714" i="8" s="1"/>
  <c r="E715" i="8" a="1"/>
  <c r="E715" i="8" s="1"/>
  <c r="E716" i="8" a="1"/>
  <c r="E716" i="8" s="1"/>
  <c r="E717" i="8" a="1"/>
  <c r="E717" i="8" s="1"/>
  <c r="E718" i="8" a="1"/>
  <c r="E718" i="8" s="1"/>
  <c r="E719" i="8" a="1"/>
  <c r="E719" i="8" s="1"/>
  <c r="E720" i="8" a="1"/>
  <c r="E720" i="8" s="1"/>
  <c r="E721" i="8" a="1"/>
  <c r="E721" i="8" s="1"/>
  <c r="E722" i="8" a="1"/>
  <c r="E722" i="8" s="1"/>
  <c r="E723" i="8" a="1"/>
  <c r="E723" i="8" s="1"/>
  <c r="E724" i="8" a="1"/>
  <c r="E724" i="8" s="1"/>
  <c r="E725" i="8" a="1"/>
  <c r="E725" i="8" s="1"/>
  <c r="E726" i="8" a="1"/>
  <c r="E726" i="8" s="1"/>
  <c r="E727" i="8" a="1"/>
  <c r="E727" i="8" s="1"/>
  <c r="E728" i="8" a="1"/>
  <c r="E728" i="8"/>
  <c r="E729" i="8" a="1"/>
  <c r="E729" i="8" s="1"/>
  <c r="E730" i="8" a="1"/>
  <c r="E730" i="8" s="1"/>
  <c r="E731" i="8" a="1"/>
  <c r="E731" i="8" s="1"/>
  <c r="E732" i="8" a="1"/>
  <c r="E732" i="8" s="1"/>
  <c r="E733" i="8" a="1"/>
  <c r="E733" i="8" s="1"/>
  <c r="E734" i="8" a="1"/>
  <c r="E734" i="8" s="1"/>
  <c r="E735" i="8" a="1"/>
  <c r="E735" i="8" s="1"/>
  <c r="E736" i="8" a="1"/>
  <c r="E736" i="8" s="1"/>
  <c r="E737" i="8" a="1"/>
  <c r="E737" i="8" s="1"/>
  <c r="E738" i="8" a="1"/>
  <c r="E738" i="8" s="1"/>
  <c r="E739" i="8" a="1"/>
  <c r="E739" i="8" s="1"/>
  <c r="E740" i="8" a="1"/>
  <c r="E740" i="8" s="1"/>
  <c r="E741" i="8" a="1"/>
  <c r="E741" i="8" s="1"/>
  <c r="E742" i="8" a="1"/>
  <c r="E742" i="8" s="1"/>
  <c r="E743" i="8" a="1"/>
  <c r="E743" i="8" s="1"/>
  <c r="E744" i="8" a="1"/>
  <c r="E744" i="8" s="1"/>
  <c r="E745" i="8" a="1"/>
  <c r="E745" i="8" s="1"/>
  <c r="E746" i="8" a="1"/>
  <c r="E746" i="8" s="1"/>
  <c r="E747" i="8" a="1"/>
  <c r="E747" i="8" s="1"/>
  <c r="E748" i="8" a="1"/>
  <c r="E748" i="8" s="1"/>
  <c r="E749" i="8" a="1"/>
  <c r="E749" i="8" s="1"/>
  <c r="E750" i="8" a="1"/>
  <c r="E750" i="8" s="1"/>
  <c r="E751" i="8" a="1"/>
  <c r="E751" i="8" s="1"/>
  <c r="E752" i="8" a="1"/>
  <c r="E752" i="8" s="1"/>
  <c r="E753" i="8" a="1"/>
  <c r="E753" i="8" s="1"/>
  <c r="E754" i="8" a="1"/>
  <c r="E754" i="8" s="1"/>
  <c r="E755" i="8" a="1"/>
  <c r="E755" i="8" s="1"/>
  <c r="E756" i="8" a="1"/>
  <c r="E756" i="8" s="1"/>
  <c r="E757" i="8" a="1"/>
  <c r="E757" i="8" s="1"/>
  <c r="E758" i="8" a="1"/>
  <c r="E758" i="8" s="1"/>
  <c r="E759" i="8" a="1"/>
  <c r="E759" i="8" s="1"/>
  <c r="E760" i="8" a="1"/>
  <c r="E760" i="8" s="1"/>
  <c r="E761" i="8" a="1"/>
  <c r="E761" i="8" s="1"/>
  <c r="E762" i="8" a="1"/>
  <c r="E762" i="8" s="1"/>
  <c r="E763" i="8" a="1"/>
  <c r="E763" i="8" s="1"/>
  <c r="E764" i="8" a="1"/>
  <c r="E764" i="8" s="1"/>
  <c r="E765" i="8" a="1"/>
  <c r="E765" i="8" s="1"/>
  <c r="E766" i="8" a="1"/>
  <c r="E766" i="8" s="1"/>
  <c r="E767" i="8" a="1"/>
  <c r="E767" i="8" s="1"/>
  <c r="E768" i="8" a="1"/>
  <c r="E768" i="8" s="1"/>
  <c r="E769" i="8" a="1"/>
  <c r="E769" i="8" s="1"/>
  <c r="E770" i="8" a="1"/>
  <c r="E770" i="8" s="1"/>
  <c r="E771" i="8" a="1"/>
  <c r="E771" i="8" s="1"/>
  <c r="E772" i="8" a="1"/>
  <c r="E772" i="8" s="1"/>
  <c r="E773" i="8" a="1"/>
  <c r="E773" i="8" s="1"/>
  <c r="E774" i="8" a="1"/>
  <c r="E774" i="8" s="1"/>
  <c r="E775" i="8" a="1"/>
  <c r="E775" i="8" s="1"/>
  <c r="E776" i="8" a="1"/>
  <c r="E776" i="8" s="1"/>
  <c r="E777" i="8" a="1"/>
  <c r="E777" i="8" s="1"/>
  <c r="E778" i="8" a="1"/>
  <c r="E778" i="8" s="1"/>
  <c r="E779" i="8" a="1"/>
  <c r="E779" i="8" s="1"/>
  <c r="E780" i="8" a="1"/>
  <c r="E780" i="8" s="1"/>
  <c r="E781" i="8" a="1"/>
  <c r="E781" i="8" s="1"/>
  <c r="E782" i="8" a="1"/>
  <c r="E782" i="8" s="1"/>
  <c r="E783" i="8" a="1"/>
  <c r="E783" i="8" s="1"/>
  <c r="E784" i="8" a="1"/>
  <c r="E784" i="8" s="1"/>
  <c r="E785" i="8" a="1"/>
  <c r="E785" i="8" s="1"/>
  <c r="E786" i="8" a="1"/>
  <c r="E786" i="8" s="1"/>
  <c r="E787" i="8" a="1"/>
  <c r="E787" i="8" s="1"/>
  <c r="E788" i="8" a="1"/>
  <c r="E788" i="8" s="1"/>
  <c r="E789" i="8" a="1"/>
  <c r="E789" i="8" s="1"/>
  <c r="E790" i="8" a="1"/>
  <c r="E790" i="8" s="1"/>
  <c r="E791" i="8" a="1"/>
  <c r="E791" i="8" s="1"/>
  <c r="E792" i="8" a="1"/>
  <c r="E792" i="8" s="1"/>
  <c r="E793" i="8" a="1"/>
  <c r="E793" i="8" s="1"/>
  <c r="E794" i="8" a="1"/>
  <c r="E794" i="8" s="1"/>
  <c r="E795" i="8" a="1"/>
  <c r="E795" i="8" s="1"/>
  <c r="E796" i="8" a="1"/>
  <c r="E796" i="8" s="1"/>
  <c r="E797" i="8" a="1"/>
  <c r="E797" i="8" s="1"/>
  <c r="E798" i="8" a="1"/>
  <c r="E798" i="8" s="1"/>
  <c r="E799" i="8" a="1"/>
  <c r="E799" i="8" s="1"/>
  <c r="E800" i="8" a="1"/>
  <c r="E800" i="8" s="1"/>
  <c r="E801" i="8" a="1"/>
  <c r="E801" i="8" s="1"/>
  <c r="E802" i="8" a="1"/>
  <c r="E802" i="8" s="1"/>
  <c r="E803" i="8" a="1"/>
  <c r="E803" i="8" s="1"/>
  <c r="E804" i="8" a="1"/>
  <c r="E804" i="8" s="1"/>
  <c r="E805" i="8" a="1"/>
  <c r="E805" i="8" s="1"/>
  <c r="E806" i="8" a="1"/>
  <c r="E806" i="8" s="1"/>
  <c r="E807" i="8" a="1"/>
  <c r="E807" i="8" s="1"/>
  <c r="E808" i="8" a="1"/>
  <c r="E808" i="8" s="1"/>
  <c r="E809" i="8" a="1"/>
  <c r="E809" i="8" s="1"/>
  <c r="E810" i="8" a="1"/>
  <c r="E810" i="8" s="1"/>
  <c r="E811" i="8" a="1"/>
  <c r="E811" i="8" s="1"/>
  <c r="E812" i="8" a="1"/>
  <c r="E812" i="8" s="1"/>
  <c r="E813" i="8" a="1"/>
  <c r="E813" i="8" s="1"/>
  <c r="E814" i="8" a="1"/>
  <c r="E814" i="8" s="1"/>
  <c r="E815" i="8" a="1"/>
  <c r="E815" i="8" s="1"/>
  <c r="E816" i="8" a="1"/>
  <c r="E816" i="8" s="1"/>
  <c r="E817" i="8" a="1"/>
  <c r="E817" i="8" s="1"/>
  <c r="E818" i="8" a="1"/>
  <c r="E818" i="8" s="1"/>
  <c r="E819" i="8" a="1"/>
  <c r="E819" i="8" s="1"/>
  <c r="E820" i="8" a="1"/>
  <c r="E820" i="8" s="1"/>
  <c r="E821" i="8" a="1"/>
  <c r="E821" i="8" s="1"/>
  <c r="E822" i="8" a="1"/>
  <c r="E822" i="8" s="1"/>
  <c r="E823" i="8" a="1"/>
  <c r="E823" i="8" s="1"/>
  <c r="E824" i="8" a="1"/>
  <c r="E824" i="8" s="1"/>
  <c r="E825" i="8" a="1"/>
  <c r="E825" i="8" s="1"/>
  <c r="E826" i="8" a="1"/>
  <c r="E826" i="8" s="1"/>
  <c r="E827" i="8" a="1"/>
  <c r="E827" i="8" s="1"/>
  <c r="E828" i="8" a="1"/>
  <c r="E828" i="8" s="1"/>
  <c r="E829" i="8" a="1"/>
  <c r="E829" i="8" s="1"/>
  <c r="E830" i="8" a="1"/>
  <c r="E830" i="8" s="1"/>
  <c r="E831" i="8" a="1"/>
  <c r="E831" i="8" s="1"/>
  <c r="E832" i="8" a="1"/>
  <c r="E832" i="8" s="1"/>
  <c r="E833" i="8" a="1"/>
  <c r="E833" i="8" s="1"/>
  <c r="E834" i="8" a="1"/>
  <c r="E834" i="8" s="1"/>
  <c r="E835" i="8" a="1"/>
  <c r="E835" i="8" s="1"/>
  <c r="E836" i="8" a="1"/>
  <c r="E836" i="8" s="1"/>
  <c r="E837" i="8" a="1"/>
  <c r="E837" i="8" s="1"/>
  <c r="E838" i="8" a="1"/>
  <c r="E838" i="8" s="1"/>
  <c r="E839" i="8" a="1"/>
  <c r="E839" i="8" s="1"/>
  <c r="E840" i="8" a="1"/>
  <c r="E840" i="8" s="1"/>
  <c r="E841" i="8" a="1"/>
  <c r="E841" i="8" s="1"/>
  <c r="E842" i="8" a="1"/>
  <c r="E842" i="8" s="1"/>
  <c r="E843" i="8" a="1"/>
  <c r="E843" i="8" s="1"/>
  <c r="E844" i="8" a="1"/>
  <c r="E844" i="8" s="1"/>
  <c r="E845" i="8" a="1"/>
  <c r="E845" i="8" s="1"/>
  <c r="E846" i="8" a="1"/>
  <c r="E846" i="8" s="1"/>
  <c r="E847" i="8" a="1"/>
  <c r="E847" i="8" s="1"/>
  <c r="E848" i="8" a="1"/>
  <c r="E848" i="8" s="1"/>
  <c r="E849" i="8" a="1"/>
  <c r="E849" i="8" s="1"/>
  <c r="E850" i="8" a="1"/>
  <c r="E850" i="8" s="1"/>
  <c r="E851" i="8" a="1"/>
  <c r="E851" i="8" s="1"/>
  <c r="E852" i="8" a="1"/>
  <c r="E852" i="8" s="1"/>
  <c r="E853" i="8" a="1"/>
  <c r="E853" i="8" s="1"/>
  <c r="E854" i="8" a="1"/>
  <c r="E854" i="8" s="1"/>
  <c r="E855" i="8" a="1"/>
  <c r="E855" i="8" s="1"/>
  <c r="E856" i="8" a="1"/>
  <c r="E856" i="8" s="1"/>
  <c r="E857" i="8" a="1"/>
  <c r="E857" i="8" s="1"/>
  <c r="E858" i="8" a="1"/>
  <c r="E858" i="8" s="1"/>
  <c r="E859" i="8" a="1"/>
  <c r="E859" i="8" s="1"/>
  <c r="E860" i="8" a="1"/>
  <c r="E860" i="8" s="1"/>
  <c r="E861" i="8" a="1"/>
  <c r="E861" i="8" s="1"/>
  <c r="E862" i="8" a="1"/>
  <c r="E862" i="8" s="1"/>
  <c r="E863" i="8" a="1"/>
  <c r="E863" i="8" s="1"/>
  <c r="E864" i="8" a="1"/>
  <c r="E864" i="8" s="1"/>
  <c r="E865" i="8" a="1"/>
  <c r="E865" i="8" s="1"/>
  <c r="E866" i="8" a="1"/>
  <c r="E866" i="8" s="1"/>
  <c r="E867" i="8" a="1"/>
  <c r="E867" i="8" s="1"/>
  <c r="E868" i="8" a="1"/>
  <c r="E868" i="8" s="1"/>
  <c r="E869" i="8" a="1"/>
  <c r="E869" i="8" s="1"/>
  <c r="E870" i="8" a="1"/>
  <c r="E870" i="8" s="1"/>
  <c r="E871" i="8" a="1"/>
  <c r="E871" i="8" s="1"/>
  <c r="E872" i="8" a="1"/>
  <c r="E872" i="8" s="1"/>
  <c r="E873" i="8" a="1"/>
  <c r="E873" i="8" s="1"/>
  <c r="E874" i="8" a="1"/>
  <c r="E874" i="8" s="1"/>
  <c r="E875" i="8" a="1"/>
  <c r="E875" i="8" s="1"/>
  <c r="E876" i="8" a="1"/>
  <c r="E876" i="8" s="1"/>
  <c r="E877" i="8" a="1"/>
  <c r="E877" i="8" s="1"/>
  <c r="E878" i="8" a="1"/>
  <c r="E878" i="8" s="1"/>
  <c r="E879" i="8" a="1"/>
  <c r="E879" i="8" s="1"/>
  <c r="E880" i="8" a="1"/>
  <c r="E880" i="8" s="1"/>
  <c r="E881" i="8" a="1"/>
  <c r="E881" i="8" s="1"/>
  <c r="E882" i="8" a="1"/>
  <c r="E882" i="8" s="1"/>
  <c r="E883" i="8" a="1"/>
  <c r="E883" i="8" s="1"/>
  <c r="E884" i="8" a="1"/>
  <c r="E884" i="8" s="1"/>
  <c r="E885" i="8" a="1"/>
  <c r="E885" i="8" s="1"/>
  <c r="E886" i="8" a="1"/>
  <c r="E886" i="8" s="1"/>
  <c r="E887" i="8" a="1"/>
  <c r="E887" i="8" s="1"/>
  <c r="E888" i="8" a="1"/>
  <c r="E888" i="8" s="1"/>
  <c r="E889" i="8" a="1"/>
  <c r="E889" i="8" s="1"/>
  <c r="E890" i="8" a="1"/>
  <c r="E890" i="8" s="1"/>
  <c r="E891" i="8" a="1"/>
  <c r="E891" i="8" s="1"/>
  <c r="E892" i="8" a="1"/>
  <c r="E892" i="8" s="1"/>
  <c r="E893" i="8" a="1"/>
  <c r="E893" i="8" s="1"/>
  <c r="E894" i="8" a="1"/>
  <c r="E894" i="8" s="1"/>
  <c r="E895" i="8" a="1"/>
  <c r="E895" i="8" s="1"/>
  <c r="E896" i="8" a="1"/>
  <c r="E896" i="8" s="1"/>
  <c r="E897" i="8" a="1"/>
  <c r="E897" i="8" s="1"/>
  <c r="E898" i="8" a="1"/>
  <c r="E898" i="8" s="1"/>
  <c r="E899" i="8" a="1"/>
  <c r="E899" i="8" s="1"/>
  <c r="E900" i="8" a="1"/>
  <c r="E900" i="8" s="1"/>
  <c r="E901" i="8" a="1"/>
  <c r="E901" i="8" s="1"/>
  <c r="E902" i="8" a="1"/>
  <c r="E902" i="8" s="1"/>
  <c r="E903" i="8" a="1"/>
  <c r="E903" i="8" s="1"/>
  <c r="E904" i="8" a="1"/>
  <c r="E904" i="8" s="1"/>
  <c r="E905" i="8" a="1"/>
  <c r="E905" i="8" s="1"/>
  <c r="E906" i="8" a="1"/>
  <c r="E906" i="8" s="1"/>
  <c r="E907" i="8" a="1"/>
  <c r="E907" i="8" s="1"/>
  <c r="E908" i="8" a="1"/>
  <c r="E908" i="8" s="1"/>
  <c r="E909" i="8" a="1"/>
  <c r="E909" i="8" s="1"/>
  <c r="E910" i="8" a="1"/>
  <c r="E910" i="8" s="1"/>
  <c r="E911" i="8" a="1"/>
  <c r="E911" i="8" s="1"/>
  <c r="E912" i="8" a="1"/>
  <c r="E912" i="8" s="1"/>
  <c r="E913" i="8" a="1"/>
  <c r="E913" i="8" s="1"/>
  <c r="E914" i="8" a="1"/>
  <c r="E914" i="8" s="1"/>
  <c r="E915" i="8" a="1"/>
  <c r="E915" i="8" s="1"/>
  <c r="E916" i="8" a="1"/>
  <c r="E916" i="8" s="1"/>
  <c r="E917" i="8" a="1"/>
  <c r="E917" i="8" s="1"/>
  <c r="E918" i="8" a="1"/>
  <c r="E918" i="8" s="1"/>
  <c r="E919" i="8" a="1"/>
  <c r="E919" i="8" s="1"/>
  <c r="E920" i="8" a="1"/>
  <c r="E920" i="8" s="1"/>
  <c r="E921" i="8" a="1"/>
  <c r="E921" i="8" s="1"/>
  <c r="E922" i="8" a="1"/>
  <c r="E922" i="8" s="1"/>
  <c r="E923" i="8" a="1"/>
  <c r="E923" i="8" s="1"/>
  <c r="E924" i="8" a="1"/>
  <c r="E924" i="8" s="1"/>
  <c r="E925" i="8" a="1"/>
  <c r="E925" i="8" s="1"/>
  <c r="E926" i="8" a="1"/>
  <c r="E926" i="8" s="1"/>
  <c r="E927" i="8" a="1"/>
  <c r="E927" i="8" s="1"/>
  <c r="E928" i="8" a="1"/>
  <c r="E928" i="8" s="1"/>
  <c r="E929" i="8" a="1"/>
  <c r="E929" i="8" s="1"/>
  <c r="E930" i="8" a="1"/>
  <c r="E930" i="8" s="1"/>
  <c r="E931" i="8" a="1"/>
  <c r="E931" i="8" s="1"/>
  <c r="E932" i="8" a="1"/>
  <c r="E932" i="8" s="1"/>
  <c r="E933" i="8" a="1"/>
  <c r="E933" i="8" s="1"/>
  <c r="E934" i="8" a="1"/>
  <c r="E934" i="8" s="1"/>
  <c r="E935" i="8" a="1"/>
  <c r="E935" i="8" s="1"/>
  <c r="E936" i="8" a="1"/>
  <c r="E936" i="8" s="1"/>
  <c r="E937" i="8" a="1"/>
  <c r="E937" i="8" s="1"/>
  <c r="E938" i="8" a="1"/>
  <c r="E938" i="8" s="1"/>
  <c r="E939" i="8" a="1"/>
  <c r="E939" i="8" s="1"/>
  <c r="E940" i="8" a="1"/>
  <c r="E940" i="8" s="1"/>
  <c r="E941" i="8" a="1"/>
  <c r="E941" i="8" s="1"/>
  <c r="E942" i="8" a="1"/>
  <c r="E942" i="8" s="1"/>
  <c r="E943" i="8" a="1"/>
  <c r="E943" i="8" s="1"/>
  <c r="E944" i="8" a="1"/>
  <c r="E944" i="8" s="1"/>
  <c r="E945" i="8" a="1"/>
  <c r="E945" i="8" s="1"/>
  <c r="E946" i="8" a="1"/>
  <c r="E946" i="8" s="1"/>
  <c r="E947" i="8" a="1"/>
  <c r="E947" i="8" s="1"/>
  <c r="E948" i="8" a="1"/>
  <c r="E948" i="8" s="1"/>
  <c r="E949" i="8" a="1"/>
  <c r="E949" i="8" s="1"/>
  <c r="E950" i="8" a="1"/>
  <c r="E950" i="8" s="1"/>
  <c r="E951" i="8" a="1"/>
  <c r="E951" i="8" s="1"/>
  <c r="E952" i="8" a="1"/>
  <c r="E952" i="8" s="1"/>
  <c r="E953" i="8" a="1"/>
  <c r="E953" i="8" s="1"/>
  <c r="E954" i="8" a="1"/>
  <c r="E954" i="8" s="1"/>
  <c r="E955" i="8" a="1"/>
  <c r="E955" i="8" s="1"/>
  <c r="E956" i="8" a="1"/>
  <c r="E956" i="8" s="1"/>
  <c r="E957" i="8" a="1"/>
  <c r="E957" i="8" s="1"/>
  <c r="E958" i="8" a="1"/>
  <c r="E958" i="8" s="1"/>
  <c r="E959" i="8" a="1"/>
  <c r="E959" i="8" s="1"/>
  <c r="E960" i="8" a="1"/>
  <c r="E960" i="8" s="1"/>
  <c r="E961" i="8" a="1"/>
  <c r="E961" i="8" s="1"/>
  <c r="E962" i="8" a="1"/>
  <c r="E962" i="8" s="1"/>
  <c r="E963" i="8" a="1"/>
  <c r="E963" i="8" s="1"/>
  <c r="E964" i="8" a="1"/>
  <c r="E964" i="8" s="1"/>
  <c r="E965" i="8" a="1"/>
  <c r="E965" i="8" s="1"/>
  <c r="E966" i="8" a="1"/>
  <c r="E966" i="8" s="1"/>
  <c r="E967" i="8" a="1"/>
  <c r="E967" i="8" s="1"/>
  <c r="E968" i="8" a="1"/>
  <c r="E968" i="8" s="1"/>
  <c r="E969" i="8" a="1"/>
  <c r="E969" i="8" s="1"/>
  <c r="E970" i="8" a="1"/>
  <c r="E970" i="8" s="1"/>
  <c r="E971" i="8" a="1"/>
  <c r="E971" i="8" s="1"/>
  <c r="E972" i="8" a="1"/>
  <c r="E972" i="8" s="1"/>
  <c r="E973" i="8" a="1"/>
  <c r="E973" i="8" s="1"/>
  <c r="E974" i="8" a="1"/>
  <c r="E974" i="8" s="1"/>
  <c r="E975" i="8" a="1"/>
  <c r="E975" i="8" s="1"/>
  <c r="E4" i="8" a="1"/>
  <c r="E4" i="8" s="1"/>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F576" i="8"/>
  <c r="F577" i="8"/>
  <c r="F578" i="8"/>
  <c r="F579" i="8"/>
  <c r="F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677" i="8"/>
  <c r="F678" i="8"/>
  <c r="F679" i="8"/>
  <c r="F680" i="8"/>
  <c r="F681" i="8"/>
  <c r="F682" i="8"/>
  <c r="F683" i="8"/>
  <c r="F684" i="8"/>
  <c r="F685" i="8"/>
  <c r="F686" i="8"/>
  <c r="F687" i="8"/>
  <c r="F688" i="8"/>
  <c r="F689" i="8"/>
  <c r="F690" i="8"/>
  <c r="F691" i="8"/>
  <c r="F692" i="8"/>
  <c r="F693" i="8"/>
  <c r="F694" i="8"/>
  <c r="F695" i="8"/>
  <c r="F696" i="8"/>
  <c r="F697" i="8"/>
  <c r="F698" i="8"/>
  <c r="F699" i="8"/>
  <c r="F700" i="8"/>
  <c r="F701" i="8"/>
  <c r="F702" i="8"/>
  <c r="F703" i="8"/>
  <c r="F704" i="8"/>
  <c r="F705" i="8"/>
  <c r="F706" i="8"/>
  <c r="F707" i="8"/>
  <c r="F708" i="8"/>
  <c r="F709" i="8"/>
  <c r="F710" i="8"/>
  <c r="F711" i="8"/>
  <c r="F712" i="8"/>
  <c r="F713" i="8"/>
  <c r="F714" i="8"/>
  <c r="F715" i="8"/>
  <c r="F716" i="8"/>
  <c r="F717" i="8"/>
  <c r="F718" i="8"/>
  <c r="F719" i="8"/>
  <c r="F720" i="8"/>
  <c r="F721" i="8"/>
  <c r="F722" i="8"/>
  <c r="F723" i="8"/>
  <c r="F724" i="8"/>
  <c r="F725" i="8"/>
  <c r="F726" i="8"/>
  <c r="F727" i="8"/>
  <c r="F728" i="8"/>
  <c r="F729" i="8"/>
  <c r="F730" i="8"/>
  <c r="F731" i="8"/>
  <c r="F732" i="8"/>
  <c r="F733" i="8"/>
  <c r="F734" i="8"/>
  <c r="F735" i="8"/>
  <c r="F736" i="8"/>
  <c r="F737" i="8"/>
  <c r="F738" i="8"/>
  <c r="F739" i="8"/>
  <c r="F740" i="8"/>
  <c r="F741" i="8"/>
  <c r="F742" i="8"/>
  <c r="F743" i="8"/>
  <c r="F744" i="8"/>
  <c r="F745" i="8"/>
  <c r="F746" i="8"/>
  <c r="F747" i="8"/>
  <c r="F748" i="8"/>
  <c r="F749" i="8"/>
  <c r="F750" i="8"/>
  <c r="F751" i="8"/>
  <c r="F752" i="8"/>
  <c r="F753" i="8"/>
  <c r="F754" i="8"/>
  <c r="F755" i="8"/>
  <c r="F756" i="8"/>
  <c r="F757" i="8"/>
  <c r="F758" i="8"/>
  <c r="F759" i="8"/>
  <c r="F760" i="8"/>
  <c r="F761" i="8"/>
  <c r="F762" i="8"/>
  <c r="F763" i="8"/>
  <c r="F764" i="8"/>
  <c r="F765" i="8"/>
  <c r="F766" i="8"/>
  <c r="F767" i="8"/>
  <c r="F768" i="8"/>
  <c r="F769" i="8"/>
  <c r="F770" i="8"/>
  <c r="F771" i="8"/>
  <c r="F772" i="8"/>
  <c r="F773" i="8"/>
  <c r="F774" i="8"/>
  <c r="F775" i="8"/>
  <c r="F776" i="8"/>
  <c r="F777" i="8"/>
  <c r="F778" i="8"/>
  <c r="F779" i="8"/>
  <c r="F780" i="8"/>
  <c r="F781" i="8"/>
  <c r="F782" i="8"/>
  <c r="F783" i="8"/>
  <c r="F784" i="8"/>
  <c r="F785" i="8"/>
  <c r="F786" i="8"/>
  <c r="F787" i="8"/>
  <c r="F788" i="8"/>
  <c r="F789" i="8"/>
  <c r="F790" i="8"/>
  <c r="F791" i="8"/>
  <c r="F792" i="8"/>
  <c r="F793" i="8"/>
  <c r="F794" i="8"/>
  <c r="F795" i="8"/>
  <c r="F796" i="8"/>
  <c r="F797" i="8"/>
  <c r="F798" i="8"/>
  <c r="F799" i="8"/>
  <c r="F800" i="8"/>
  <c r="F801" i="8"/>
  <c r="F802" i="8"/>
  <c r="F803" i="8"/>
  <c r="F804" i="8"/>
  <c r="F805" i="8"/>
  <c r="F806" i="8"/>
  <c r="F807" i="8"/>
  <c r="F808" i="8"/>
  <c r="F809" i="8"/>
  <c r="F810" i="8"/>
  <c r="F811" i="8"/>
  <c r="F812" i="8"/>
  <c r="F813" i="8"/>
  <c r="F814" i="8"/>
  <c r="F815" i="8"/>
  <c r="F816" i="8"/>
  <c r="F817" i="8"/>
  <c r="F818" i="8"/>
  <c r="F819" i="8"/>
  <c r="F820" i="8"/>
  <c r="F821" i="8"/>
  <c r="F822" i="8"/>
  <c r="F823" i="8"/>
  <c r="F824" i="8"/>
  <c r="F825" i="8"/>
  <c r="F826" i="8"/>
  <c r="F827" i="8"/>
  <c r="F828" i="8"/>
  <c r="F829" i="8"/>
  <c r="F830" i="8"/>
  <c r="F831" i="8"/>
  <c r="F832" i="8"/>
  <c r="F833" i="8"/>
  <c r="F834" i="8"/>
  <c r="F835" i="8"/>
  <c r="F836" i="8"/>
  <c r="F837" i="8"/>
  <c r="F838" i="8"/>
  <c r="F839" i="8"/>
  <c r="F840" i="8"/>
  <c r="F841" i="8"/>
  <c r="F842" i="8"/>
  <c r="F843" i="8"/>
  <c r="F844" i="8"/>
  <c r="F845" i="8"/>
  <c r="F846" i="8"/>
  <c r="F847" i="8"/>
  <c r="F848" i="8"/>
  <c r="F849" i="8"/>
  <c r="F850" i="8"/>
  <c r="F851" i="8"/>
  <c r="F852" i="8"/>
  <c r="F853" i="8"/>
  <c r="F854" i="8"/>
  <c r="F855" i="8"/>
  <c r="F856" i="8"/>
  <c r="F857" i="8"/>
  <c r="F858" i="8"/>
  <c r="F859" i="8"/>
  <c r="F860" i="8"/>
  <c r="F861" i="8"/>
  <c r="F862" i="8"/>
  <c r="F863" i="8"/>
  <c r="F864" i="8"/>
  <c r="F865" i="8"/>
  <c r="F866" i="8"/>
  <c r="F867" i="8"/>
  <c r="F868" i="8"/>
  <c r="F869" i="8"/>
  <c r="F870" i="8"/>
  <c r="F871" i="8"/>
  <c r="F872" i="8"/>
  <c r="F873" i="8"/>
  <c r="F874" i="8"/>
  <c r="F875" i="8"/>
  <c r="F876" i="8"/>
  <c r="F877" i="8"/>
  <c r="F878" i="8"/>
  <c r="F879" i="8"/>
  <c r="F880" i="8"/>
  <c r="F881" i="8"/>
  <c r="F882" i="8"/>
  <c r="F883" i="8"/>
  <c r="F884" i="8"/>
  <c r="F885" i="8"/>
  <c r="F886" i="8"/>
  <c r="F887" i="8"/>
  <c r="F888" i="8"/>
  <c r="F889" i="8"/>
  <c r="F890" i="8"/>
  <c r="F891" i="8"/>
  <c r="F892" i="8"/>
  <c r="F893" i="8"/>
  <c r="F894" i="8"/>
  <c r="F895" i="8"/>
  <c r="F896" i="8"/>
  <c r="F897" i="8"/>
  <c r="F898" i="8"/>
  <c r="F899" i="8"/>
  <c r="F900" i="8"/>
  <c r="F901" i="8"/>
  <c r="F902" i="8"/>
  <c r="F903" i="8"/>
  <c r="F904" i="8"/>
  <c r="F905" i="8"/>
  <c r="F906" i="8"/>
  <c r="F907" i="8"/>
  <c r="F908" i="8"/>
  <c r="F909" i="8"/>
  <c r="F910" i="8"/>
  <c r="F911" i="8"/>
  <c r="F912" i="8"/>
  <c r="F913" i="8"/>
  <c r="F914" i="8"/>
  <c r="F915" i="8"/>
  <c r="F916" i="8"/>
  <c r="F917" i="8"/>
  <c r="F918" i="8"/>
  <c r="F919" i="8"/>
  <c r="F920" i="8"/>
  <c r="F921" i="8"/>
  <c r="F922" i="8"/>
  <c r="F923" i="8"/>
  <c r="F924" i="8"/>
  <c r="F925" i="8"/>
  <c r="F926" i="8"/>
  <c r="F927" i="8"/>
  <c r="F928" i="8"/>
  <c r="F929" i="8"/>
  <c r="F930" i="8"/>
  <c r="F931" i="8"/>
  <c r="F932" i="8"/>
  <c r="F933" i="8"/>
  <c r="F934" i="8"/>
  <c r="F935" i="8"/>
  <c r="F936" i="8"/>
  <c r="F937" i="8"/>
  <c r="F938" i="8"/>
  <c r="F939" i="8"/>
  <c r="F940" i="8"/>
  <c r="F941" i="8"/>
  <c r="F942" i="8"/>
  <c r="F943" i="8"/>
  <c r="F944" i="8"/>
  <c r="F945" i="8"/>
  <c r="F946" i="8"/>
  <c r="F947" i="8"/>
  <c r="F948" i="8"/>
  <c r="F949" i="8"/>
  <c r="F950" i="8"/>
  <c r="F951" i="8"/>
  <c r="F952" i="8"/>
  <c r="F953" i="8"/>
  <c r="F954" i="8"/>
  <c r="F955" i="8"/>
  <c r="F956" i="8"/>
  <c r="F957" i="8"/>
  <c r="F958" i="8"/>
  <c r="F959" i="8"/>
  <c r="F960" i="8"/>
  <c r="F961" i="8"/>
  <c r="F962" i="8"/>
  <c r="F963" i="8"/>
  <c r="F964" i="8"/>
  <c r="F965" i="8"/>
  <c r="F966" i="8"/>
  <c r="F967" i="8"/>
  <c r="F968" i="8"/>
  <c r="F969" i="8"/>
  <c r="F970" i="8"/>
  <c r="F971" i="8"/>
  <c r="F972" i="8"/>
  <c r="F973" i="8"/>
  <c r="F974" i="8"/>
  <c r="F975" i="8"/>
  <c r="F4" i="8"/>
  <c r="D5" i="8" a="1"/>
  <c r="D5" i="8" s="1"/>
  <c r="D6" i="8" a="1"/>
  <c r="D6" i="8" s="1"/>
  <c r="D7" i="8" a="1"/>
  <c r="D7" i="8" s="1"/>
  <c r="D8" i="8" a="1"/>
  <c r="D8" i="8" s="1"/>
  <c r="D9" i="8" a="1"/>
  <c r="D9" i="8" s="1"/>
  <c r="D10" i="8" a="1"/>
  <c r="D10" i="8" s="1"/>
  <c r="D11" i="8" a="1"/>
  <c r="D11" i="8" s="1"/>
  <c r="D12" i="8" a="1"/>
  <c r="D12" i="8" s="1"/>
  <c r="D13" i="8" a="1"/>
  <c r="D13" i="8" s="1"/>
  <c r="D14" i="8" a="1"/>
  <c r="D14" i="8" s="1"/>
  <c r="D15" i="8" a="1"/>
  <c r="D15" i="8" s="1"/>
  <c r="D16" i="8" a="1"/>
  <c r="D16" i="8" s="1"/>
  <c r="D17" i="8" a="1"/>
  <c r="D17" i="8" s="1"/>
  <c r="D18" i="8" a="1"/>
  <c r="D18" i="8" s="1"/>
  <c r="D19" i="8" a="1"/>
  <c r="D19" i="8" s="1"/>
  <c r="D20" i="8" a="1"/>
  <c r="D20" i="8" s="1"/>
  <c r="D21" i="8" a="1"/>
  <c r="D21" i="8" s="1"/>
  <c r="D22" i="8" a="1"/>
  <c r="D22" i="8" s="1"/>
  <c r="D23" i="8" a="1"/>
  <c r="D23" i="8" s="1"/>
  <c r="D24" i="8" a="1"/>
  <c r="D24" i="8" s="1"/>
  <c r="D25" i="8" a="1"/>
  <c r="D25" i="8" s="1"/>
  <c r="D26" i="8" a="1"/>
  <c r="D26" i="8" s="1"/>
  <c r="D27" i="8" a="1"/>
  <c r="D27" i="8" s="1"/>
  <c r="D28" i="8" a="1"/>
  <c r="D28" i="8" s="1"/>
  <c r="D29" i="8" a="1"/>
  <c r="D29" i="8" s="1"/>
  <c r="D30" i="8" a="1"/>
  <c r="D30" i="8" s="1"/>
  <c r="D31" i="8" a="1"/>
  <c r="D31" i="8" s="1"/>
  <c r="D32" i="8" a="1"/>
  <c r="D32" i="8" s="1"/>
  <c r="D33" i="8" a="1"/>
  <c r="D33" i="8" s="1"/>
  <c r="D34" i="8" a="1"/>
  <c r="D34" i="8" s="1"/>
  <c r="D35" i="8" a="1"/>
  <c r="D35" i="8" s="1"/>
  <c r="D36" i="8" a="1"/>
  <c r="D36" i="8" s="1"/>
  <c r="D37" i="8" a="1"/>
  <c r="D37" i="8" s="1"/>
  <c r="D38" i="8" a="1"/>
  <c r="D38" i="8" s="1"/>
  <c r="D39" i="8" a="1"/>
  <c r="D39" i="8" s="1"/>
  <c r="D40" i="8" a="1"/>
  <c r="D40" i="8" s="1"/>
  <c r="D41" i="8" a="1"/>
  <c r="D41" i="8" s="1"/>
  <c r="D42" i="8" a="1"/>
  <c r="D42" i="8" s="1"/>
  <c r="D43" i="8" a="1"/>
  <c r="D43" i="8" s="1"/>
  <c r="D44" i="8" a="1"/>
  <c r="D44" i="8" s="1"/>
  <c r="D45" i="8" a="1"/>
  <c r="D45" i="8" s="1"/>
  <c r="D46" i="8" a="1"/>
  <c r="D46" i="8" s="1"/>
  <c r="D47" i="8" a="1"/>
  <c r="D47" i="8" s="1"/>
  <c r="D48" i="8" a="1"/>
  <c r="D48" i="8" s="1"/>
  <c r="D49" i="8" a="1"/>
  <c r="D49" i="8" s="1"/>
  <c r="D50" i="8" a="1"/>
  <c r="D50" i="8" s="1"/>
  <c r="D51" i="8" a="1"/>
  <c r="D51" i="8" s="1"/>
  <c r="D52" i="8" a="1"/>
  <c r="D52" i="8" s="1"/>
  <c r="D53" i="8" a="1"/>
  <c r="D53" i="8" s="1"/>
  <c r="D54" i="8" a="1"/>
  <c r="D54" i="8" s="1"/>
  <c r="D55" i="8" a="1"/>
  <c r="D55" i="8" s="1"/>
  <c r="D56" i="8" a="1"/>
  <c r="D56" i="8" s="1"/>
  <c r="D57" i="8" a="1"/>
  <c r="D57" i="8" s="1"/>
  <c r="D58" i="8" a="1"/>
  <c r="D58" i="8" s="1"/>
  <c r="D59" i="8" a="1"/>
  <c r="D59" i="8" s="1"/>
  <c r="D60" i="8" a="1"/>
  <c r="D60" i="8" s="1"/>
  <c r="D61" i="8" a="1"/>
  <c r="D61" i="8" s="1"/>
  <c r="D62" i="8" a="1"/>
  <c r="D62" i="8" s="1"/>
  <c r="D63" i="8" a="1"/>
  <c r="D63" i="8" s="1"/>
  <c r="D64" i="8" a="1"/>
  <c r="D64" i="8" s="1"/>
  <c r="D65" i="8" a="1"/>
  <c r="D65" i="8"/>
  <c r="D66" i="8" a="1"/>
  <c r="D66" i="8" s="1"/>
  <c r="D67" i="8" a="1"/>
  <c r="D67" i="8" s="1"/>
  <c r="D68" i="8" a="1"/>
  <c r="D68" i="8" s="1"/>
  <c r="D69" i="8" a="1"/>
  <c r="D69" i="8" s="1"/>
  <c r="D70" i="8" a="1"/>
  <c r="D70" i="8" s="1"/>
  <c r="D71" i="8" a="1"/>
  <c r="D71" i="8" s="1"/>
  <c r="D72" i="8" a="1"/>
  <c r="D72" i="8" s="1"/>
  <c r="D73" i="8" a="1"/>
  <c r="D73" i="8" s="1"/>
  <c r="D74" i="8" a="1"/>
  <c r="D74" i="8" s="1"/>
  <c r="D75" i="8" a="1"/>
  <c r="D75" i="8" s="1"/>
  <c r="D76" i="8" a="1"/>
  <c r="D76" i="8" s="1"/>
  <c r="D77" i="8" a="1"/>
  <c r="D77" i="8" s="1"/>
  <c r="D78" i="8" a="1"/>
  <c r="D78" i="8" s="1"/>
  <c r="D79" i="8" a="1"/>
  <c r="D79" i="8" s="1"/>
  <c r="D80" i="8" a="1"/>
  <c r="D80" i="8" s="1"/>
  <c r="D81" i="8" a="1"/>
  <c r="D81" i="8" s="1"/>
  <c r="D82" i="8" a="1"/>
  <c r="D82" i="8" s="1"/>
  <c r="D83" i="8" a="1"/>
  <c r="D83" i="8" s="1"/>
  <c r="D84" i="8" a="1"/>
  <c r="D84" i="8" s="1"/>
  <c r="D85" i="8" a="1"/>
  <c r="D85" i="8" s="1"/>
  <c r="D86" i="8" a="1"/>
  <c r="D86" i="8" s="1"/>
  <c r="D87" i="8" a="1"/>
  <c r="D87" i="8" s="1"/>
  <c r="D88" i="8" a="1"/>
  <c r="D88" i="8" s="1"/>
  <c r="D89" i="8" a="1"/>
  <c r="D89" i="8" s="1"/>
  <c r="D90" i="8" a="1"/>
  <c r="D90" i="8" s="1"/>
  <c r="D91" i="8" a="1"/>
  <c r="D91" i="8" s="1"/>
  <c r="D92" i="8" a="1"/>
  <c r="D92" i="8" s="1"/>
  <c r="D93" i="8" a="1"/>
  <c r="D93" i="8" s="1"/>
  <c r="D94" i="8" a="1"/>
  <c r="D94" i="8" s="1"/>
  <c r="D95" i="8" a="1"/>
  <c r="D95" i="8" s="1"/>
  <c r="D96" i="8" a="1"/>
  <c r="D96" i="8" s="1"/>
  <c r="D97" i="8" a="1"/>
  <c r="D97" i="8" s="1"/>
  <c r="D98" i="8" a="1"/>
  <c r="D98" i="8" s="1"/>
  <c r="D99" i="8" a="1"/>
  <c r="D99" i="8" s="1"/>
  <c r="D100" i="8" a="1"/>
  <c r="D100" i="8" s="1"/>
  <c r="D101" i="8" a="1"/>
  <c r="D101" i="8" s="1"/>
  <c r="D102" i="8" a="1"/>
  <c r="D102" i="8" s="1"/>
  <c r="D103" i="8" a="1"/>
  <c r="D103" i="8" s="1"/>
  <c r="D104" i="8" a="1"/>
  <c r="D104" i="8" s="1"/>
  <c r="D105" i="8" a="1"/>
  <c r="D105" i="8" s="1"/>
  <c r="D106" i="8" a="1"/>
  <c r="D106" i="8" s="1"/>
  <c r="D107" i="8" a="1"/>
  <c r="D107" i="8" s="1"/>
  <c r="D108" i="8" a="1"/>
  <c r="D108" i="8" s="1"/>
  <c r="D109" i="8" a="1"/>
  <c r="D109" i="8" s="1"/>
  <c r="D110" i="8" a="1"/>
  <c r="D110" i="8" s="1"/>
  <c r="D111" i="8" a="1"/>
  <c r="D111" i="8" s="1"/>
  <c r="D112" i="8" a="1"/>
  <c r="D112" i="8" s="1"/>
  <c r="D113" i="8" a="1"/>
  <c r="D113" i="8" s="1"/>
  <c r="D114" i="8" a="1"/>
  <c r="D114" i="8" s="1"/>
  <c r="D115" i="8" a="1"/>
  <c r="D115" i="8" s="1"/>
  <c r="D116" i="8" a="1"/>
  <c r="D116" i="8"/>
  <c r="D117" i="8" a="1"/>
  <c r="D117" i="8" s="1"/>
  <c r="D118" i="8" a="1"/>
  <c r="D118" i="8" s="1"/>
  <c r="D119" i="8" a="1"/>
  <c r="D119" i="8" s="1"/>
  <c r="D120" i="8" a="1"/>
  <c r="D120" i="8" s="1"/>
  <c r="D121" i="8" a="1"/>
  <c r="D121" i="8" s="1"/>
  <c r="D122" i="8" a="1"/>
  <c r="D122" i="8" s="1"/>
  <c r="D123" i="8" a="1"/>
  <c r="D123" i="8" s="1"/>
  <c r="D124" i="8" a="1"/>
  <c r="D124" i="8" s="1"/>
  <c r="D125" i="8" a="1"/>
  <c r="D125" i="8" s="1"/>
  <c r="D126" i="8" a="1"/>
  <c r="D126" i="8" s="1"/>
  <c r="D127" i="8" a="1"/>
  <c r="D127" i="8" s="1"/>
  <c r="D128" i="8" a="1"/>
  <c r="D128" i="8" s="1"/>
  <c r="D129" i="8" a="1"/>
  <c r="D129" i="8" s="1"/>
  <c r="D130" i="8" a="1"/>
  <c r="D130" i="8" s="1"/>
  <c r="D131" i="8" a="1"/>
  <c r="D131" i="8" s="1"/>
  <c r="D132" i="8" a="1"/>
  <c r="D132" i="8" s="1"/>
  <c r="D133" i="8" a="1"/>
  <c r="D133" i="8" s="1"/>
  <c r="D134" i="8" a="1"/>
  <c r="D134" i="8" s="1"/>
  <c r="D135" i="8" a="1"/>
  <c r="D135" i="8" s="1"/>
  <c r="D136" i="8" a="1"/>
  <c r="D136" i="8" s="1"/>
  <c r="D137" i="8" a="1"/>
  <c r="D137" i="8" s="1"/>
  <c r="D138" i="8" a="1"/>
  <c r="D138" i="8" s="1"/>
  <c r="D139" i="8" a="1"/>
  <c r="D139" i="8" s="1"/>
  <c r="D140" i="8" a="1"/>
  <c r="D140" i="8" s="1"/>
  <c r="D141" i="8" a="1"/>
  <c r="D141" i="8" s="1"/>
  <c r="D142" i="8" a="1"/>
  <c r="D142" i="8" s="1"/>
  <c r="D143" i="8" a="1"/>
  <c r="D143" i="8" s="1"/>
  <c r="D144" i="8" a="1"/>
  <c r="D144" i="8" s="1"/>
  <c r="D145" i="8" a="1"/>
  <c r="D145" i="8" s="1"/>
  <c r="D146" i="8" a="1"/>
  <c r="D146" i="8" s="1"/>
  <c r="D147" i="8" a="1"/>
  <c r="D147" i="8" s="1"/>
  <c r="D148" i="8" a="1"/>
  <c r="D148" i="8" s="1"/>
  <c r="D149" i="8" a="1"/>
  <c r="D149" i="8" s="1"/>
  <c r="D150" i="8" a="1"/>
  <c r="D150" i="8" s="1"/>
  <c r="D151" i="8" a="1"/>
  <c r="D151" i="8" s="1"/>
  <c r="D152" i="8" a="1"/>
  <c r="D152" i="8" s="1"/>
  <c r="D153" i="8" a="1"/>
  <c r="D153" i="8" s="1"/>
  <c r="D154" i="8" a="1"/>
  <c r="D154" i="8" s="1"/>
  <c r="D155" i="8" a="1"/>
  <c r="D155" i="8" s="1"/>
  <c r="D156" i="8" a="1"/>
  <c r="D156" i="8" s="1"/>
  <c r="D157" i="8" a="1"/>
  <c r="D157" i="8" s="1"/>
  <c r="D158" i="8" a="1"/>
  <c r="D158" i="8" s="1"/>
  <c r="D159" i="8" a="1"/>
  <c r="D159" i="8" s="1"/>
  <c r="D160" i="8" a="1"/>
  <c r="D160" i="8" s="1"/>
  <c r="D161" i="8" a="1"/>
  <c r="D161" i="8" s="1"/>
  <c r="D162" i="8" a="1"/>
  <c r="D162" i="8" s="1"/>
  <c r="D163" i="8" a="1"/>
  <c r="D163" i="8" s="1"/>
  <c r="D164" i="8" a="1"/>
  <c r="D164" i="8" s="1"/>
  <c r="D165" i="8" a="1"/>
  <c r="D165" i="8" s="1"/>
  <c r="D166" i="8" a="1"/>
  <c r="D166" i="8" s="1"/>
  <c r="D167" i="8" a="1"/>
  <c r="D167" i="8" s="1"/>
  <c r="D168" i="8" a="1"/>
  <c r="D168" i="8" s="1"/>
  <c r="D169" i="8" a="1"/>
  <c r="D169" i="8" s="1"/>
  <c r="D170" i="8" a="1"/>
  <c r="D170" i="8" s="1"/>
  <c r="D171" i="8" a="1"/>
  <c r="D171" i="8" s="1"/>
  <c r="D172" i="8" a="1"/>
  <c r="D172" i="8" s="1"/>
  <c r="D173" i="8" a="1"/>
  <c r="D173" i="8" s="1"/>
  <c r="D174" i="8" a="1"/>
  <c r="D174" i="8" s="1"/>
  <c r="D175" i="8" a="1"/>
  <c r="D175" i="8" s="1"/>
  <c r="D176" i="8" a="1"/>
  <c r="D176" i="8" s="1"/>
  <c r="D177" i="8" a="1"/>
  <c r="D177" i="8" s="1"/>
  <c r="D178" i="8" a="1"/>
  <c r="D178" i="8" s="1"/>
  <c r="D179" i="8" a="1"/>
  <c r="D179" i="8" s="1"/>
  <c r="D180" i="8" a="1"/>
  <c r="D180" i="8" s="1"/>
  <c r="D181" i="8" a="1"/>
  <c r="D181" i="8" s="1"/>
  <c r="D182" i="8" a="1"/>
  <c r="D182" i="8" s="1"/>
  <c r="D183" i="8" a="1"/>
  <c r="D183" i="8" s="1"/>
  <c r="D184" i="8" a="1"/>
  <c r="D184" i="8" s="1"/>
  <c r="D185" i="8" a="1"/>
  <c r="D185" i="8" s="1"/>
  <c r="D186" i="8" a="1"/>
  <c r="D186" i="8" s="1"/>
  <c r="D187" i="8" a="1"/>
  <c r="D187" i="8" s="1"/>
  <c r="D188" i="8" a="1"/>
  <c r="D188" i="8" s="1"/>
  <c r="D189" i="8" a="1"/>
  <c r="D189" i="8" s="1"/>
  <c r="D190" i="8" a="1"/>
  <c r="D190" i="8" s="1"/>
  <c r="D191" i="8" a="1"/>
  <c r="D191" i="8" s="1"/>
  <c r="D192" i="8" a="1"/>
  <c r="D192" i="8" s="1"/>
  <c r="D193" i="8" a="1"/>
  <c r="D193" i="8"/>
  <c r="D194" i="8" a="1"/>
  <c r="D194" i="8" s="1"/>
  <c r="D195" i="8" a="1"/>
  <c r="D195" i="8" s="1"/>
  <c r="D196" i="8" a="1"/>
  <c r="D196" i="8" s="1"/>
  <c r="D197" i="8" a="1"/>
  <c r="D197" i="8" s="1"/>
  <c r="D198" i="8" a="1"/>
  <c r="D198" i="8" s="1"/>
  <c r="D199" i="8" a="1"/>
  <c r="D199" i="8" s="1"/>
  <c r="D200" i="8" a="1"/>
  <c r="D200" i="8" s="1"/>
  <c r="D201" i="8" a="1"/>
  <c r="D201" i="8" s="1"/>
  <c r="D202" i="8" a="1"/>
  <c r="D202" i="8" s="1"/>
  <c r="D203" i="8" a="1"/>
  <c r="D203" i="8" s="1"/>
  <c r="D204" i="8" a="1"/>
  <c r="D204" i="8" s="1"/>
  <c r="D205" i="8" a="1"/>
  <c r="D205" i="8" s="1"/>
  <c r="D206" i="8" a="1"/>
  <c r="D206" i="8" s="1"/>
  <c r="D207" i="8" a="1"/>
  <c r="D207" i="8" s="1"/>
  <c r="D208" i="8" a="1"/>
  <c r="D208" i="8" s="1"/>
  <c r="D209" i="8" a="1"/>
  <c r="D209" i="8" s="1"/>
  <c r="D210" i="8" a="1"/>
  <c r="D210" i="8" s="1"/>
  <c r="D211" i="8" a="1"/>
  <c r="D211" i="8" s="1"/>
  <c r="D212" i="8" a="1"/>
  <c r="D212" i="8" s="1"/>
  <c r="D213" i="8" a="1"/>
  <c r="D213" i="8" s="1"/>
  <c r="D214" i="8" a="1"/>
  <c r="D214" i="8" s="1"/>
  <c r="D215" i="8" a="1"/>
  <c r="D215" i="8" s="1"/>
  <c r="D216" i="8" a="1"/>
  <c r="D216" i="8" s="1"/>
  <c r="D217" i="8" a="1"/>
  <c r="D217" i="8" s="1"/>
  <c r="D218" i="8" a="1"/>
  <c r="D218" i="8" s="1"/>
  <c r="D219" i="8" a="1"/>
  <c r="D219" i="8" s="1"/>
  <c r="D220" i="8" a="1"/>
  <c r="D220" i="8" s="1"/>
  <c r="D221" i="8" a="1"/>
  <c r="D221" i="8" s="1"/>
  <c r="D222" i="8" a="1"/>
  <c r="D222" i="8" s="1"/>
  <c r="D223" i="8" a="1"/>
  <c r="D223" i="8" s="1"/>
  <c r="D224" i="8" a="1"/>
  <c r="D224" i="8" s="1"/>
  <c r="D225" i="8" a="1"/>
  <c r="D225" i="8" s="1"/>
  <c r="D226" i="8" a="1"/>
  <c r="D226" i="8" s="1"/>
  <c r="D227" i="8" a="1"/>
  <c r="D227" i="8" s="1"/>
  <c r="D228" i="8" a="1"/>
  <c r="D228" i="8" s="1"/>
  <c r="D229" i="8" a="1"/>
  <c r="D229" i="8" s="1"/>
  <c r="D230" i="8" a="1"/>
  <c r="D230" i="8" s="1"/>
  <c r="D231" i="8" a="1"/>
  <c r="D231" i="8" s="1"/>
  <c r="D232" i="8" a="1"/>
  <c r="D232" i="8" s="1"/>
  <c r="D233" i="8" a="1"/>
  <c r="D233" i="8" s="1"/>
  <c r="D234" i="8" a="1"/>
  <c r="D234" i="8" s="1"/>
  <c r="D235" i="8" a="1"/>
  <c r="D235" i="8" s="1"/>
  <c r="D236" i="8" a="1"/>
  <c r="D236" i="8" s="1"/>
  <c r="D237" i="8" a="1"/>
  <c r="D237" i="8" s="1"/>
  <c r="D238" i="8" a="1"/>
  <c r="D238" i="8" s="1"/>
  <c r="D239" i="8" a="1"/>
  <c r="D239" i="8" s="1"/>
  <c r="D240" i="8" a="1"/>
  <c r="D240" i="8" s="1"/>
  <c r="D241" i="8" a="1"/>
  <c r="D241" i="8" s="1"/>
  <c r="D242" i="8" a="1"/>
  <c r="D242" i="8" s="1"/>
  <c r="D243" i="8" a="1"/>
  <c r="D243" i="8" s="1"/>
  <c r="D244" i="8" a="1"/>
  <c r="D244" i="8" s="1"/>
  <c r="D245" i="8" a="1"/>
  <c r="D245" i="8" s="1"/>
  <c r="D246" i="8" a="1"/>
  <c r="D246" i="8" s="1"/>
  <c r="D247" i="8" a="1"/>
  <c r="D247" i="8" s="1"/>
  <c r="D248" i="8" a="1"/>
  <c r="D248" i="8" s="1"/>
  <c r="D249" i="8" a="1"/>
  <c r="D249" i="8" s="1"/>
  <c r="D250" i="8" a="1"/>
  <c r="D250" i="8" s="1"/>
  <c r="D251" i="8" a="1"/>
  <c r="D251" i="8" s="1"/>
  <c r="D252" i="8" a="1"/>
  <c r="D252" i="8" s="1"/>
  <c r="D253" i="8" a="1"/>
  <c r="D253" i="8" s="1"/>
  <c r="D254" i="8" a="1"/>
  <c r="D254" i="8" s="1"/>
  <c r="D255" i="8" a="1"/>
  <c r="D255" i="8" s="1"/>
  <c r="D256" i="8" a="1"/>
  <c r="D256" i="8" s="1"/>
  <c r="D257" i="8" a="1"/>
  <c r="D257" i="8" s="1"/>
  <c r="D258" i="8" a="1"/>
  <c r="D258" i="8" s="1"/>
  <c r="D259" i="8" a="1"/>
  <c r="D259" i="8" s="1"/>
  <c r="D260" i="8" a="1"/>
  <c r="D260" i="8" s="1"/>
  <c r="D261" i="8" a="1"/>
  <c r="D261" i="8" s="1"/>
  <c r="D262" i="8" a="1"/>
  <c r="D262" i="8" s="1"/>
  <c r="D263" i="8" a="1"/>
  <c r="D263" i="8" s="1"/>
  <c r="D264" i="8" a="1"/>
  <c r="D264" i="8" s="1"/>
  <c r="D265" i="8" a="1"/>
  <c r="D265" i="8" s="1"/>
  <c r="D266" i="8" a="1"/>
  <c r="D266" i="8" s="1"/>
  <c r="D267" i="8" a="1"/>
  <c r="D267" i="8" s="1"/>
  <c r="D268" i="8" a="1"/>
  <c r="D268" i="8" s="1"/>
  <c r="D269" i="8" a="1"/>
  <c r="D269" i="8" s="1"/>
  <c r="D270" i="8" a="1"/>
  <c r="D270" i="8" s="1"/>
  <c r="D271" i="8" a="1"/>
  <c r="D271" i="8" s="1"/>
  <c r="D272" i="8" a="1"/>
  <c r="D272" i="8" s="1"/>
  <c r="D273" i="8" a="1"/>
  <c r="D273" i="8" s="1"/>
  <c r="D274" i="8" a="1"/>
  <c r="D274" i="8" s="1"/>
  <c r="D275" i="8" a="1"/>
  <c r="D275" i="8" s="1"/>
  <c r="D276" i="8" a="1"/>
  <c r="D276" i="8" s="1"/>
  <c r="D277" i="8" a="1"/>
  <c r="D277" i="8" s="1"/>
  <c r="D278" i="8" a="1"/>
  <c r="D278" i="8" s="1"/>
  <c r="D279" i="8" a="1"/>
  <c r="D279" i="8" s="1"/>
  <c r="D280" i="8" a="1"/>
  <c r="D280" i="8" s="1"/>
  <c r="D281" i="8" a="1"/>
  <c r="D281" i="8" s="1"/>
  <c r="D282" i="8" a="1"/>
  <c r="D282" i="8" s="1"/>
  <c r="D283" i="8" a="1"/>
  <c r="D283" i="8" s="1"/>
  <c r="D284" i="8" a="1"/>
  <c r="D284" i="8" s="1"/>
  <c r="D285" i="8" a="1"/>
  <c r="D285" i="8" s="1"/>
  <c r="D286" i="8" a="1"/>
  <c r="D286" i="8" s="1"/>
  <c r="D287" i="8" a="1"/>
  <c r="D287" i="8" s="1"/>
  <c r="D288" i="8" a="1"/>
  <c r="D288" i="8" s="1"/>
  <c r="D289" i="8" a="1"/>
  <c r="D289" i="8" s="1"/>
  <c r="D290" i="8" a="1"/>
  <c r="D290" i="8" s="1"/>
  <c r="D291" i="8" a="1"/>
  <c r="D291" i="8" s="1"/>
  <c r="D292" i="8" a="1"/>
  <c r="D292" i="8" s="1"/>
  <c r="D293" i="8" a="1"/>
  <c r="D293" i="8" s="1"/>
  <c r="D294" i="8" a="1"/>
  <c r="D294" i="8" s="1"/>
  <c r="D295" i="8" a="1"/>
  <c r="D295" i="8" s="1"/>
  <c r="D296" i="8" a="1"/>
  <c r="D296" i="8" s="1"/>
  <c r="D297" i="8" a="1"/>
  <c r="D297" i="8" s="1"/>
  <c r="D298" i="8" a="1"/>
  <c r="D298" i="8" s="1"/>
  <c r="D299" i="8" a="1"/>
  <c r="D299" i="8" s="1"/>
  <c r="D300" i="8" a="1"/>
  <c r="D300" i="8" s="1"/>
  <c r="D301" i="8" a="1"/>
  <c r="D301" i="8" s="1"/>
  <c r="D302" i="8" a="1"/>
  <c r="D302" i="8" s="1"/>
  <c r="D303" i="8" a="1"/>
  <c r="D303" i="8" s="1"/>
  <c r="D304" i="8" a="1"/>
  <c r="D304" i="8" s="1"/>
  <c r="D305" i="8" a="1"/>
  <c r="D305" i="8" s="1"/>
  <c r="D306" i="8" a="1"/>
  <c r="D306" i="8" s="1"/>
  <c r="D307" i="8" a="1"/>
  <c r="D307" i="8" s="1"/>
  <c r="D308" i="8" a="1"/>
  <c r="D308" i="8" s="1"/>
  <c r="D309" i="8" a="1"/>
  <c r="D309" i="8" s="1"/>
  <c r="D310" i="8" a="1"/>
  <c r="D310" i="8" s="1"/>
  <c r="D311" i="8" a="1"/>
  <c r="D311" i="8" s="1"/>
  <c r="D312" i="8" a="1"/>
  <c r="D312" i="8" s="1"/>
  <c r="D313" i="8" a="1"/>
  <c r="D313" i="8" s="1"/>
  <c r="D314" i="8" a="1"/>
  <c r="D314" i="8" s="1"/>
  <c r="D315" i="8" a="1"/>
  <c r="D315" i="8" s="1"/>
  <c r="D316" i="8" a="1"/>
  <c r="D316" i="8" s="1"/>
  <c r="D317" i="8" a="1"/>
  <c r="D317" i="8" s="1"/>
  <c r="D318" i="8" a="1"/>
  <c r="D318" i="8" s="1"/>
  <c r="D319" i="8" a="1"/>
  <c r="D319" i="8" s="1"/>
  <c r="D320" i="8" a="1"/>
  <c r="D320" i="8" s="1"/>
  <c r="D321" i="8" a="1"/>
  <c r="D321" i="8" s="1"/>
  <c r="D322" i="8" a="1"/>
  <c r="D322" i="8" s="1"/>
  <c r="D323" i="8" a="1"/>
  <c r="D323" i="8" s="1"/>
  <c r="D324" i="8" a="1"/>
  <c r="D324" i="8" s="1"/>
  <c r="D325" i="8" a="1"/>
  <c r="D325" i="8" s="1"/>
  <c r="D326" i="8" a="1"/>
  <c r="D326" i="8" s="1"/>
  <c r="D327" i="8" a="1"/>
  <c r="D327" i="8" s="1"/>
  <c r="D328" i="8" a="1"/>
  <c r="D328" i="8" s="1"/>
  <c r="D329" i="8" a="1"/>
  <c r="D329" i="8" s="1"/>
  <c r="D330" i="8" a="1"/>
  <c r="D330" i="8" s="1"/>
  <c r="D331" i="8" a="1"/>
  <c r="D331" i="8" s="1"/>
  <c r="D332" i="8" a="1"/>
  <c r="D332" i="8" s="1"/>
  <c r="D333" i="8" a="1"/>
  <c r="D333" i="8" s="1"/>
  <c r="D334" i="8" a="1"/>
  <c r="D334" i="8" s="1"/>
  <c r="D335" i="8" a="1"/>
  <c r="D335" i="8" s="1"/>
  <c r="D336" i="8" a="1"/>
  <c r="D336" i="8" s="1"/>
  <c r="D337" i="8" a="1"/>
  <c r="D337" i="8" s="1"/>
  <c r="D338" i="8" a="1"/>
  <c r="D338" i="8" s="1"/>
  <c r="D339" i="8" a="1"/>
  <c r="D339" i="8" s="1"/>
  <c r="D340" i="8" a="1"/>
  <c r="D340" i="8" s="1"/>
  <c r="D341" i="8" a="1"/>
  <c r="D341" i="8" s="1"/>
  <c r="D342" i="8" a="1"/>
  <c r="D342" i="8" s="1"/>
  <c r="D343" i="8" a="1"/>
  <c r="D343" i="8" s="1"/>
  <c r="D344" i="8" a="1"/>
  <c r="D344" i="8" s="1"/>
  <c r="D345" i="8" a="1"/>
  <c r="D345" i="8" s="1"/>
  <c r="D346" i="8" a="1"/>
  <c r="D346" i="8" s="1"/>
  <c r="D347" i="8" a="1"/>
  <c r="D347" i="8" s="1"/>
  <c r="D348" i="8" a="1"/>
  <c r="D348" i="8" s="1"/>
  <c r="D349" i="8" a="1"/>
  <c r="D349" i="8" s="1"/>
  <c r="D350" i="8" a="1"/>
  <c r="D350" i="8" s="1"/>
  <c r="D351" i="8" a="1"/>
  <c r="D351" i="8" s="1"/>
  <c r="D352" i="8" a="1"/>
  <c r="D352" i="8" s="1"/>
  <c r="D353" i="8" a="1"/>
  <c r="D353" i="8" s="1"/>
  <c r="D354" i="8" a="1"/>
  <c r="D354" i="8" s="1"/>
  <c r="D355" i="8" a="1"/>
  <c r="D355" i="8" s="1"/>
  <c r="D356" i="8" a="1"/>
  <c r="D356" i="8" s="1"/>
  <c r="D357" i="8" a="1"/>
  <c r="D357" i="8" s="1"/>
  <c r="D358" i="8" a="1"/>
  <c r="D358" i="8" s="1"/>
  <c r="D359" i="8" a="1"/>
  <c r="D359" i="8" s="1"/>
  <c r="D360" i="8" a="1"/>
  <c r="D360" i="8" s="1"/>
  <c r="D361" i="8" a="1"/>
  <c r="D361" i="8" s="1"/>
  <c r="D362" i="8" a="1"/>
  <c r="D362" i="8" s="1"/>
  <c r="D363" i="8" a="1"/>
  <c r="D363" i="8" s="1"/>
  <c r="D364" i="8" a="1"/>
  <c r="D364" i="8" s="1"/>
  <c r="D365" i="8" a="1"/>
  <c r="D365" i="8" s="1"/>
  <c r="D366" i="8" a="1"/>
  <c r="D366" i="8" s="1"/>
  <c r="D367" i="8" a="1"/>
  <c r="D367" i="8" s="1"/>
  <c r="D368" i="8" a="1"/>
  <c r="D368" i="8" s="1"/>
  <c r="D369" i="8" a="1"/>
  <c r="D369" i="8" s="1"/>
  <c r="D370" i="8" a="1"/>
  <c r="D370" i="8" s="1"/>
  <c r="D371" i="8" a="1"/>
  <c r="D371" i="8" s="1"/>
  <c r="D372" i="8" a="1"/>
  <c r="D372" i="8" s="1"/>
  <c r="D373" i="8" a="1"/>
  <c r="D373" i="8" s="1"/>
  <c r="D374" i="8" a="1"/>
  <c r="D374" i="8" s="1"/>
  <c r="D375" i="8" a="1"/>
  <c r="D375" i="8" s="1"/>
  <c r="D376" i="8" a="1"/>
  <c r="D376" i="8" s="1"/>
  <c r="D377" i="8" a="1"/>
  <c r="D377" i="8" s="1"/>
  <c r="D378" i="8" a="1"/>
  <c r="D378" i="8" s="1"/>
  <c r="D379" i="8" a="1"/>
  <c r="D379" i="8" s="1"/>
  <c r="D380" i="8" a="1"/>
  <c r="D380" i="8" s="1"/>
  <c r="D381" i="8" a="1"/>
  <c r="D381" i="8" s="1"/>
  <c r="D382" i="8" a="1"/>
  <c r="D382" i="8" s="1"/>
  <c r="D383" i="8" a="1"/>
  <c r="D383" i="8" s="1"/>
  <c r="D384" i="8" a="1"/>
  <c r="D384" i="8" s="1"/>
  <c r="D385" i="8" a="1"/>
  <c r="D385" i="8" s="1"/>
  <c r="D386" i="8" a="1"/>
  <c r="D386" i="8" s="1"/>
  <c r="D387" i="8" a="1"/>
  <c r="D387" i="8" s="1"/>
  <c r="D388" i="8" a="1"/>
  <c r="D388" i="8" s="1"/>
  <c r="D389" i="8" a="1"/>
  <c r="D389" i="8" s="1"/>
  <c r="D390" i="8" a="1"/>
  <c r="D390" i="8" s="1"/>
  <c r="D391" i="8" a="1"/>
  <c r="D391" i="8" s="1"/>
  <c r="D392" i="8" a="1"/>
  <c r="D392" i="8" s="1"/>
  <c r="D393" i="8" a="1"/>
  <c r="D393" i="8" s="1"/>
  <c r="D394" i="8" a="1"/>
  <c r="D394" i="8" s="1"/>
  <c r="D395" i="8" a="1"/>
  <c r="D395" i="8" s="1"/>
  <c r="D396" i="8" a="1"/>
  <c r="D396" i="8" s="1"/>
  <c r="D397" i="8" a="1"/>
  <c r="D397" i="8" s="1"/>
  <c r="D398" i="8" a="1"/>
  <c r="D398" i="8"/>
  <c r="D399" i="8" a="1"/>
  <c r="D399" i="8" s="1"/>
  <c r="D400" i="8" a="1"/>
  <c r="D400" i="8" s="1"/>
  <c r="D401" i="8" a="1"/>
  <c r="D401" i="8" s="1"/>
  <c r="D402" i="8" a="1"/>
  <c r="D402" i="8" s="1"/>
  <c r="D403" i="8" a="1"/>
  <c r="D403" i="8" s="1"/>
  <c r="D404" i="8" a="1"/>
  <c r="D404" i="8" s="1"/>
  <c r="D405" i="8" a="1"/>
  <c r="D405" i="8" s="1"/>
  <c r="D406" i="8" a="1"/>
  <c r="D406" i="8" s="1"/>
  <c r="D407" i="8" a="1"/>
  <c r="D407" i="8" s="1"/>
  <c r="D408" i="8" a="1"/>
  <c r="D408" i="8" s="1"/>
  <c r="D409" i="8" a="1"/>
  <c r="D409" i="8" s="1"/>
  <c r="D410" i="8" a="1"/>
  <c r="D410" i="8" s="1"/>
  <c r="D411" i="8" a="1"/>
  <c r="D411" i="8"/>
  <c r="D412" i="8" a="1"/>
  <c r="D412" i="8" s="1"/>
  <c r="D413" i="8" a="1"/>
  <c r="D413" i="8" s="1"/>
  <c r="D414" i="8" a="1"/>
  <c r="D414" i="8" s="1"/>
  <c r="D415" i="8" a="1"/>
  <c r="D415" i="8" s="1"/>
  <c r="D416" i="8" a="1"/>
  <c r="D416" i="8" s="1"/>
  <c r="D417" i="8" a="1"/>
  <c r="D417" i="8" s="1"/>
  <c r="D418" i="8" a="1"/>
  <c r="D418" i="8" s="1"/>
  <c r="D419" i="8" a="1"/>
  <c r="D419" i="8" s="1"/>
  <c r="D420" i="8" a="1"/>
  <c r="D420" i="8" s="1"/>
  <c r="D421" i="8" a="1"/>
  <c r="D421" i="8" s="1"/>
  <c r="D422" i="8" a="1"/>
  <c r="D422" i="8" s="1"/>
  <c r="D423" i="8" a="1"/>
  <c r="D423" i="8" s="1"/>
  <c r="D424" i="8" a="1"/>
  <c r="D424" i="8" s="1"/>
  <c r="D425" i="8" a="1"/>
  <c r="D425" i="8" s="1"/>
  <c r="D426" i="8" a="1"/>
  <c r="D426" i="8" s="1"/>
  <c r="D427" i="8" a="1"/>
  <c r="D427" i="8" s="1"/>
  <c r="D428" i="8" a="1"/>
  <c r="D428" i="8" s="1"/>
  <c r="D429" i="8" a="1"/>
  <c r="D429" i="8" s="1"/>
  <c r="D430" i="8" a="1"/>
  <c r="D430" i="8" s="1"/>
  <c r="D431" i="8" a="1"/>
  <c r="D431" i="8" s="1"/>
  <c r="D432" i="8" a="1"/>
  <c r="D432" i="8" s="1"/>
  <c r="D433" i="8" a="1"/>
  <c r="D433" i="8" s="1"/>
  <c r="D434" i="8" a="1"/>
  <c r="D434" i="8" s="1"/>
  <c r="D435" i="8" a="1"/>
  <c r="D435" i="8" s="1"/>
  <c r="D436" i="8" a="1"/>
  <c r="D436" i="8" s="1"/>
  <c r="D437" i="8" a="1"/>
  <c r="D437" i="8" s="1"/>
  <c r="D438" i="8" a="1"/>
  <c r="D438" i="8" s="1"/>
  <c r="D439" i="8" a="1"/>
  <c r="D439" i="8" s="1"/>
  <c r="D440" i="8" a="1"/>
  <c r="D440" i="8" s="1"/>
  <c r="D441" i="8" a="1"/>
  <c r="D441" i="8" s="1"/>
  <c r="D442" i="8" a="1"/>
  <c r="D442" i="8" s="1"/>
  <c r="D443" i="8" a="1"/>
  <c r="D443" i="8" s="1"/>
  <c r="D444" i="8" a="1"/>
  <c r="D444" i="8"/>
  <c r="D445" i="8" a="1"/>
  <c r="D445" i="8" s="1"/>
  <c r="D446" i="8" a="1"/>
  <c r="D446" i="8" s="1"/>
  <c r="D447" i="8" a="1"/>
  <c r="D447" i="8" s="1"/>
  <c r="D448" i="8" a="1"/>
  <c r="D448" i="8" s="1"/>
  <c r="D449" i="8" a="1"/>
  <c r="D449" i="8" s="1"/>
  <c r="D450" i="8" a="1"/>
  <c r="D450" i="8" s="1"/>
  <c r="D451" i="8" a="1"/>
  <c r="D451" i="8" s="1"/>
  <c r="D452" i="8" a="1"/>
  <c r="D452" i="8" s="1"/>
  <c r="D453" i="8" a="1"/>
  <c r="D453" i="8" s="1"/>
  <c r="D454" i="8" a="1"/>
  <c r="D454" i="8" s="1"/>
  <c r="D455" i="8" a="1"/>
  <c r="D455" i="8" s="1"/>
  <c r="D456" i="8" a="1"/>
  <c r="D456" i="8" s="1"/>
  <c r="D457" i="8" a="1"/>
  <c r="D457" i="8" s="1"/>
  <c r="D458" i="8" a="1"/>
  <c r="D458" i="8" s="1"/>
  <c r="D459" i="8" a="1"/>
  <c r="D459" i="8" s="1"/>
  <c r="D460" i="8" a="1"/>
  <c r="D460" i="8" s="1"/>
  <c r="D461" i="8" a="1"/>
  <c r="D461" i="8" s="1"/>
  <c r="D462" i="8" a="1"/>
  <c r="D462" i="8" s="1"/>
  <c r="D463" i="8" a="1"/>
  <c r="D463" i="8" s="1"/>
  <c r="D464" i="8" a="1"/>
  <c r="D464" i="8" s="1"/>
  <c r="D465" i="8" a="1"/>
  <c r="D465" i="8" s="1"/>
  <c r="D466" i="8" a="1"/>
  <c r="D466" i="8" s="1"/>
  <c r="D467" i="8" a="1"/>
  <c r="D467" i="8" s="1"/>
  <c r="D468" i="8" a="1"/>
  <c r="D468" i="8" s="1"/>
  <c r="D469" i="8" a="1"/>
  <c r="D469" i="8" s="1"/>
  <c r="D470" i="8" a="1"/>
  <c r="D470" i="8" s="1"/>
  <c r="D471" i="8" a="1"/>
  <c r="D471" i="8" s="1"/>
  <c r="D472" i="8" a="1"/>
  <c r="D472" i="8" s="1"/>
  <c r="D473" i="8" a="1"/>
  <c r="D473" i="8" s="1"/>
  <c r="D474" i="8" a="1"/>
  <c r="D474" i="8" s="1"/>
  <c r="D475" i="8" a="1"/>
  <c r="D475" i="8" s="1"/>
  <c r="D476" i="8" a="1"/>
  <c r="D476" i="8" s="1"/>
  <c r="D477" i="8" a="1"/>
  <c r="D477" i="8" s="1"/>
  <c r="D478" i="8" a="1"/>
  <c r="D478" i="8" s="1"/>
  <c r="D479" i="8" a="1"/>
  <c r="D479" i="8" s="1"/>
  <c r="D480" i="8" a="1"/>
  <c r="D480" i="8" s="1"/>
  <c r="D481" i="8" a="1"/>
  <c r="D481" i="8" s="1"/>
  <c r="D482" i="8" a="1"/>
  <c r="D482" i="8" s="1"/>
  <c r="D483" i="8" a="1"/>
  <c r="D483" i="8" s="1"/>
  <c r="D484" i="8" a="1"/>
  <c r="D484" i="8" s="1"/>
  <c r="D485" i="8" a="1"/>
  <c r="D485" i="8" s="1"/>
  <c r="D486" i="8" a="1"/>
  <c r="D486" i="8" s="1"/>
  <c r="D487" i="8" a="1"/>
  <c r="D487" i="8" s="1"/>
  <c r="D488" i="8" a="1"/>
  <c r="D488" i="8" s="1"/>
  <c r="D489" i="8" a="1"/>
  <c r="D489" i="8" s="1"/>
  <c r="D490" i="8" a="1"/>
  <c r="D490" i="8" s="1"/>
  <c r="D491" i="8" a="1"/>
  <c r="D491" i="8" s="1"/>
  <c r="D492" i="8" a="1"/>
  <c r="D492" i="8" s="1"/>
  <c r="D493" i="8" a="1"/>
  <c r="D493" i="8" s="1"/>
  <c r="D494" i="8" a="1"/>
  <c r="D494" i="8" s="1"/>
  <c r="D495" i="8" a="1"/>
  <c r="D495" i="8" s="1"/>
  <c r="D496" i="8" a="1"/>
  <c r="D496" i="8" s="1"/>
  <c r="D497" i="8" a="1"/>
  <c r="D497" i="8" s="1"/>
  <c r="D498" i="8" a="1"/>
  <c r="D498" i="8" s="1"/>
  <c r="D499" i="8" a="1"/>
  <c r="D499" i="8" s="1"/>
  <c r="D500" i="8" a="1"/>
  <c r="D500" i="8" s="1"/>
  <c r="D501" i="8" a="1"/>
  <c r="D501" i="8" s="1"/>
  <c r="D502" i="8" a="1"/>
  <c r="D502" i="8" s="1"/>
  <c r="D503" i="8" a="1"/>
  <c r="D503" i="8" s="1"/>
  <c r="D504" i="8" a="1"/>
  <c r="D504" i="8" s="1"/>
  <c r="D505" i="8" a="1"/>
  <c r="D505" i="8" s="1"/>
  <c r="D506" i="8" a="1"/>
  <c r="D506" i="8" s="1"/>
  <c r="D507" i="8" a="1"/>
  <c r="D507" i="8" s="1"/>
  <c r="D508" i="8" a="1"/>
  <c r="D508" i="8" s="1"/>
  <c r="D509" i="8" a="1"/>
  <c r="D509" i="8" s="1"/>
  <c r="D510" i="8" a="1"/>
  <c r="D510" i="8" s="1"/>
  <c r="D511" i="8" a="1"/>
  <c r="D511" i="8" s="1"/>
  <c r="D512" i="8" a="1"/>
  <c r="D512" i="8" s="1"/>
  <c r="D513" i="8" a="1"/>
  <c r="D513" i="8" s="1"/>
  <c r="D514" i="8" a="1"/>
  <c r="D514" i="8" s="1"/>
  <c r="D515" i="8" a="1"/>
  <c r="D515" i="8" s="1"/>
  <c r="D516" i="8" a="1"/>
  <c r="D516" i="8" s="1"/>
  <c r="D517" i="8" a="1"/>
  <c r="D517" i="8" s="1"/>
  <c r="D518" i="8" a="1"/>
  <c r="D518" i="8" s="1"/>
  <c r="D519" i="8" a="1"/>
  <c r="D519" i="8" s="1"/>
  <c r="D520" i="8" a="1"/>
  <c r="D520" i="8" s="1"/>
  <c r="D521" i="8" a="1"/>
  <c r="D521" i="8" s="1"/>
  <c r="D522" i="8" a="1"/>
  <c r="D522" i="8" s="1"/>
  <c r="D523" i="8" a="1"/>
  <c r="D523" i="8" s="1"/>
  <c r="D524" i="8" a="1"/>
  <c r="D524" i="8" s="1"/>
  <c r="D525" i="8" a="1"/>
  <c r="D525" i="8" s="1"/>
  <c r="D526" i="8" a="1"/>
  <c r="D526" i="8" s="1"/>
  <c r="D527" i="8" a="1"/>
  <c r="D527" i="8" s="1"/>
  <c r="D528" i="8" a="1"/>
  <c r="D528" i="8" s="1"/>
  <c r="D529" i="8" a="1"/>
  <c r="D529" i="8" s="1"/>
  <c r="D530" i="8" a="1"/>
  <c r="D530" i="8" s="1"/>
  <c r="D531" i="8" a="1"/>
  <c r="D531" i="8" s="1"/>
  <c r="D532" i="8" a="1"/>
  <c r="D532" i="8" s="1"/>
  <c r="D533" i="8" a="1"/>
  <c r="D533" i="8" s="1"/>
  <c r="D534" i="8" a="1"/>
  <c r="D534" i="8" s="1"/>
  <c r="D535" i="8" a="1"/>
  <c r="D535" i="8" s="1"/>
  <c r="D536" i="8" a="1"/>
  <c r="D536" i="8" s="1"/>
  <c r="D537" i="8" a="1"/>
  <c r="D537" i="8" s="1"/>
  <c r="D538" i="8" a="1"/>
  <c r="D538" i="8" s="1"/>
  <c r="D539" i="8" a="1"/>
  <c r="D539" i="8" s="1"/>
  <c r="D540" i="8" a="1"/>
  <c r="D540" i="8" s="1"/>
  <c r="D541" i="8" a="1"/>
  <c r="D541" i="8" s="1"/>
  <c r="D542" i="8" a="1"/>
  <c r="D542" i="8" s="1"/>
  <c r="D543" i="8" a="1"/>
  <c r="D543" i="8" s="1"/>
  <c r="D544" i="8" a="1"/>
  <c r="D544" i="8" s="1"/>
  <c r="D545" i="8" a="1"/>
  <c r="D545" i="8" s="1"/>
  <c r="D546" i="8" a="1"/>
  <c r="D546" i="8" s="1"/>
  <c r="D547" i="8" a="1"/>
  <c r="D547" i="8" s="1"/>
  <c r="D548" i="8" a="1"/>
  <c r="D548" i="8" s="1"/>
  <c r="D549" i="8" a="1"/>
  <c r="D549" i="8" s="1"/>
  <c r="D550" i="8" a="1"/>
  <c r="D550" i="8" s="1"/>
  <c r="D551" i="8" a="1"/>
  <c r="D551" i="8" s="1"/>
  <c r="D552" i="8" a="1"/>
  <c r="D552" i="8" s="1"/>
  <c r="D553" i="8" a="1"/>
  <c r="D553" i="8" s="1"/>
  <c r="D554" i="8" a="1"/>
  <c r="D554" i="8" s="1"/>
  <c r="D555" i="8" a="1"/>
  <c r="D555" i="8" s="1"/>
  <c r="D556" i="8" a="1"/>
  <c r="D556" i="8" s="1"/>
  <c r="D557" i="8" a="1"/>
  <c r="D557" i="8" s="1"/>
  <c r="D558" i="8" a="1"/>
  <c r="D558" i="8" s="1"/>
  <c r="D559" i="8" a="1"/>
  <c r="D559" i="8" s="1"/>
  <c r="D560" i="8" a="1"/>
  <c r="D560" i="8" s="1"/>
  <c r="D561" i="8" a="1"/>
  <c r="D561" i="8" s="1"/>
  <c r="D562" i="8" a="1"/>
  <c r="D562" i="8" s="1"/>
  <c r="D563" i="8" a="1"/>
  <c r="D563" i="8" s="1"/>
  <c r="D564" i="8" a="1"/>
  <c r="D564" i="8" s="1"/>
  <c r="D565" i="8" a="1"/>
  <c r="D565" i="8" s="1"/>
  <c r="D566" i="8" a="1"/>
  <c r="D566" i="8" s="1"/>
  <c r="D567" i="8" a="1"/>
  <c r="D567" i="8" s="1"/>
  <c r="D568" i="8" a="1"/>
  <c r="D568" i="8" s="1"/>
  <c r="D569" i="8" a="1"/>
  <c r="D569" i="8" s="1"/>
  <c r="D570" i="8" a="1"/>
  <c r="D570" i="8" s="1"/>
  <c r="D571" i="8" a="1"/>
  <c r="D571" i="8" s="1"/>
  <c r="D572" i="8" a="1"/>
  <c r="D572" i="8"/>
  <c r="D573" i="8" a="1"/>
  <c r="D573" i="8" s="1"/>
  <c r="D574" i="8" a="1"/>
  <c r="D574" i="8" s="1"/>
  <c r="D575" i="8" a="1"/>
  <c r="D575" i="8" s="1"/>
  <c r="D576" i="8" a="1"/>
  <c r="D576" i="8" s="1"/>
  <c r="D577" i="8" a="1"/>
  <c r="D577" i="8" s="1"/>
  <c r="D578" i="8" a="1"/>
  <c r="D578" i="8" s="1"/>
  <c r="D579" i="8" a="1"/>
  <c r="D579" i="8" s="1"/>
  <c r="D580" i="8" a="1"/>
  <c r="D580" i="8" s="1"/>
  <c r="D581" i="8" a="1"/>
  <c r="D581" i="8" s="1"/>
  <c r="D582" i="8" a="1"/>
  <c r="D582" i="8"/>
  <c r="D583" i="8" a="1"/>
  <c r="D583" i="8" s="1"/>
  <c r="D584" i="8" a="1"/>
  <c r="D584" i="8" s="1"/>
  <c r="D585" i="8" a="1"/>
  <c r="D585" i="8" s="1"/>
  <c r="D586" i="8" a="1"/>
  <c r="D586" i="8" s="1"/>
  <c r="D587" i="8" a="1"/>
  <c r="D587" i="8" s="1"/>
  <c r="D588" i="8" a="1"/>
  <c r="D588" i="8" s="1"/>
  <c r="D589" i="8" a="1"/>
  <c r="D589" i="8" s="1"/>
  <c r="D590" i="8" a="1"/>
  <c r="D590" i="8" s="1"/>
  <c r="D591" i="8" a="1"/>
  <c r="D591" i="8" s="1"/>
  <c r="D592" i="8" a="1"/>
  <c r="D592" i="8" s="1"/>
  <c r="D593" i="8" a="1"/>
  <c r="D593" i="8" s="1"/>
  <c r="D594" i="8" a="1"/>
  <c r="D594" i="8" s="1"/>
  <c r="D595" i="8" a="1"/>
  <c r="D595" i="8" s="1"/>
  <c r="D596" i="8" a="1"/>
  <c r="D596" i="8" s="1"/>
  <c r="D597" i="8" a="1"/>
  <c r="D597" i="8" s="1"/>
  <c r="D598" i="8" a="1"/>
  <c r="D598" i="8" s="1"/>
  <c r="D599" i="8" a="1"/>
  <c r="D599" i="8" s="1"/>
  <c r="D600" i="8" a="1"/>
  <c r="D600" i="8" s="1"/>
  <c r="D601" i="8" a="1"/>
  <c r="D601" i="8" s="1"/>
  <c r="D602" i="8" a="1"/>
  <c r="D602" i="8" s="1"/>
  <c r="D603" i="8" a="1"/>
  <c r="D603" i="8" s="1"/>
  <c r="D604" i="8" a="1"/>
  <c r="D604" i="8" s="1"/>
  <c r="D605" i="8" a="1"/>
  <c r="D605" i="8" s="1"/>
  <c r="D606" i="8" a="1"/>
  <c r="D606" i="8" s="1"/>
  <c r="D607" i="8" a="1"/>
  <c r="D607" i="8" s="1"/>
  <c r="D608" i="8" a="1"/>
  <c r="D608" i="8" s="1"/>
  <c r="D609" i="8" a="1"/>
  <c r="D609" i="8" s="1"/>
  <c r="D610" i="8" a="1"/>
  <c r="D610" i="8" s="1"/>
  <c r="D611" i="8" a="1"/>
  <c r="D611" i="8" s="1"/>
  <c r="D612" i="8" a="1"/>
  <c r="D612" i="8" s="1"/>
  <c r="D613" i="8" a="1"/>
  <c r="D613" i="8" s="1"/>
  <c r="D614" i="8" a="1"/>
  <c r="D614" i="8" s="1"/>
  <c r="D615" i="8" a="1"/>
  <c r="D615" i="8"/>
  <c r="D616" i="8" a="1"/>
  <c r="D616" i="8" s="1"/>
  <c r="D617" i="8" a="1"/>
  <c r="D617" i="8" s="1"/>
  <c r="D618" i="8" a="1"/>
  <c r="D618" i="8" s="1"/>
  <c r="D619" i="8" a="1"/>
  <c r="D619" i="8" s="1"/>
  <c r="D620" i="8" a="1"/>
  <c r="D620" i="8" s="1"/>
  <c r="D621" i="8" a="1"/>
  <c r="D621" i="8" s="1"/>
  <c r="D622" i="8" a="1"/>
  <c r="D622" i="8" s="1"/>
  <c r="D623" i="8" a="1"/>
  <c r="D623" i="8" s="1"/>
  <c r="D624" i="8" a="1"/>
  <c r="D624" i="8" s="1"/>
  <c r="D625" i="8" a="1"/>
  <c r="D625" i="8" s="1"/>
  <c r="D626" i="8" a="1"/>
  <c r="D626" i="8" s="1"/>
  <c r="D627" i="8" a="1"/>
  <c r="D627" i="8" s="1"/>
  <c r="D628" i="8" a="1"/>
  <c r="D628" i="8" s="1"/>
  <c r="D629" i="8" a="1"/>
  <c r="D629" i="8" s="1"/>
  <c r="D630" i="8" a="1"/>
  <c r="D630" i="8" s="1"/>
  <c r="D631" i="8" a="1"/>
  <c r="D631" i="8" s="1"/>
  <c r="D632" i="8" a="1"/>
  <c r="D632" i="8"/>
  <c r="D633" i="8" a="1"/>
  <c r="D633" i="8" s="1"/>
  <c r="D634" i="8" a="1"/>
  <c r="D634" i="8" s="1"/>
  <c r="D635" i="8" a="1"/>
  <c r="D635" i="8" s="1"/>
  <c r="D636" i="8" a="1"/>
  <c r="D636" i="8" s="1"/>
  <c r="D637" i="8" a="1"/>
  <c r="D637" i="8" s="1"/>
  <c r="D638" i="8" a="1"/>
  <c r="D638" i="8" s="1"/>
  <c r="D639" i="8" a="1"/>
  <c r="D639" i="8" s="1"/>
  <c r="D640" i="8" a="1"/>
  <c r="D640" i="8" s="1"/>
  <c r="D641" i="8" a="1"/>
  <c r="D641" i="8" s="1"/>
  <c r="D642" i="8" a="1"/>
  <c r="D642" i="8" s="1"/>
  <c r="D643" i="8" a="1"/>
  <c r="D643" i="8" s="1"/>
  <c r="D644" i="8" a="1"/>
  <c r="D644" i="8" s="1"/>
  <c r="D645" i="8" a="1"/>
  <c r="D645" i="8" s="1"/>
  <c r="D646" i="8" a="1"/>
  <c r="D646" i="8" s="1"/>
  <c r="D647" i="8" a="1"/>
  <c r="D647" i="8" s="1"/>
  <c r="D648" i="8" a="1"/>
  <c r="D648" i="8" s="1"/>
  <c r="D649" i="8" a="1"/>
  <c r="D649" i="8" s="1"/>
  <c r="D650" i="8" a="1"/>
  <c r="D650" i="8" s="1"/>
  <c r="D651" i="8" a="1"/>
  <c r="D651" i="8" s="1"/>
  <c r="D652" i="8" a="1"/>
  <c r="D652" i="8" s="1"/>
  <c r="D653" i="8" a="1"/>
  <c r="D653" i="8" s="1"/>
  <c r="D654" i="8" a="1"/>
  <c r="D654" i="8" s="1"/>
  <c r="D655" i="8" a="1"/>
  <c r="D655" i="8" s="1"/>
  <c r="D656" i="8" a="1"/>
  <c r="D656" i="8" s="1"/>
  <c r="D657" i="8" a="1"/>
  <c r="D657" i="8" s="1"/>
  <c r="D658" i="8" a="1"/>
  <c r="D658" i="8" s="1"/>
  <c r="D659" i="8" a="1"/>
  <c r="D659" i="8" s="1"/>
  <c r="D660" i="8" a="1"/>
  <c r="D660" i="8" s="1"/>
  <c r="D661" i="8" a="1"/>
  <c r="D661" i="8" s="1"/>
  <c r="D662" i="8" a="1"/>
  <c r="D662" i="8" s="1"/>
  <c r="D663" i="8" a="1"/>
  <c r="D663" i="8" s="1"/>
  <c r="D664" i="8" a="1"/>
  <c r="D664" i="8" s="1"/>
  <c r="D665" i="8" a="1"/>
  <c r="D665" i="8" s="1"/>
  <c r="D666" i="8" a="1"/>
  <c r="D666" i="8" s="1"/>
  <c r="D667" i="8" a="1"/>
  <c r="D667" i="8" s="1"/>
  <c r="D668" i="8" a="1"/>
  <c r="D668" i="8" s="1"/>
  <c r="D669" i="8" a="1"/>
  <c r="D669" i="8" s="1"/>
  <c r="D670" i="8" a="1"/>
  <c r="D670" i="8" s="1"/>
  <c r="D671" i="8" a="1"/>
  <c r="D671" i="8" s="1"/>
  <c r="D672" i="8" a="1"/>
  <c r="D672" i="8" s="1"/>
  <c r="D673" i="8" a="1"/>
  <c r="D673" i="8" s="1"/>
  <c r="D674" i="8" a="1"/>
  <c r="D674" i="8" s="1"/>
  <c r="D675" i="8" a="1"/>
  <c r="D675" i="8" s="1"/>
  <c r="D676" i="8" a="1"/>
  <c r="D676" i="8" s="1"/>
  <c r="D677" i="8" a="1"/>
  <c r="D677" i="8" s="1"/>
  <c r="D678" i="8" a="1"/>
  <c r="D678" i="8" s="1"/>
  <c r="D679" i="8" a="1"/>
  <c r="D679" i="8" s="1"/>
  <c r="D680" i="8" a="1"/>
  <c r="D680" i="8" s="1"/>
  <c r="D681" i="8" a="1"/>
  <c r="D681" i="8" s="1"/>
  <c r="D682" i="8" a="1"/>
  <c r="D682" i="8" s="1"/>
  <c r="D683" i="8" a="1"/>
  <c r="D683" i="8" s="1"/>
  <c r="D684" i="8" a="1"/>
  <c r="D684" i="8" s="1"/>
  <c r="D685" i="8" a="1"/>
  <c r="D685" i="8" s="1"/>
  <c r="D686" i="8" a="1"/>
  <c r="D686" i="8" s="1"/>
  <c r="D687" i="8" a="1"/>
  <c r="D687" i="8" s="1"/>
  <c r="D688" i="8" a="1"/>
  <c r="D688" i="8" s="1"/>
  <c r="D689" i="8" a="1"/>
  <c r="D689" i="8" s="1"/>
  <c r="D690" i="8" a="1"/>
  <c r="D690" i="8" s="1"/>
  <c r="D691" i="8" a="1"/>
  <c r="D691" i="8" s="1"/>
  <c r="D692" i="8" a="1"/>
  <c r="D692" i="8" s="1"/>
  <c r="D693" i="8" a="1"/>
  <c r="D693" i="8" s="1"/>
  <c r="D694" i="8" a="1"/>
  <c r="D694" i="8" s="1"/>
  <c r="D695" i="8" a="1"/>
  <c r="D695" i="8" s="1"/>
  <c r="D696" i="8" a="1"/>
  <c r="D696" i="8" s="1"/>
  <c r="D697" i="8" a="1"/>
  <c r="D697" i="8" s="1"/>
  <c r="D698" i="8" a="1"/>
  <c r="D698" i="8" s="1"/>
  <c r="D699" i="8" a="1"/>
  <c r="D699" i="8" s="1"/>
  <c r="D700" i="8" a="1"/>
  <c r="D700" i="8" s="1"/>
  <c r="D701" i="8" a="1"/>
  <c r="D701" i="8" s="1"/>
  <c r="D702" i="8" a="1"/>
  <c r="D702" i="8" s="1"/>
  <c r="D703" i="8" a="1"/>
  <c r="D703" i="8" s="1"/>
  <c r="D704" i="8" a="1"/>
  <c r="D704" i="8" s="1"/>
  <c r="D705" i="8" a="1"/>
  <c r="D705" i="8" s="1"/>
  <c r="D706" i="8" a="1"/>
  <c r="D706" i="8" s="1"/>
  <c r="D707" i="8" a="1"/>
  <c r="D707" i="8" s="1"/>
  <c r="D708" i="8" a="1"/>
  <c r="D708" i="8" s="1"/>
  <c r="D709" i="8" a="1"/>
  <c r="D709" i="8" s="1"/>
  <c r="D710" i="8" a="1"/>
  <c r="D710" i="8" s="1"/>
  <c r="D711" i="8" a="1"/>
  <c r="D711" i="8" s="1"/>
  <c r="D712" i="8" a="1"/>
  <c r="D712" i="8" s="1"/>
  <c r="D713" i="8" a="1"/>
  <c r="D713" i="8" s="1"/>
  <c r="D714" i="8" a="1"/>
  <c r="D714" i="8" s="1"/>
  <c r="D715" i="8" a="1"/>
  <c r="D715" i="8" s="1"/>
  <c r="D716" i="8" a="1"/>
  <c r="D716" i="8" s="1"/>
  <c r="D717" i="8" a="1"/>
  <c r="D717" i="8" s="1"/>
  <c r="D718" i="8" a="1"/>
  <c r="D718" i="8" s="1"/>
  <c r="D719" i="8" a="1"/>
  <c r="D719" i="8" s="1"/>
  <c r="D720" i="8" a="1"/>
  <c r="D720" i="8" s="1"/>
  <c r="D721" i="8" a="1"/>
  <c r="D721" i="8" s="1"/>
  <c r="D722" i="8" a="1"/>
  <c r="D722" i="8" s="1"/>
  <c r="D723" i="8" a="1"/>
  <c r="D723" i="8" s="1"/>
  <c r="D724" i="8" a="1"/>
  <c r="D724" i="8" s="1"/>
  <c r="D725" i="8" a="1"/>
  <c r="D725" i="8" s="1"/>
  <c r="D726" i="8" a="1"/>
  <c r="D726" i="8" s="1"/>
  <c r="D727" i="8" a="1"/>
  <c r="D727" i="8" s="1"/>
  <c r="D728" i="8" a="1"/>
  <c r="D728" i="8" s="1"/>
  <c r="D729" i="8" a="1"/>
  <c r="D729" i="8" s="1"/>
  <c r="D730" i="8" a="1"/>
  <c r="D730" i="8" s="1"/>
  <c r="D731" i="8" a="1"/>
  <c r="D731" i="8" s="1"/>
  <c r="D732" i="8" a="1"/>
  <c r="D732" i="8" s="1"/>
  <c r="D733" i="8" a="1"/>
  <c r="D733" i="8" s="1"/>
  <c r="D734" i="8" a="1"/>
  <c r="D734" i="8" s="1"/>
  <c r="D735" i="8" a="1"/>
  <c r="D735" i="8" s="1"/>
  <c r="D736" i="8" a="1"/>
  <c r="D736" i="8" s="1"/>
  <c r="D737" i="8" a="1"/>
  <c r="D737" i="8" s="1"/>
  <c r="D738" i="8" a="1"/>
  <c r="D738" i="8" s="1"/>
  <c r="D739" i="8" a="1"/>
  <c r="D739" i="8" s="1"/>
  <c r="D740" i="8" a="1"/>
  <c r="D740" i="8" s="1"/>
  <c r="D741" i="8" a="1"/>
  <c r="D741" i="8" s="1"/>
  <c r="D742" i="8" a="1"/>
  <c r="D742" i="8" s="1"/>
  <c r="D743" i="8" a="1"/>
  <c r="D743" i="8" s="1"/>
  <c r="D744" i="8" a="1"/>
  <c r="D744" i="8" s="1"/>
  <c r="D745" i="8" a="1"/>
  <c r="D745" i="8" s="1"/>
  <c r="D746" i="8" a="1"/>
  <c r="D746" i="8" s="1"/>
  <c r="D747" i="8" a="1"/>
  <c r="D747" i="8" s="1"/>
  <c r="D748" i="8" a="1"/>
  <c r="D748" i="8" s="1"/>
  <c r="D749" i="8" a="1"/>
  <c r="D749" i="8" s="1"/>
  <c r="D750" i="8" a="1"/>
  <c r="D750" i="8" s="1"/>
  <c r="D751" i="8" a="1"/>
  <c r="D751" i="8" s="1"/>
  <c r="D752" i="8" a="1"/>
  <c r="D752" i="8" s="1"/>
  <c r="D753" i="8" a="1"/>
  <c r="D753" i="8" s="1"/>
  <c r="D754" i="8" a="1"/>
  <c r="D754" i="8" s="1"/>
  <c r="D755" i="8" a="1"/>
  <c r="D755" i="8" s="1"/>
  <c r="D756" i="8" a="1"/>
  <c r="D756" i="8" s="1"/>
  <c r="D757" i="8" a="1"/>
  <c r="D757" i="8" s="1"/>
  <c r="D758" i="8" a="1"/>
  <c r="D758" i="8" s="1"/>
  <c r="D759" i="8" a="1"/>
  <c r="D759" i="8" s="1"/>
  <c r="D760" i="8" a="1"/>
  <c r="D760" i="8" s="1"/>
  <c r="D761" i="8" a="1"/>
  <c r="D761" i="8" s="1"/>
  <c r="D762" i="8" a="1"/>
  <c r="D762" i="8" s="1"/>
  <c r="D763" i="8" a="1"/>
  <c r="D763" i="8" s="1"/>
  <c r="D764" i="8" a="1"/>
  <c r="D764" i="8" s="1"/>
  <c r="D765" i="8" a="1"/>
  <c r="D765" i="8" s="1"/>
  <c r="D766" i="8" a="1"/>
  <c r="D766" i="8" s="1"/>
  <c r="D767" i="8" a="1"/>
  <c r="D767" i="8" s="1"/>
  <c r="D768" i="8" a="1"/>
  <c r="D768" i="8" s="1"/>
  <c r="D769" i="8" a="1"/>
  <c r="D769" i="8" s="1"/>
  <c r="D770" i="8" a="1"/>
  <c r="D770" i="8" s="1"/>
  <c r="D771" i="8" a="1"/>
  <c r="D771" i="8" s="1"/>
  <c r="D772" i="8" a="1"/>
  <c r="D772" i="8" s="1"/>
  <c r="D773" i="8" a="1"/>
  <c r="D773" i="8" s="1"/>
  <c r="D774" i="8" a="1"/>
  <c r="D774" i="8" s="1"/>
  <c r="D775" i="8" a="1"/>
  <c r="D775" i="8" s="1"/>
  <c r="D776" i="8" a="1"/>
  <c r="D776" i="8" s="1"/>
  <c r="D777" i="8" a="1"/>
  <c r="D777" i="8" s="1"/>
  <c r="D778" i="8" a="1"/>
  <c r="D778" i="8" s="1"/>
  <c r="D779" i="8" a="1"/>
  <c r="D779" i="8" s="1"/>
  <c r="D780" i="8" a="1"/>
  <c r="D780" i="8" s="1"/>
  <c r="D781" i="8" a="1"/>
  <c r="D781" i="8" s="1"/>
  <c r="D782" i="8" a="1"/>
  <c r="D782" i="8" s="1"/>
  <c r="D783" i="8" a="1"/>
  <c r="D783" i="8" s="1"/>
  <c r="D784" i="8" a="1"/>
  <c r="D784" i="8" s="1"/>
  <c r="D785" i="8" a="1"/>
  <c r="D785" i="8" s="1"/>
  <c r="D786" i="8" a="1"/>
  <c r="D786" i="8" s="1"/>
  <c r="D787" i="8" a="1"/>
  <c r="D787" i="8" s="1"/>
  <c r="D788" i="8" a="1"/>
  <c r="D788" i="8" s="1"/>
  <c r="D789" i="8" a="1"/>
  <c r="D789" i="8" s="1"/>
  <c r="D790" i="8" a="1"/>
  <c r="D790" i="8" s="1"/>
  <c r="D791" i="8" a="1"/>
  <c r="D791" i="8" s="1"/>
  <c r="D792" i="8" a="1"/>
  <c r="D792" i="8" s="1"/>
  <c r="D793" i="8" a="1"/>
  <c r="D793" i="8" s="1"/>
  <c r="D794" i="8" a="1"/>
  <c r="D794" i="8" s="1"/>
  <c r="D795" i="8" a="1"/>
  <c r="D795" i="8" s="1"/>
  <c r="D796" i="8" a="1"/>
  <c r="D796" i="8" s="1"/>
  <c r="D797" i="8" a="1"/>
  <c r="D797" i="8" s="1"/>
  <c r="D798" i="8" a="1"/>
  <c r="D798" i="8" s="1"/>
  <c r="D799" i="8" a="1"/>
  <c r="D799" i="8" s="1"/>
  <c r="D800" i="8" a="1"/>
  <c r="D800" i="8" s="1"/>
  <c r="D801" i="8" a="1"/>
  <c r="D801" i="8" s="1"/>
  <c r="D802" i="8" a="1"/>
  <c r="D802" i="8" s="1"/>
  <c r="D803" i="8" a="1"/>
  <c r="D803" i="8" s="1"/>
  <c r="D804" i="8" a="1"/>
  <c r="D804" i="8" s="1"/>
  <c r="D805" i="8" a="1"/>
  <c r="D805" i="8" s="1"/>
  <c r="D806" i="8" a="1"/>
  <c r="D806" i="8" s="1"/>
  <c r="D807" i="8" a="1"/>
  <c r="D807" i="8" s="1"/>
  <c r="D808" i="8" a="1"/>
  <c r="D808" i="8" s="1"/>
  <c r="D809" i="8" a="1"/>
  <c r="D809" i="8" s="1"/>
  <c r="D810" i="8" a="1"/>
  <c r="D810" i="8" s="1"/>
  <c r="D811" i="8" a="1"/>
  <c r="D811" i="8" s="1"/>
  <c r="D812" i="8" a="1"/>
  <c r="D812" i="8" s="1"/>
  <c r="D813" i="8" a="1"/>
  <c r="D813" i="8" s="1"/>
  <c r="D814" i="8" a="1"/>
  <c r="D814" i="8" s="1"/>
  <c r="D815" i="8" a="1"/>
  <c r="D815" i="8" s="1"/>
  <c r="D816" i="8" a="1"/>
  <c r="D816" i="8" s="1"/>
  <c r="D817" i="8" a="1"/>
  <c r="D817" i="8" s="1"/>
  <c r="D818" i="8" a="1"/>
  <c r="D818" i="8" s="1"/>
  <c r="D819" i="8" a="1"/>
  <c r="D819" i="8" s="1"/>
  <c r="D820" i="8" a="1"/>
  <c r="D820" i="8" s="1"/>
  <c r="D821" i="8" a="1"/>
  <c r="D821" i="8" s="1"/>
  <c r="D822" i="8" a="1"/>
  <c r="D822" i="8" s="1"/>
  <c r="D823" i="8" a="1"/>
  <c r="D823" i="8" s="1"/>
  <c r="D824" i="8" a="1"/>
  <c r="D824" i="8" s="1"/>
  <c r="D825" i="8" a="1"/>
  <c r="D825" i="8" s="1"/>
  <c r="D826" i="8" a="1"/>
  <c r="D826" i="8" s="1"/>
  <c r="D827" i="8" a="1"/>
  <c r="D827" i="8" s="1"/>
  <c r="D828" i="8" a="1"/>
  <c r="D828" i="8" s="1"/>
  <c r="D829" i="8" a="1"/>
  <c r="D829" i="8" s="1"/>
  <c r="D830" i="8" a="1"/>
  <c r="D830" i="8" s="1"/>
  <c r="D831" i="8" a="1"/>
  <c r="D831" i="8" s="1"/>
  <c r="D832" i="8" a="1"/>
  <c r="D832" i="8" s="1"/>
  <c r="D833" i="8" a="1"/>
  <c r="D833" i="8" s="1"/>
  <c r="D834" i="8" a="1"/>
  <c r="D834" i="8" s="1"/>
  <c r="D835" i="8" a="1"/>
  <c r="D835" i="8" s="1"/>
  <c r="D836" i="8" a="1"/>
  <c r="D836" i="8" s="1"/>
  <c r="D837" i="8" a="1"/>
  <c r="D837" i="8" s="1"/>
  <c r="D838" i="8" a="1"/>
  <c r="D838" i="8" s="1"/>
  <c r="D839" i="8" a="1"/>
  <c r="D839" i="8" s="1"/>
  <c r="D840" i="8" a="1"/>
  <c r="D840" i="8" s="1"/>
  <c r="D841" i="8" a="1"/>
  <c r="D841" i="8" s="1"/>
  <c r="D842" i="8" a="1"/>
  <c r="D842" i="8" s="1"/>
  <c r="D843" i="8" a="1"/>
  <c r="D843" i="8" s="1"/>
  <c r="D844" i="8" a="1"/>
  <c r="D844" i="8" s="1"/>
  <c r="D845" i="8" a="1"/>
  <c r="D845" i="8" s="1"/>
  <c r="D846" i="8" a="1"/>
  <c r="D846" i="8" s="1"/>
  <c r="D847" i="8" a="1"/>
  <c r="D847" i="8" s="1"/>
  <c r="D848" i="8" a="1"/>
  <c r="D848" i="8" s="1"/>
  <c r="D849" i="8" a="1"/>
  <c r="D849" i="8" s="1"/>
  <c r="D850" i="8" a="1"/>
  <c r="D850" i="8" s="1"/>
  <c r="D851" i="8" a="1"/>
  <c r="D851" i="8" s="1"/>
  <c r="D852" i="8" a="1"/>
  <c r="D852" i="8" s="1"/>
  <c r="D853" i="8" a="1"/>
  <c r="D853" i="8" s="1"/>
  <c r="D854" i="8" a="1"/>
  <c r="D854" i="8" s="1"/>
  <c r="D855" i="8" a="1"/>
  <c r="D855" i="8" s="1"/>
  <c r="D856" i="8" a="1"/>
  <c r="D856" i="8" s="1"/>
  <c r="D857" i="8" a="1"/>
  <c r="D857" i="8" s="1"/>
  <c r="D858" i="8" a="1"/>
  <c r="D858" i="8" s="1"/>
  <c r="D859" i="8" a="1"/>
  <c r="D859" i="8" s="1"/>
  <c r="D860" i="8" a="1"/>
  <c r="D860" i="8" s="1"/>
  <c r="D861" i="8" a="1"/>
  <c r="D861" i="8" s="1"/>
  <c r="D862" i="8" a="1"/>
  <c r="D862" i="8" s="1"/>
  <c r="D863" i="8" a="1"/>
  <c r="D863" i="8" s="1"/>
  <c r="D864" i="8" a="1"/>
  <c r="D864" i="8" s="1"/>
  <c r="D865" i="8" a="1"/>
  <c r="D865" i="8" s="1"/>
  <c r="D866" i="8" a="1"/>
  <c r="D866" i="8" s="1"/>
  <c r="D867" i="8" a="1"/>
  <c r="D867" i="8" s="1"/>
  <c r="D868" i="8" a="1"/>
  <c r="D868" i="8" s="1"/>
  <c r="D869" i="8" a="1"/>
  <c r="D869" i="8" s="1"/>
  <c r="D870" i="8" a="1"/>
  <c r="D870" i="8" s="1"/>
  <c r="D871" i="8" a="1"/>
  <c r="D871" i="8" s="1"/>
  <c r="D872" i="8" a="1"/>
  <c r="D872" i="8" s="1"/>
  <c r="D873" i="8" a="1"/>
  <c r="D873" i="8" s="1"/>
  <c r="D874" i="8" a="1"/>
  <c r="D874" i="8" s="1"/>
  <c r="D875" i="8" a="1"/>
  <c r="D875" i="8" s="1"/>
  <c r="D876" i="8" a="1"/>
  <c r="D876" i="8" s="1"/>
  <c r="D877" i="8" a="1"/>
  <c r="D877" i="8" s="1"/>
  <c r="D878" i="8" a="1"/>
  <c r="D878" i="8" s="1"/>
  <c r="D879" i="8" a="1"/>
  <c r="D879" i="8" s="1"/>
  <c r="D880" i="8" a="1"/>
  <c r="D880" i="8" s="1"/>
  <c r="D881" i="8" a="1"/>
  <c r="D881" i="8" s="1"/>
  <c r="D882" i="8" a="1"/>
  <c r="D882" i="8" s="1"/>
  <c r="D883" i="8" a="1"/>
  <c r="D883" i="8" s="1"/>
  <c r="D884" i="8" a="1"/>
  <c r="D884" i="8" s="1"/>
  <c r="D885" i="8" a="1"/>
  <c r="D885" i="8" s="1"/>
  <c r="D886" i="8" a="1"/>
  <c r="D886" i="8" s="1"/>
  <c r="D887" i="8" a="1"/>
  <c r="D887" i="8" s="1"/>
  <c r="D888" i="8" a="1"/>
  <c r="D888" i="8" s="1"/>
  <c r="D889" i="8" a="1"/>
  <c r="D889" i="8" s="1"/>
  <c r="D890" i="8" a="1"/>
  <c r="D890" i="8" s="1"/>
  <c r="D891" i="8" a="1"/>
  <c r="D891" i="8" s="1"/>
  <c r="D892" i="8" a="1"/>
  <c r="D892" i="8" s="1"/>
  <c r="D893" i="8" a="1"/>
  <c r="D893" i="8" s="1"/>
  <c r="D894" i="8" a="1"/>
  <c r="D894" i="8" s="1"/>
  <c r="D895" i="8" a="1"/>
  <c r="D895" i="8" s="1"/>
  <c r="D896" i="8" a="1"/>
  <c r="D896" i="8" s="1"/>
  <c r="D897" i="8" a="1"/>
  <c r="D897" i="8" s="1"/>
  <c r="D898" i="8" a="1"/>
  <c r="D898" i="8" s="1"/>
  <c r="D899" i="8" a="1"/>
  <c r="D899" i="8" s="1"/>
  <c r="D900" i="8" a="1"/>
  <c r="D900" i="8" s="1"/>
  <c r="D901" i="8" a="1"/>
  <c r="D901" i="8" s="1"/>
  <c r="D902" i="8" a="1"/>
  <c r="D902" i="8" s="1"/>
  <c r="D903" i="8" a="1"/>
  <c r="D903" i="8" s="1"/>
  <c r="D904" i="8" a="1"/>
  <c r="D904" i="8" s="1"/>
  <c r="D905" i="8" a="1"/>
  <c r="D905" i="8" s="1"/>
  <c r="D906" i="8" a="1"/>
  <c r="D906" i="8" s="1"/>
  <c r="D907" i="8" a="1"/>
  <c r="D907" i="8" s="1"/>
  <c r="D908" i="8" a="1"/>
  <c r="D908" i="8" s="1"/>
  <c r="D909" i="8" a="1"/>
  <c r="D909" i="8" s="1"/>
  <c r="D910" i="8" a="1"/>
  <c r="D910" i="8" s="1"/>
  <c r="D911" i="8" a="1"/>
  <c r="D911" i="8" s="1"/>
  <c r="D912" i="8" a="1"/>
  <c r="D912" i="8" s="1"/>
  <c r="D913" i="8" a="1"/>
  <c r="D913" i="8" s="1"/>
  <c r="D914" i="8" a="1"/>
  <c r="D914" i="8" s="1"/>
  <c r="D915" i="8" a="1"/>
  <c r="D915" i="8" s="1"/>
  <c r="D916" i="8" a="1"/>
  <c r="D916" i="8" s="1"/>
  <c r="D917" i="8" a="1"/>
  <c r="D917" i="8" s="1"/>
  <c r="D918" i="8" a="1"/>
  <c r="D918" i="8" s="1"/>
  <c r="D919" i="8" a="1"/>
  <c r="D919" i="8" s="1"/>
  <c r="D920" i="8" a="1"/>
  <c r="D920" i="8" s="1"/>
  <c r="D921" i="8" a="1"/>
  <c r="D921" i="8" s="1"/>
  <c r="D922" i="8" a="1"/>
  <c r="D922" i="8" s="1"/>
  <c r="D923" i="8" a="1"/>
  <c r="D923" i="8" s="1"/>
  <c r="D924" i="8" a="1"/>
  <c r="D924" i="8" s="1"/>
  <c r="D925" i="8" a="1"/>
  <c r="D925" i="8" s="1"/>
  <c r="D926" i="8" a="1"/>
  <c r="D926" i="8" s="1"/>
  <c r="D927" i="8" a="1"/>
  <c r="D927" i="8" s="1"/>
  <c r="D928" i="8" a="1"/>
  <c r="D928" i="8" s="1"/>
  <c r="D929" i="8" a="1"/>
  <c r="D929" i="8" s="1"/>
  <c r="D930" i="8" a="1"/>
  <c r="D930" i="8" s="1"/>
  <c r="D931" i="8" a="1"/>
  <c r="D931" i="8" s="1"/>
  <c r="D932" i="8" a="1"/>
  <c r="D932" i="8" s="1"/>
  <c r="D933" i="8" a="1"/>
  <c r="D933" i="8" s="1"/>
  <c r="D934" i="8" a="1"/>
  <c r="D934" i="8" s="1"/>
  <c r="D935" i="8" a="1"/>
  <c r="D935" i="8" s="1"/>
  <c r="D936" i="8" a="1"/>
  <c r="D936" i="8" s="1"/>
  <c r="D937" i="8" a="1"/>
  <c r="D937" i="8" s="1"/>
  <c r="D938" i="8" a="1"/>
  <c r="D938" i="8" s="1"/>
  <c r="D939" i="8" a="1"/>
  <c r="D939" i="8" s="1"/>
  <c r="D940" i="8" a="1"/>
  <c r="D940" i="8" s="1"/>
  <c r="D941" i="8" a="1"/>
  <c r="D941" i="8" s="1"/>
  <c r="D942" i="8" a="1"/>
  <c r="D942" i="8" s="1"/>
  <c r="D943" i="8" a="1"/>
  <c r="D943" i="8" s="1"/>
  <c r="D944" i="8" a="1"/>
  <c r="D944" i="8" s="1"/>
  <c r="D945" i="8" a="1"/>
  <c r="D945" i="8" s="1"/>
  <c r="D946" i="8" a="1"/>
  <c r="D946" i="8" s="1"/>
  <c r="D947" i="8" a="1"/>
  <c r="D947" i="8" s="1"/>
  <c r="D948" i="8" a="1"/>
  <c r="D948" i="8" s="1"/>
  <c r="D949" i="8" a="1"/>
  <c r="D949" i="8" s="1"/>
  <c r="D950" i="8" a="1"/>
  <c r="D950" i="8" s="1"/>
  <c r="D951" i="8" a="1"/>
  <c r="D951" i="8" s="1"/>
  <c r="D952" i="8" a="1"/>
  <c r="D952" i="8" s="1"/>
  <c r="D953" i="8" a="1"/>
  <c r="D953" i="8" s="1"/>
  <c r="D954" i="8" a="1"/>
  <c r="D954" i="8" s="1"/>
  <c r="D955" i="8" a="1"/>
  <c r="D955" i="8" s="1"/>
  <c r="D956" i="8" a="1"/>
  <c r="D956" i="8" s="1"/>
  <c r="D957" i="8" a="1"/>
  <c r="D957" i="8" s="1"/>
  <c r="D958" i="8" a="1"/>
  <c r="D958" i="8" s="1"/>
  <c r="D959" i="8" a="1"/>
  <c r="D959" i="8" s="1"/>
  <c r="D960" i="8" a="1"/>
  <c r="D960" i="8" s="1"/>
  <c r="D961" i="8" a="1"/>
  <c r="D961" i="8" s="1"/>
  <c r="D962" i="8" a="1"/>
  <c r="D962" i="8" s="1"/>
  <c r="D963" i="8" a="1"/>
  <c r="D963" i="8" s="1"/>
  <c r="D964" i="8" a="1"/>
  <c r="D964" i="8" s="1"/>
  <c r="D965" i="8" a="1"/>
  <c r="D965" i="8" s="1"/>
  <c r="D966" i="8" a="1"/>
  <c r="D966" i="8" s="1"/>
  <c r="D967" i="8" a="1"/>
  <c r="D967" i="8" s="1"/>
  <c r="D968" i="8" a="1"/>
  <c r="D968" i="8" s="1"/>
  <c r="D969" i="8" a="1"/>
  <c r="D969" i="8" s="1"/>
  <c r="D970" i="8" a="1"/>
  <c r="D970" i="8" s="1"/>
  <c r="D971" i="8" a="1"/>
  <c r="D971" i="8" s="1"/>
  <c r="D972" i="8" a="1"/>
  <c r="D972" i="8" s="1"/>
  <c r="D973" i="8" a="1"/>
  <c r="D973" i="8" s="1"/>
  <c r="D974" i="8" a="1"/>
  <c r="D974" i="8" s="1"/>
  <c r="D975" i="8" a="1"/>
  <c r="D975" i="8" s="1"/>
  <c r="D4" i="8" a="1"/>
  <c r="D4" i="8" s="1"/>
  <c r="C46" i="1" a="1"/>
  <c r="C46" i="1" s="1"/>
  <c r="D46" i="1" a="1"/>
  <c r="D46" i="1" s="1"/>
  <c r="E46" i="1" a="1"/>
  <c r="E46" i="1" s="1"/>
  <c r="F46" i="1" a="1"/>
  <c r="F46" i="1" s="1"/>
  <c r="G46" i="1" a="1"/>
  <c r="G46" i="1" s="1"/>
  <c r="H46" i="1" a="1"/>
  <c r="H46" i="1" s="1"/>
  <c r="I46" i="1" a="1"/>
  <c r="I46" i="1" s="1"/>
  <c r="J46" i="1" a="1"/>
  <c r="J46" i="1" s="1"/>
  <c r="K46" i="1" a="1"/>
  <c r="K46" i="1" s="1"/>
  <c r="L46" i="1" a="1"/>
  <c r="L46" i="1" s="1"/>
  <c r="M46" i="1" a="1"/>
  <c r="M46" i="1" s="1"/>
  <c r="N46" i="1" a="1"/>
  <c r="N46" i="1" s="1"/>
  <c r="O46" i="1" a="1"/>
  <c r="O46" i="1" s="1"/>
  <c r="P46" i="1" a="1"/>
  <c r="P46" i="1" s="1"/>
  <c r="Q46" i="1" a="1"/>
  <c r="Q46" i="1" s="1"/>
  <c r="B46" i="1" a="1"/>
  <c r="B46" i="1" s="1"/>
  <c r="C22" i="1" a="1"/>
  <c r="C22" i="1" s="1"/>
  <c r="D22" i="1" a="1"/>
  <c r="D22" i="1" s="1"/>
  <c r="E22" i="1" a="1"/>
  <c r="E22" i="1" s="1"/>
  <c r="F22" i="1" a="1"/>
  <c r="F22" i="1" s="1"/>
  <c r="G22" i="1" a="1"/>
  <c r="G22" i="1" s="1"/>
  <c r="H22" i="1" a="1"/>
  <c r="H22" i="1" s="1"/>
  <c r="I22" i="1" a="1"/>
  <c r="I22" i="1" s="1"/>
  <c r="J22" i="1" a="1"/>
  <c r="J22" i="1" s="1"/>
  <c r="K22" i="1" a="1"/>
  <c r="K22" i="1" s="1"/>
  <c r="L22" i="1" a="1"/>
  <c r="L22" i="1" s="1"/>
  <c r="M22" i="1" a="1"/>
  <c r="M22" i="1" s="1"/>
  <c r="N22" i="1" a="1"/>
  <c r="N22" i="1" s="1"/>
  <c r="O22" i="1" a="1"/>
  <c r="O22" i="1" s="1"/>
  <c r="P22" i="1" a="1"/>
  <c r="P22" i="1" s="1"/>
  <c r="Q22" i="1" a="1"/>
  <c r="Q22" i="1" s="1"/>
  <c r="B22" i="1" a="1"/>
  <c r="B22" i="1" s="1"/>
  <c r="S46" i="1" l="1"/>
  <c r="S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dataruf</author>
  </authors>
  <commentList>
    <comment ref="A3" authorId="0" shapeId="0" xr:uid="{D16D66EF-D875-4EA0-84CA-C713C50EE39B}">
      <text>
        <r>
          <rPr>
            <b/>
            <sz val="9"/>
            <color indexed="81"/>
            <rFont val="Tahoma"/>
            <family val="2"/>
          </rPr>
          <t>dataruf:</t>
        </r>
        <r>
          <rPr>
            <sz val="9"/>
            <color indexed="81"/>
            <rFont val="Tahoma"/>
            <family val="2"/>
          </rPr>
          <t xml:space="preserve">
Top 3 Stabil gəlirli kompaniyalar.</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407891-120E-42BC-BAEF-294E984F3B2F}" name="Query - campaign" description="Connection to the 'campaign' query in the workbook." type="100" refreshedVersion="8" minRefreshableVersion="5">
    <extLst>
      <ext xmlns:x15="http://schemas.microsoft.com/office/spreadsheetml/2010/11/main" uri="{DE250136-89BD-433C-8126-D09CA5730AF9}">
        <x15:connection id="6433ea1a-f48d-46aa-9c88-cc0231ccf4f4"/>
      </ext>
    </extLst>
  </connection>
  <connection id="2" xr16:uid="{A1EB2A94-8736-4B35-8F87-C5C0988F2147}" name="Query - customer" description="Connection to the 'customer' query in the workbook." type="100" refreshedVersion="8" minRefreshableVersion="5">
    <extLst>
      <ext xmlns:x15="http://schemas.microsoft.com/office/spreadsheetml/2010/11/main" uri="{DE250136-89BD-433C-8126-D09CA5730AF9}">
        <x15:connection id="460da70a-c6ff-40e1-bfdf-ec4afa92041d"/>
      </ext>
    </extLst>
  </connection>
  <connection id="3" xr16:uid="{7693A94C-9901-4975-ABD7-EE683CD60925}" name="Query - data" description="Connection to the 'data' query in the workbook." type="100" refreshedVersion="8" minRefreshableVersion="5">
    <extLst>
      <ext xmlns:x15="http://schemas.microsoft.com/office/spreadsheetml/2010/11/main" uri="{DE250136-89BD-433C-8126-D09CA5730AF9}">
        <x15:connection id="f3647c12-1405-47ec-87c1-05314fda413e"/>
      </ext>
    </extLst>
  </connection>
  <connection id="4" xr16:uid="{D7AFE06A-4E79-4C16-92B9-20D751280E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<sst xmlns="http://schemas.openxmlformats.org/spreadsheetml/2006/main" count="4986" uniqueCount="1043">
  <si>
    <t>Row Labels</t>
  </si>
  <si>
    <t>2022</t>
  </si>
  <si>
    <t>yan</t>
  </si>
  <si>
    <t>fev</t>
  </si>
  <si>
    <t>mar</t>
  </si>
  <si>
    <t>apr</t>
  </si>
  <si>
    <t>may</t>
  </si>
  <si>
    <t>iyn</t>
  </si>
  <si>
    <t>iyl</t>
  </si>
  <si>
    <t>avq</t>
  </si>
  <si>
    <t>sen</t>
  </si>
  <si>
    <t>okt</t>
  </si>
  <si>
    <t>noy</t>
  </si>
  <si>
    <t>dek</t>
  </si>
  <si>
    <t>2023</t>
  </si>
  <si>
    <t>Column Labels</t>
  </si>
  <si>
    <t>Distinct Count of id_customer</t>
  </si>
  <si>
    <t>YeniMusteriSayi</t>
  </si>
  <si>
    <t>Sum of Qiymet</t>
  </si>
  <si>
    <t>BuysViaMailOrder</t>
  </si>
  <si>
    <t>ChildrenInHH</t>
  </si>
  <si>
    <t>HandsetRefurbished</t>
  </si>
  <si>
    <t>HandsetWebCapable</t>
  </si>
  <si>
    <t>HasCreditCard</t>
  </si>
  <si>
    <t>Homeownership</t>
  </si>
  <si>
    <t>MadeCallToRetentionTeam</t>
  </si>
  <si>
    <t>MaritalStatus</t>
  </si>
  <si>
    <t>NewCellphoneUser</t>
  </si>
  <si>
    <t>NonUSTravel</t>
  </si>
  <si>
    <t>NotNewCellphoneUser</t>
  </si>
  <si>
    <t>OptOutMailings</t>
  </si>
  <si>
    <t>OwnsComputer</t>
  </si>
  <si>
    <t>OwnsMotorcycle</t>
  </si>
  <si>
    <t>RespondsToMailOffers</t>
  </si>
  <si>
    <t>RVOwner</t>
  </si>
  <si>
    <t>TruckOwner</t>
  </si>
  <si>
    <t>Stabillik</t>
  </si>
  <si>
    <t>Kompaniyalar</t>
  </si>
  <si>
    <t xml:space="preserve">2023-cü il </t>
  </si>
  <si>
    <t>cam05</t>
  </si>
  <si>
    <t>cam10</t>
  </si>
  <si>
    <t>cam14</t>
  </si>
  <si>
    <t>cam16</t>
  </si>
  <si>
    <t>cam13</t>
  </si>
  <si>
    <t>cam11</t>
  </si>
  <si>
    <t>cam03</t>
  </si>
  <si>
    <t>cam12</t>
  </si>
  <si>
    <t>cam06</t>
  </si>
  <si>
    <t>cam15</t>
  </si>
  <si>
    <t>cam09</t>
  </si>
  <si>
    <t>cam02</t>
  </si>
  <si>
    <t>cam04</t>
  </si>
  <si>
    <t>cam07</t>
  </si>
  <si>
    <t>cam17</t>
  </si>
  <si>
    <t>cam08</t>
  </si>
  <si>
    <t>cam01</t>
  </si>
  <si>
    <t>%</t>
  </si>
  <si>
    <t>Total</t>
  </si>
  <si>
    <t>Abbott Salazar</t>
  </si>
  <si>
    <t>Abdul Foulds</t>
  </si>
  <si>
    <t>Abrahan Cotton</t>
  </si>
  <si>
    <t>Adan Doghartie</t>
  </si>
  <si>
    <t>Addie Chillcot</t>
  </si>
  <si>
    <t>Adelle Wattingham</t>
  </si>
  <si>
    <t>Adey Driscoll</t>
  </si>
  <si>
    <t>Adler Instock</t>
  </si>
  <si>
    <t>Adolph Wisedale</t>
  </si>
  <si>
    <t>Adoree Hasard</t>
  </si>
  <si>
    <t>Adriena Thomton</t>
  </si>
  <si>
    <t>Aguie Guppy</t>
  </si>
  <si>
    <t>Ahmad Toping</t>
  </si>
  <si>
    <t>Axel Hurdman</t>
  </si>
  <si>
    <t>Aigneis Senn</t>
  </si>
  <si>
    <t>Ailene Faithorn</t>
  </si>
  <si>
    <t>Aili Maybery</t>
  </si>
  <si>
    <t>Alan Kennham</t>
  </si>
  <si>
    <t>Albert Klemmt</t>
  </si>
  <si>
    <t>Albina Ivy</t>
  </si>
  <si>
    <t>Aldo Haggidon</t>
  </si>
  <si>
    <t>Aldric Newman</t>
  </si>
  <si>
    <t>Alecia Jaggs</t>
  </si>
  <si>
    <t>Alex Posselow</t>
  </si>
  <si>
    <t>Alexei Splevins</t>
  </si>
  <si>
    <t>Alexia Spadollini</t>
  </si>
  <si>
    <t>Alexio Arno</t>
  </si>
  <si>
    <t>Alfie Gatman</t>
  </si>
  <si>
    <t>Alfredo Artus</t>
  </si>
  <si>
    <t>Ali Crow</t>
  </si>
  <si>
    <t>Alica O'Fallowne</t>
  </si>
  <si>
    <t>Alika Mainson</t>
  </si>
  <si>
    <t>Aline Le Barr</t>
  </si>
  <si>
    <t>Allissa Negus</t>
  </si>
  <si>
    <t>Allyson Ramalho</t>
  </si>
  <si>
    <t>Alma Copping</t>
  </si>
  <si>
    <t>Aloin Cunnane</t>
  </si>
  <si>
    <t>Aloin Laydel</t>
  </si>
  <si>
    <t>Alphonse Abelson</t>
  </si>
  <si>
    <t>Alvie Domican</t>
  </si>
  <si>
    <t>Alysia Drees</t>
  </si>
  <si>
    <t>Alyson Doxsey</t>
  </si>
  <si>
    <t>Amanda Fenwick</t>
  </si>
  <si>
    <t>Ambrosi Levesley</t>
  </si>
  <si>
    <t>Amii McGibbon</t>
  </si>
  <si>
    <t>Amil Carvill</t>
  </si>
  <si>
    <t>Anabella Cassell</t>
  </si>
  <si>
    <t>Anabella Whittlesey</t>
  </si>
  <si>
    <t>Andriette Wheeler</t>
  </si>
  <si>
    <t>Angel Willowby</t>
  </si>
  <si>
    <t>Angie Steers</t>
  </si>
  <si>
    <t>Ania Lidgett</t>
  </si>
  <si>
    <t>Anica Tuerena</t>
  </si>
  <si>
    <t>Anitra Litherland</t>
  </si>
  <si>
    <t>Annabela Overton</t>
  </si>
  <si>
    <t>Anna-diana Stuchberry</t>
  </si>
  <si>
    <t>Annalee Mocquer</t>
  </si>
  <si>
    <t>Annalise Indruch</t>
  </si>
  <si>
    <t>Annette Korneluk</t>
  </si>
  <si>
    <t>Annmaria Wallbridge</t>
  </si>
  <si>
    <t>Annnora Devonport</t>
  </si>
  <si>
    <t>Annnora Ranahan</t>
  </si>
  <si>
    <t>Anthe Boobyer</t>
  </si>
  <si>
    <t>Aprilette Parkhouse</t>
  </si>
  <si>
    <t>Ara Warboy</t>
  </si>
  <si>
    <t>Archy Binley</t>
  </si>
  <si>
    <t>Ardis Walbrook</t>
  </si>
  <si>
    <t>Ariadne McCaster</t>
  </si>
  <si>
    <t>Ariel Derrell</t>
  </si>
  <si>
    <t>Aristotle Whieldon</t>
  </si>
  <si>
    <t>Arlan Boow</t>
  </si>
  <si>
    <t>Arlette Beggs</t>
  </si>
  <si>
    <t>Arlie Stranahan</t>
  </si>
  <si>
    <t>Arlin Grinov</t>
  </si>
  <si>
    <t>Arman Haresnape</t>
  </si>
  <si>
    <t>Armin Sollitt</t>
  </si>
  <si>
    <t>Arte Dalliwater</t>
  </si>
  <si>
    <t>Arther Marunchak</t>
  </si>
  <si>
    <t>Artie Joutapaitis</t>
  </si>
  <si>
    <t>Arvie Ilett</t>
  </si>
  <si>
    <t>Arvin Hyndson</t>
  </si>
  <si>
    <t>Ashby Goose</t>
  </si>
  <si>
    <t>Ashby Winsom</t>
  </si>
  <si>
    <t>Ashleigh Stanford</t>
  </si>
  <si>
    <t>Ashli Elwyn</t>
  </si>
  <si>
    <t>Ashli Lawrie</t>
  </si>
  <si>
    <t>Ashly Ferrarin</t>
  </si>
  <si>
    <t>Aube Madge</t>
  </si>
  <si>
    <t>Aubine Pounder</t>
  </si>
  <si>
    <t>Augustus Falls</t>
  </si>
  <si>
    <t>Aura Bruckner</t>
  </si>
  <si>
    <t>Baxy Martinson</t>
  </si>
  <si>
    <t>Bailey Jopp</t>
  </si>
  <si>
    <t>Barbara Jobbins</t>
  </si>
  <si>
    <t>Barnard Hollow</t>
  </si>
  <si>
    <t>Barnett Pace</t>
  </si>
  <si>
    <t>Barrie Eagleton</t>
  </si>
  <si>
    <t>Bartholomeo Lamplugh</t>
  </si>
  <si>
    <t>Bartholomeus Gerhardt</t>
  </si>
  <si>
    <t>Bartram Carroll</t>
  </si>
  <si>
    <t>Batholomew Allix</t>
  </si>
  <si>
    <t>Bay Chesswas</t>
  </si>
  <si>
    <t>Beale Hazeldine</t>
  </si>
  <si>
    <t>Beatriz Hearsey</t>
  </si>
  <si>
    <t>Beauregard Causton</t>
  </si>
  <si>
    <t>Bekki Deekes</t>
  </si>
  <si>
    <t>Belinda Postans</t>
  </si>
  <si>
    <t>Benedetta Moogan</t>
  </si>
  <si>
    <t>Benedick Askem</t>
  </si>
  <si>
    <t>Benedikta Dunn</t>
  </si>
  <si>
    <t>Bengt Tonge</t>
  </si>
  <si>
    <t>Benjy Flahive</t>
  </si>
  <si>
    <t>Berkie Bernardes</t>
  </si>
  <si>
    <t>Bernardo Hazelhurst</t>
  </si>
  <si>
    <t>Berty Yapp</t>
  </si>
  <si>
    <t>Betta Zanettini</t>
  </si>
  <si>
    <t>Betteann Birkenshaw</t>
  </si>
  <si>
    <t>Betteann Carress</t>
  </si>
  <si>
    <t>Bettina Fothergill</t>
  </si>
  <si>
    <t>Bettine Kitchener</t>
  </si>
  <si>
    <t>Beulah Applegarth</t>
  </si>
  <si>
    <t>Bibby Rustman</t>
  </si>
  <si>
    <t>Bili Pairpoint</t>
  </si>
  <si>
    <t>Birgit Leas</t>
  </si>
  <si>
    <t>Blakeley Bowie</t>
  </si>
  <si>
    <t>Bobbe Prandini</t>
  </si>
  <si>
    <t>Bobbee MacKinnon</t>
  </si>
  <si>
    <t>Bobbye Hardistry</t>
  </si>
  <si>
    <t>Bonny Crowd</t>
  </si>
  <si>
    <t>Borden Trustram</t>
  </si>
  <si>
    <t>Boycie Isley</t>
  </si>
  <si>
    <t>Brade Domican</t>
  </si>
  <si>
    <t>Brant Fonso</t>
  </si>
  <si>
    <t>Bren Todari</t>
  </si>
  <si>
    <t>Brenn Enstone</t>
  </si>
  <si>
    <t>Brennan Franzetti</t>
  </si>
  <si>
    <t>Brice Craker</t>
  </si>
  <si>
    <t>Brien McGuire</t>
  </si>
  <si>
    <t>Brit Swaddle</t>
  </si>
  <si>
    <t>Britt Dyte</t>
  </si>
  <si>
    <t>Brittan Fowlston</t>
  </si>
  <si>
    <t>Brock Jentet</t>
  </si>
  <si>
    <t>Bron Ghilardi</t>
  </si>
  <si>
    <t>Brooks Cockburn</t>
  </si>
  <si>
    <t>Brooks Haveline</t>
  </si>
  <si>
    <t>Bruis Kops</t>
  </si>
  <si>
    <t>Brynna Broinlich</t>
  </si>
  <si>
    <t>Brynna Dedney</t>
  </si>
  <si>
    <t>Buck Thamelt</t>
  </si>
  <si>
    <t>Buffy Tonn</t>
  </si>
  <si>
    <t>Burnaby Tuvey</t>
  </si>
  <si>
    <t>Burnard Coade</t>
  </si>
  <si>
    <t>Byran Espinas</t>
  </si>
  <si>
    <t>Caldwell Buzzing</t>
  </si>
  <si>
    <t>Cameron Faro</t>
  </si>
  <si>
    <t>Cammie Legh</t>
  </si>
  <si>
    <t>Caprice Pyecroft</t>
  </si>
  <si>
    <t>Caresse Nanninini</t>
  </si>
  <si>
    <t>Carl Sleney</t>
  </si>
  <si>
    <t>Carla Connors</t>
  </si>
  <si>
    <t>Carleton Atkin</t>
  </si>
  <si>
    <t>Carlie Tasker</t>
  </si>
  <si>
    <t>Carlin Gallen</t>
  </si>
  <si>
    <t>Carma Barrand</t>
  </si>
  <si>
    <t>Carolus Wagg</t>
  </si>
  <si>
    <t>Casey Doohey</t>
  </si>
  <si>
    <t>Casey Dorrian</t>
  </si>
  <si>
    <t>Casi Du Fray</t>
  </si>
  <si>
    <t>Cassaundra Bamlett</t>
  </si>
  <si>
    <t>Catharine Merwood</t>
  </si>
  <si>
    <t>Catherine Bottomley</t>
  </si>
  <si>
    <t>Cathlene Tatterton</t>
  </si>
  <si>
    <t>Caz Reinhardt</t>
  </si>
  <si>
    <t>Cecilio Fernier</t>
  </si>
  <si>
    <t>Celisse Idale</t>
  </si>
  <si>
    <t>Chantalle Villa</t>
  </si>
  <si>
    <t>Charita Prisk</t>
  </si>
  <si>
    <t>Charmane Turville</t>
  </si>
  <si>
    <t>Charmion Blowfield</t>
  </si>
  <si>
    <t>Chauncey Behninck</t>
  </si>
  <si>
    <t>Chelsy Triggle</t>
  </si>
  <si>
    <t>Cherey Corneliussen</t>
  </si>
  <si>
    <t>Chev Stallion</t>
  </si>
  <si>
    <t>Chiquita Riddiough</t>
  </si>
  <si>
    <t>Chlo Durkin</t>
  </si>
  <si>
    <t>Christabella Caneo</t>
  </si>
  <si>
    <t>Chrisy Kuzma</t>
  </si>
  <si>
    <t>Chryste Besnardeau</t>
  </si>
  <si>
    <t>Cirillo Lutzmann</t>
  </si>
  <si>
    <t>Claiborn Luckwell</t>
  </si>
  <si>
    <t>Claiborne Poplee</t>
  </si>
  <si>
    <t>Clarabelle Rugiero</t>
  </si>
  <si>
    <t>Claretta Bridgewater</t>
  </si>
  <si>
    <t>Clarinda Hellwing</t>
  </si>
  <si>
    <t>Clark Joynt</t>
  </si>
  <si>
    <t>Claudian Renvoise</t>
  </si>
  <si>
    <t>Clay Bedo</t>
  </si>
  <si>
    <t>Clayborn Brelsford</t>
  </si>
  <si>
    <t>Cleon Gawkes</t>
  </si>
  <si>
    <t>Cleopatra Kerner</t>
  </si>
  <si>
    <t>Clerc Cozins</t>
  </si>
  <si>
    <t>Clerissa Eckley</t>
  </si>
  <si>
    <t>Clifford Yankeev</t>
  </si>
  <si>
    <t>Cobb Pranger</t>
  </si>
  <si>
    <t>Codi Cluer</t>
  </si>
  <si>
    <t>Cointon Goodson</t>
  </si>
  <si>
    <t>Colas Doles</t>
  </si>
  <si>
    <t>Colas Foxcroft</t>
  </si>
  <si>
    <t>Colas Housley</t>
  </si>
  <si>
    <t>Colby Durram</t>
  </si>
  <si>
    <t>Coleman Donaghy</t>
  </si>
  <si>
    <t>Colin Cattini</t>
  </si>
  <si>
    <t>Collete MacCahee</t>
  </si>
  <si>
    <t>Con Gallyon</t>
  </si>
  <si>
    <t>Conn Gumme</t>
  </si>
  <si>
    <t>Conni Catterall</t>
  </si>
  <si>
    <t>Connie Erie</t>
  </si>
  <si>
    <t>Conrad Cranidge</t>
  </si>
  <si>
    <t>Conrado Greenwood</t>
  </si>
  <si>
    <t>Consalve Edmeads</t>
  </si>
  <si>
    <t>Constancia Plaister</t>
  </si>
  <si>
    <t>Cooper Cote</t>
  </si>
  <si>
    <t>Cooper Poulson</t>
  </si>
  <si>
    <t>Cooper Rowantree</t>
  </si>
  <si>
    <t>Coraline Lane</t>
  </si>
  <si>
    <t>Cordey Vardon</t>
  </si>
  <si>
    <t>Cordula Conkling</t>
  </si>
  <si>
    <t>Corella Mowles</t>
  </si>
  <si>
    <t>Cori Adamiec</t>
  </si>
  <si>
    <t>Cornall Frayling</t>
  </si>
  <si>
    <t>Cornie Reina</t>
  </si>
  <si>
    <t>Costa Brolly</t>
  </si>
  <si>
    <t>Costa Grishelyov</t>
  </si>
  <si>
    <t>Cull Carleton</t>
  </si>
  <si>
    <t>Curtice Nelthrop</t>
  </si>
  <si>
    <t>Curtis Schwandner</t>
  </si>
  <si>
    <t>Cybill Raysdale</t>
  </si>
  <si>
    <t>Cyrille Peres</t>
  </si>
  <si>
    <t>Dacey Lethcoe</t>
  </si>
  <si>
    <t>Daffie Bernaldez</t>
  </si>
  <si>
    <t>Dahlia Shernock</t>
  </si>
  <si>
    <t>Daile Lusted</t>
  </si>
  <si>
    <t>Dalia O'Neal</t>
  </si>
  <si>
    <t>Dalston Barfield</t>
  </si>
  <si>
    <t>Dalston Gardener</t>
  </si>
  <si>
    <t>Dame Deverale</t>
  </si>
  <si>
    <t>Dani Sarfati</t>
  </si>
  <si>
    <t>Daniela Revey</t>
  </si>
  <si>
    <t>Dannie Hooks</t>
  </si>
  <si>
    <t>Darbee Blowfield</t>
  </si>
  <si>
    <t>Darbee MacGillavery</t>
  </si>
  <si>
    <t>Dareen Haldon</t>
  </si>
  <si>
    <t>Daron Roullier</t>
  </si>
  <si>
    <t>Darrel Screase</t>
  </si>
  <si>
    <t>Dasya Gilliver</t>
  </si>
  <si>
    <t>Davey Kliement</t>
  </si>
  <si>
    <t>Davine Mathew</t>
  </si>
  <si>
    <t>Davy Chellam</t>
  </si>
  <si>
    <t>De witt Elener</t>
  </si>
  <si>
    <t>De witt Pinfold</t>
  </si>
  <si>
    <t>Deana Carmen</t>
  </si>
  <si>
    <t>Deane Sach</t>
  </si>
  <si>
    <t>Deanne Nicholes</t>
  </si>
  <si>
    <t>Deb Espinho</t>
  </si>
  <si>
    <t>Debee Glaze</t>
  </si>
  <si>
    <t>Delbert Harbidge</t>
  </si>
  <si>
    <t>Delilah Usmar</t>
  </si>
  <si>
    <t>Deloria Sercombe</t>
  </si>
  <si>
    <t>Demetre Guiraud</t>
  </si>
  <si>
    <t>Demetris Stockall</t>
  </si>
  <si>
    <t>Denis Leatham</t>
  </si>
  <si>
    <t>Denny Bairstow</t>
  </si>
  <si>
    <t>Denyse Blankhorn</t>
  </si>
  <si>
    <t>Deonne Boullen</t>
  </si>
  <si>
    <t>Derek Stealey</t>
  </si>
  <si>
    <t>Derward Probetts</t>
  </si>
  <si>
    <t>Derwin Jorcke</t>
  </si>
  <si>
    <t>Derwin Trewhela</t>
  </si>
  <si>
    <t>Diann Truter</t>
  </si>
  <si>
    <t>Diena Denkel</t>
  </si>
  <si>
    <t>Dierdre Britto</t>
  </si>
  <si>
    <t>Dilan Nelane</t>
  </si>
  <si>
    <t>Dinny Victory</t>
  </si>
  <si>
    <t>Dodi Marciskewski</t>
  </si>
  <si>
    <t>Domini McEttigen</t>
  </si>
  <si>
    <t>Donal Pomphrett</t>
  </si>
  <si>
    <t>Donia Galbraeth</t>
  </si>
  <si>
    <t>Donnajean Belz</t>
  </si>
  <si>
    <t>Dora Stannislawski</t>
  </si>
  <si>
    <t>Dore Fulun</t>
  </si>
  <si>
    <t>Dorelle Dennington</t>
  </si>
  <si>
    <t>Dorthea Melarkey</t>
  </si>
  <si>
    <t>Dosi Cobbin</t>
  </si>
  <si>
    <t>Drake Lamperti</t>
  </si>
  <si>
    <t>Drew Wildman</t>
  </si>
  <si>
    <t>Duff Fishpool</t>
  </si>
  <si>
    <t>Dukey McKennan</t>
  </si>
  <si>
    <t>Dulsea Balbeck</t>
  </si>
  <si>
    <t>Dunc Colliber</t>
  </si>
  <si>
    <t>Dyane Harvison</t>
  </si>
  <si>
    <t>Dyann Danielczyk</t>
  </si>
  <si>
    <t>Dyanne Alexandersson</t>
  </si>
  <si>
    <t>Dyna Yurenev</t>
  </si>
  <si>
    <t>Earl de Mendoza</t>
  </si>
  <si>
    <t>Earl Swayland</t>
  </si>
  <si>
    <t>Ebonee Greatbanks</t>
  </si>
  <si>
    <t>Edgar Gonsalvo</t>
  </si>
  <si>
    <t>Edgar Joburn</t>
  </si>
  <si>
    <t>Edlin Parkes</t>
  </si>
  <si>
    <t>Edouard Russam</t>
  </si>
  <si>
    <t>Elaina Canet</t>
  </si>
  <si>
    <t>Eldon Simmans</t>
  </si>
  <si>
    <t>Elinore Goulding</t>
  </si>
  <si>
    <t>Elissa Livick</t>
  </si>
  <si>
    <t>Elliot de Keep</t>
  </si>
  <si>
    <t>Elysee Crabbe</t>
  </si>
  <si>
    <t>Elysia Barnaby</t>
  </si>
  <si>
    <t>Elysia Buzzing</t>
  </si>
  <si>
    <t>Emile Krauss</t>
  </si>
  <si>
    <t>Emlen Scutchings</t>
  </si>
  <si>
    <t>Emma Czaja</t>
  </si>
  <si>
    <t>Emmaline Steadman</t>
  </si>
  <si>
    <t>Emmit Friar</t>
  </si>
  <si>
    <t>Enid Zanioletti</t>
  </si>
  <si>
    <t>Ephrayim Ingram</t>
  </si>
  <si>
    <t>Ephrem Ruddiman</t>
  </si>
  <si>
    <t>Eran Greedyer</t>
  </si>
  <si>
    <t>Erastus Kinloch</t>
  </si>
  <si>
    <t>Erhard Dovermann</t>
  </si>
  <si>
    <t>Erica Mc Elory</t>
  </si>
  <si>
    <t>Erick Rawsthorne</t>
  </si>
  <si>
    <t>Ermengarde McDarmid</t>
  </si>
  <si>
    <t>Ermentrude Peller</t>
  </si>
  <si>
    <t>Erv Pardey</t>
  </si>
  <si>
    <t>Essa Trinbey</t>
  </si>
  <si>
    <t>Essy Canizares</t>
  </si>
  <si>
    <t>Ester Janek</t>
  </si>
  <si>
    <t>Etan Wetter</t>
  </si>
  <si>
    <t>Ethe Giffaut</t>
  </si>
  <si>
    <t>Ethelbert Korting</t>
  </si>
  <si>
    <t>Ethelin Mark</t>
  </si>
  <si>
    <t>Ettie Zealander</t>
  </si>
  <si>
    <t>Evelina Jurisch</t>
  </si>
  <si>
    <t>Everard Jakubovitch</t>
  </si>
  <si>
    <t>Evvie MacTrusty</t>
  </si>
  <si>
    <t>Eyde Growy</t>
  </si>
  <si>
    <t>Ezra Winny</t>
  </si>
  <si>
    <t>Ezri Wayt</t>
  </si>
  <si>
    <t>Faber MacNish</t>
  </si>
  <si>
    <t>Fabiano Kyndred</t>
  </si>
  <si>
    <t>Fairfax Le Sieur</t>
  </si>
  <si>
    <t>Fania Urey</t>
  </si>
  <si>
    <t>Farica Chilton</t>
  </si>
  <si>
    <t>Farlay Pellitt</t>
  </si>
  <si>
    <t>Fawnia Culham</t>
  </si>
  <si>
    <t>Fedora Renad</t>
  </si>
  <si>
    <t>Fee Swallwell</t>
  </si>
  <si>
    <t>Felic Phinnis</t>
  </si>
  <si>
    <t>Feliks Datte</t>
  </si>
  <si>
    <t>Felizio Wondraschek</t>
  </si>
  <si>
    <t>Findlay Balwin</t>
  </si>
  <si>
    <t>Fletch Bardill</t>
  </si>
  <si>
    <t>Fletcher Sawart</t>
  </si>
  <si>
    <t>Fleurette Annon</t>
  </si>
  <si>
    <t>Florina Jobson</t>
  </si>
  <si>
    <t>Florry Bilbrey</t>
  </si>
  <si>
    <t>Flossy MacNish</t>
  </si>
  <si>
    <t>Ford Abate</t>
  </si>
  <si>
    <t>Forster Antalffy</t>
  </si>
  <si>
    <t>Fowler Chalice</t>
  </si>
  <si>
    <t>Fowler Scannell</t>
  </si>
  <si>
    <t>Franciska Mathivet</t>
  </si>
  <si>
    <t>Franciskus Grzegorzewski</t>
  </si>
  <si>
    <t>Franciskus O'Crevy</t>
  </si>
  <si>
    <t>Franni O'Loughnan</t>
  </si>
  <si>
    <t>Franz Terren</t>
  </si>
  <si>
    <t>Fraze Maestro</t>
  </si>
  <si>
    <t>Frazer Beesley</t>
  </si>
  <si>
    <t>Fredrick Gillitt</t>
  </si>
  <si>
    <t>Gabriella Stannion</t>
  </si>
  <si>
    <t>Gabriellia Maren</t>
  </si>
  <si>
    <t>Gabriello Coker</t>
  </si>
  <si>
    <t>Ganny Eric</t>
  </si>
  <si>
    <t>Garrett Bourgaize</t>
  </si>
  <si>
    <t>Garry Dedon</t>
  </si>
  <si>
    <t>Garv Fowls</t>
  </si>
  <si>
    <t>Gavan Lear</t>
  </si>
  <si>
    <t>Gaven Moens</t>
  </si>
  <si>
    <t>Genevieve Simonetto</t>
  </si>
  <si>
    <t>Genia Gooderson</t>
  </si>
  <si>
    <t>Genia Prater</t>
  </si>
  <si>
    <t>Gennie Grady</t>
  </si>
  <si>
    <t>Georgeanne Potapczuk</t>
  </si>
  <si>
    <t>Georgia Blunden</t>
  </si>
  <si>
    <t>Geri Thirwell</t>
  </si>
  <si>
    <t>Gerik Graham</t>
  </si>
  <si>
    <t>Gerladina Greep</t>
  </si>
  <si>
    <t>Gil Grady</t>
  </si>
  <si>
    <t>Gilburt Mesnard</t>
  </si>
  <si>
    <t>Gillan Linne</t>
  </si>
  <si>
    <t>Ginger Dollard</t>
  </si>
  <si>
    <t>Ginger Pinnere</t>
  </si>
  <si>
    <t>Giorgia Ruckert</t>
  </si>
  <si>
    <t>Giralda Snowden</t>
  </si>
  <si>
    <t>Gisella Woffinden</t>
  </si>
  <si>
    <t>Glad Mc Harg</t>
  </si>
  <si>
    <t>Gleda Gerwood</t>
  </si>
  <si>
    <t>Glori Armor</t>
  </si>
  <si>
    <t>Glory Nutter</t>
  </si>
  <si>
    <t>Goddard Adamsson</t>
  </si>
  <si>
    <t>Goddard Sollis</t>
  </si>
  <si>
    <t>Goddart Drage</t>
  </si>
  <si>
    <t>Godfrey Jaime</t>
  </si>
  <si>
    <t>Gordon Worgan</t>
  </si>
  <si>
    <t>Grannie Tomsu</t>
  </si>
  <si>
    <t>Gray Spere</t>
  </si>
  <si>
    <t>Grethel McAloren</t>
  </si>
  <si>
    <t>Griselda Kiss</t>
  </si>
  <si>
    <t>Guglielma Gennerich</t>
  </si>
  <si>
    <t>Guglielmo Conant</t>
  </si>
  <si>
    <t>Gui Henden</t>
  </si>
  <si>
    <t>Gunner Jurasek</t>
  </si>
  <si>
    <t>Gusella Tregust</t>
  </si>
  <si>
    <t>Gwendolen Ambrogioli</t>
  </si>
  <si>
    <t>Hadleigh Yare</t>
  </si>
  <si>
    <t>Hadley Hucknall</t>
  </si>
  <si>
    <t>Hal Belsey</t>
  </si>
  <si>
    <t>Halette Dugald</t>
  </si>
  <si>
    <t>Halimeda Curbishley</t>
  </si>
  <si>
    <t>Halli Wixey</t>
  </si>
  <si>
    <t>Hannis Desporte</t>
  </si>
  <si>
    <t>Harald Elsworth</t>
  </si>
  <si>
    <t>Harp Randerson</t>
  </si>
  <si>
    <t>Harriot Soldner</t>
  </si>
  <si>
    <t>Hashim Haskur</t>
  </si>
  <si>
    <t>Haskel Lamprey</t>
  </si>
  <si>
    <t>Hastings MacTrustie</t>
  </si>
  <si>
    <t>Hayes Batrop</t>
  </si>
  <si>
    <t>Haywood Ransfield</t>
  </si>
  <si>
    <t>Hazel Wiggall</t>
  </si>
  <si>
    <t>Heath Ruusa</t>
  </si>
  <si>
    <t>Heddi Kertess</t>
  </si>
  <si>
    <t>Hedi Bohden</t>
  </si>
  <si>
    <t>Heida Ryley</t>
  </si>
  <si>
    <t>Heida Wragge</t>
  </si>
  <si>
    <t>Henriette Olek</t>
  </si>
  <si>
    <t>Herbert Swalwel</t>
  </si>
  <si>
    <t>Herbie Juett</t>
  </si>
  <si>
    <t>Herc Nawton</t>
  </si>
  <si>
    <t>Hermia Yatman</t>
  </si>
  <si>
    <t>Hermie Hundy</t>
  </si>
  <si>
    <t>Herminia Ianetti</t>
  </si>
  <si>
    <t>Hewett Goldhill</t>
  </si>
  <si>
    <t>Hilario Gornar</t>
  </si>
  <si>
    <t>Hildy De Atta</t>
  </si>
  <si>
    <t>Hilliard Corain</t>
  </si>
  <si>
    <t>Hillyer Darthe</t>
  </si>
  <si>
    <t>Hollis Ratcliff</t>
  </si>
  <si>
    <t>Hugh Pigney</t>
  </si>
  <si>
    <t>Huntley Orkney</t>
  </si>
  <si>
    <t>Hyman Gawke</t>
  </si>
  <si>
    <t>Xever Peare</t>
  </si>
  <si>
    <t>Ximenes Unsworth</t>
  </si>
  <si>
    <t>Idalia Southerden</t>
  </si>
  <si>
    <t>Idell Meddings</t>
  </si>
  <si>
    <t>Idelle Croughan</t>
  </si>
  <si>
    <t>Igor Beeden</t>
  </si>
  <si>
    <t>Ilka Sturrock</t>
  </si>
  <si>
    <t>Illa Hadye</t>
  </si>
  <si>
    <t>Ilsa Jurn</t>
  </si>
  <si>
    <t>Ilsa Yonge</t>
  </si>
  <si>
    <t>Ilyse Cooling</t>
  </si>
  <si>
    <t>Inessa Murphy</t>
  </si>
  <si>
    <t>Inez Constantinou</t>
  </si>
  <si>
    <t>Ingmar Cund</t>
  </si>
  <si>
    <t>Iorgo Kinnar</t>
  </si>
  <si>
    <t>Iormina Rudderham</t>
  </si>
  <si>
    <t>Irvine Mutton</t>
  </si>
  <si>
    <t>Irwin Pearmine</t>
  </si>
  <si>
    <t>Isabel Vannikov</t>
  </si>
  <si>
    <t>Isac Valsler</t>
  </si>
  <si>
    <t>Isidor Corser</t>
  </si>
  <si>
    <t>Itch Mingauld</t>
  </si>
  <si>
    <t>Ivar Baseggio</t>
  </si>
  <si>
    <t>Jacinta Faltskog</t>
  </si>
  <si>
    <t>Jackelyn Dahmel</t>
  </si>
  <si>
    <t>Jaime Elloway</t>
  </si>
  <si>
    <t>Jaquelin Goshawke</t>
  </si>
  <si>
    <t>Jaquelyn McFarlane</t>
  </si>
  <si>
    <t>Janeczka Billiard</t>
  </si>
  <si>
    <t>Janifer Vowdon</t>
  </si>
  <si>
    <t>Janos McKeveney</t>
  </si>
  <si>
    <t>Jany Legerwood</t>
  </si>
  <si>
    <t>Jareb Wisedale</t>
  </si>
  <si>
    <t>Jarib Fahrenbach</t>
  </si>
  <si>
    <t>Jarid Tumbelty</t>
  </si>
  <si>
    <t>Jay Paulazzi</t>
  </si>
  <si>
    <t>Jayme Haselwood</t>
  </si>
  <si>
    <t>Jeffry Foresight</t>
  </si>
  <si>
    <t>Jemie Piche</t>
  </si>
  <si>
    <t>Jeniece Tideswell</t>
  </si>
  <si>
    <t>Jenine Swateridge</t>
  </si>
  <si>
    <t>Jeramey Woollons</t>
  </si>
  <si>
    <t>Jere Dikelin</t>
  </si>
  <si>
    <t>Jeremy MacColm</t>
  </si>
  <si>
    <t>Jerrome Huxster</t>
  </si>
  <si>
    <t>Jervis La Croce</t>
  </si>
  <si>
    <t>Jessalin Veljes</t>
  </si>
  <si>
    <t>Jessi Broe</t>
  </si>
  <si>
    <t>Jesus Maharry</t>
  </si>
  <si>
    <t>Jesus Pountney</t>
  </si>
  <si>
    <t>Jillana Garken</t>
  </si>
  <si>
    <t>Jillayne Crisp</t>
  </si>
  <si>
    <t>Jim Wilgar</t>
  </si>
  <si>
    <t>Jobina Dudman</t>
  </si>
  <si>
    <t>Jodi Guppey</t>
  </si>
  <si>
    <t>Jodi Winson</t>
  </si>
  <si>
    <t>Joeann Strewther</t>
  </si>
  <si>
    <t>Johna Suddock</t>
  </si>
  <si>
    <t>Jolene Shillan</t>
  </si>
  <si>
    <t>Jon Course</t>
  </si>
  <si>
    <t>Jonah Stone</t>
  </si>
  <si>
    <t>Jonas Gumbley</t>
  </si>
  <si>
    <t>Josephina Gracey</t>
  </si>
  <si>
    <t>Josselyn Piggen</t>
  </si>
  <si>
    <t>Judie Aleksashin</t>
  </si>
  <si>
    <t>Judon Dominey</t>
  </si>
  <si>
    <t>Kally Hook</t>
  </si>
  <si>
    <t>Kareem Giblin</t>
  </si>
  <si>
    <t>Karel McCaskill</t>
  </si>
  <si>
    <t>Kariotta Lauridsen</t>
  </si>
  <si>
    <t>Karlen Battell</t>
  </si>
  <si>
    <t>Kassia Dobney</t>
  </si>
  <si>
    <t>Katalin Liveley</t>
  </si>
  <si>
    <t>Katee Grahlman</t>
  </si>
  <si>
    <t>Katerina Gellier</t>
  </si>
  <si>
    <t>Katerina Maccrae</t>
  </si>
  <si>
    <t>Katherina Bennell</t>
  </si>
  <si>
    <t>Katherine Blick</t>
  </si>
  <si>
    <t>Kathlin Tucsell</t>
  </si>
  <si>
    <t>Katine Bravington</t>
  </si>
  <si>
    <t>Kaylil Schule</t>
  </si>
  <si>
    <t>Kelcie Gaddes</t>
  </si>
  <si>
    <t>Kellby Pumphrey</t>
  </si>
  <si>
    <t>Kellie Rubinivitz</t>
  </si>
  <si>
    <t>Kenn Seefus</t>
  </si>
  <si>
    <t>Kenny Kiledal</t>
  </si>
  <si>
    <t>Kerry Orehead</t>
  </si>
  <si>
    <t>Kerwin Bahde</t>
  </si>
  <si>
    <t>Kevan Kobsch</t>
  </si>
  <si>
    <t>Kevon Bax</t>
  </si>
  <si>
    <t>Ki Gresswell</t>
  </si>
  <si>
    <t>Kial Mangon</t>
  </si>
  <si>
    <t>Killian O'Donnell</t>
  </si>
  <si>
    <t>Kimberley Sidney</t>
  </si>
  <si>
    <t>Kimbra Beddoe</t>
  </si>
  <si>
    <t>Kirby Rosettini</t>
  </si>
  <si>
    <t>Kirsten Gatecliff</t>
  </si>
  <si>
    <t>Kliment Sealy</t>
  </si>
  <si>
    <t>Koressa Burril</t>
  </si>
  <si>
    <t>Krista Martinovsky</t>
  </si>
  <si>
    <t>Kristos Hagart</t>
  </si>
  <si>
    <t>Ky Baum</t>
  </si>
  <si>
    <t>Kyla Dudin</t>
  </si>
  <si>
    <t>Kylen Stanluck</t>
  </si>
  <si>
    <t>Kynthia Lemme</t>
  </si>
  <si>
    <t>Quincy Jacqueme</t>
  </si>
  <si>
    <t>Quincy Keward</t>
  </si>
  <si>
    <t>Quinlan Beven</t>
  </si>
  <si>
    <t>Laird Ballendine</t>
  </si>
  <si>
    <t>Lamont Astlatt</t>
  </si>
  <si>
    <t>Laney Giamo</t>
  </si>
  <si>
    <t>Lauree Collisson</t>
  </si>
  <si>
    <t>Lauree Rymmer</t>
  </si>
  <si>
    <t>Lauren McCrorie</t>
  </si>
  <si>
    <t>Leeanne Boyan</t>
  </si>
  <si>
    <t>Lexine Tregear</t>
  </si>
  <si>
    <t>Lek Batterbee</t>
  </si>
  <si>
    <t>Leopold Nutbean</t>
  </si>
  <si>
    <t>Leroi Pinke</t>
  </si>
  <si>
    <t>Leslie Goodlet</t>
  </si>
  <si>
    <t>Lesly Ullyatt</t>
  </si>
  <si>
    <t>Leticia Flecknoe</t>
  </si>
  <si>
    <t>Levin Braz</t>
  </si>
  <si>
    <t>Lief Cordner</t>
  </si>
  <si>
    <t>Lilli Marrows</t>
  </si>
  <si>
    <t>Lilyan Moughtin</t>
  </si>
  <si>
    <t>Lin Helversen</t>
  </si>
  <si>
    <t>Lincoln Meech</t>
  </si>
  <si>
    <t>Lind Westwood</t>
  </si>
  <si>
    <t>Linnell Farryann</t>
  </si>
  <si>
    <t>Linoel Chitham</t>
  </si>
  <si>
    <t>Lissy Sisselot</t>
  </si>
  <si>
    <t>Llywellyn Camelin</t>
  </si>
  <si>
    <t>Lolly Bleiman</t>
  </si>
  <si>
    <t>Lombard McJerrow</t>
  </si>
  <si>
    <t>Lonee Crafter</t>
  </si>
  <si>
    <t>Loni Cartmail</t>
  </si>
  <si>
    <t>Loralyn Jowsey</t>
  </si>
  <si>
    <t>Lorant Le Surf</t>
  </si>
  <si>
    <t>Lorene Stallan</t>
  </si>
  <si>
    <t>Lorenza Robinett</t>
  </si>
  <si>
    <t>Loria Gyurko</t>
  </si>
  <si>
    <t>Lorianna Glencrosche</t>
  </si>
  <si>
    <t>Lorilee Louder</t>
  </si>
  <si>
    <t>Lorita Eaglen</t>
  </si>
  <si>
    <t>Lorita Kordes</t>
  </si>
  <si>
    <t>Lotti Grayley</t>
  </si>
  <si>
    <t>Lottie Tease</t>
  </si>
  <si>
    <t>Lou Pyper</t>
  </si>
  <si>
    <t>Louis Keal</t>
  </si>
  <si>
    <t>Louisa Main</t>
  </si>
  <si>
    <t>Lowrance O' Mullan</t>
  </si>
  <si>
    <t>Luce Attoe</t>
  </si>
  <si>
    <t>Luciano Brazur</t>
  </si>
  <si>
    <t>Lucias McCreery</t>
  </si>
  <si>
    <t>Lurline Kupper</t>
  </si>
  <si>
    <t>Luther Escolme</t>
  </si>
  <si>
    <t>Madalyn Wayne</t>
  </si>
  <si>
    <t>Maddie Martinec</t>
  </si>
  <si>
    <t>Madge Simoneton</t>
  </si>
  <si>
    <t>Madlin Klasen</t>
  </si>
  <si>
    <t>Magdaia Burch</t>
  </si>
  <si>
    <t>Magdalena Jancar</t>
  </si>
  <si>
    <t>Maximo Clemits</t>
  </si>
  <si>
    <t>Maia Olesen</t>
  </si>
  <si>
    <t>Maisie Hagerty</t>
  </si>
  <si>
    <t>Manda Vearncombe</t>
  </si>
  <si>
    <t>Mara Pressland</t>
  </si>
  <si>
    <t>Marc Keenor</t>
  </si>
  <si>
    <t>Margo Leger</t>
  </si>
  <si>
    <t>Margret Fessions</t>
  </si>
  <si>
    <t>Margy Treend</t>
  </si>
  <si>
    <t>Marietta Gladdish</t>
  </si>
  <si>
    <t>Marj Grimme</t>
  </si>
  <si>
    <t>Marj Oldershaw</t>
  </si>
  <si>
    <t>Marley Canero</t>
  </si>
  <si>
    <t>Marnie Dunn</t>
  </si>
  <si>
    <t>Martguerita Dine-Hart</t>
  </si>
  <si>
    <t>Martguerita Vidineev</t>
  </si>
  <si>
    <t>Martha Dight</t>
  </si>
  <si>
    <t>Marylynne Drain</t>
  </si>
  <si>
    <t>Massimo Pechard</t>
  </si>
  <si>
    <t>Mathe Saich</t>
  </si>
  <si>
    <t>Matthias Dinesen</t>
  </si>
  <si>
    <t>Maud Goering</t>
  </si>
  <si>
    <t>Mavis Tremmil</t>
  </si>
  <si>
    <t>Maynard Rudyard</t>
  </si>
  <si>
    <t>Mead Golsthorp</t>
  </si>
  <si>
    <t>Melanie Reisin</t>
  </si>
  <si>
    <t>Melba Barstock</t>
  </si>
  <si>
    <t>Melinda Purser</t>
  </si>
  <si>
    <t>Melli Matteris</t>
  </si>
  <si>
    <t>Mellie Lazonby</t>
  </si>
  <si>
    <t>Melody Grimmett</t>
  </si>
  <si>
    <t>Mendy Royan</t>
  </si>
  <si>
    <t>Mercy Caulier</t>
  </si>
  <si>
    <t>Mercy Skylett</t>
  </si>
  <si>
    <t>Merola Esilmon</t>
  </si>
  <si>
    <t>Merrill Pentercost</t>
  </si>
  <si>
    <t>Mersey Wannes</t>
  </si>
  <si>
    <t>Mic Belton</t>
  </si>
  <si>
    <t>Michaela Whitman</t>
  </si>
  <si>
    <t>Michal Gross</t>
  </si>
  <si>
    <t>Micheal Cuseck</t>
  </si>
  <si>
    <t>Michel Barfitt</t>
  </si>
  <si>
    <t>Michel McGucken</t>
  </si>
  <si>
    <t>Michele Ivanusyev</t>
  </si>
  <si>
    <t>Michele McFater</t>
  </si>
  <si>
    <t>Mickie Spaldin</t>
  </si>
  <si>
    <t>Miguel Mulhall</t>
  </si>
  <si>
    <t>Mikol Teasdale-Markie</t>
  </si>
  <si>
    <t>Milli Cass</t>
  </si>
  <si>
    <t>Millisent Pipworth</t>
  </si>
  <si>
    <t>Milty Dunstan</t>
  </si>
  <si>
    <t>Miner Metherell</t>
  </si>
  <si>
    <t>Minetta Keets</t>
  </si>
  <si>
    <t>Minnie Ebdon</t>
  </si>
  <si>
    <t>Mira Shoulder</t>
  </si>
  <si>
    <t>Mirabelle Caulwell</t>
  </si>
  <si>
    <t>Misti Dominighi</t>
  </si>
  <si>
    <t>Misti Figg</t>
  </si>
  <si>
    <t>Moira Prisk</t>
  </si>
  <si>
    <t>Moll Hucknall</t>
  </si>
  <si>
    <t>Morgan Smith</t>
  </si>
  <si>
    <t>Moss Ogbourne</t>
  </si>
  <si>
    <t>Myrilla Mowson</t>
  </si>
  <si>
    <t>Myrwyn Mashro</t>
  </si>
  <si>
    <t>Nadya Grey</t>
  </si>
  <si>
    <t>Nana Semmens</t>
  </si>
  <si>
    <t>Nancey Segot</t>
  </si>
  <si>
    <t>Nani Frankiss</t>
  </si>
  <si>
    <t>Nani Tuplin</t>
  </si>
  <si>
    <t>Nanny Trask</t>
  </si>
  <si>
    <t>Naoma Ecclestone</t>
  </si>
  <si>
    <t>Nappie Boutcher</t>
  </si>
  <si>
    <t>Nealy Aguirrezabala</t>
  </si>
  <si>
    <t>Neddy Asquez</t>
  </si>
  <si>
    <t>Nelly Gandar</t>
  </si>
  <si>
    <t>Nerta Bocking</t>
  </si>
  <si>
    <t>Nerta Sprowell</t>
  </si>
  <si>
    <t>Nertie Hugueville</t>
  </si>
  <si>
    <t>Nettle Ion</t>
  </si>
  <si>
    <t>Nevsa Maryin</t>
  </si>
  <si>
    <t>Nial M'cowis</t>
  </si>
  <si>
    <t>Niall Joskowitz</t>
  </si>
  <si>
    <t>Nicko Duerden</t>
  </si>
  <si>
    <t>Nicky Hegge</t>
  </si>
  <si>
    <t>Nicol Glencrash</t>
  </si>
  <si>
    <t>Nicolai Saxelby</t>
  </si>
  <si>
    <t>Nicolais Ferroli</t>
  </si>
  <si>
    <t>Nicolas Bussey</t>
  </si>
  <si>
    <t>Nicolis Craine</t>
  </si>
  <si>
    <t>Nikki Durtnel</t>
  </si>
  <si>
    <t>Nikolaus Tetsall</t>
  </si>
  <si>
    <t>Noellyn Greger</t>
  </si>
  <si>
    <t>Noellyn Vaudin</t>
  </si>
  <si>
    <t>Northrop Domini</t>
  </si>
  <si>
    <t>Nowell Bryden</t>
  </si>
  <si>
    <t>Nye MacRirie</t>
  </si>
  <si>
    <t>Octavius Lobe</t>
  </si>
  <si>
    <t>Odella Clemmett</t>
  </si>
  <si>
    <t>Ody Fronzek</t>
  </si>
  <si>
    <t>Olivero Surgener</t>
  </si>
  <si>
    <t>Oliy Thomasson</t>
  </si>
  <si>
    <t>Opaline Settle</t>
  </si>
  <si>
    <t>Orbadiah Rowat</t>
  </si>
  <si>
    <t>Orland Yegorkov</t>
  </si>
  <si>
    <t>Orlando Bouch</t>
  </si>
  <si>
    <t>Orville Rankine</t>
  </si>
  <si>
    <t>Osbourn Burdell</t>
  </si>
  <si>
    <t>Otis Bidewel</t>
  </si>
  <si>
    <t>Owen Ping</t>
  </si>
  <si>
    <t>Pace McCobb</t>
  </si>
  <si>
    <t>Paddy Forton</t>
  </si>
  <si>
    <t>Pam Maling</t>
  </si>
  <si>
    <t>Pamelina Harbottle</t>
  </si>
  <si>
    <t>Pammi Tilbury</t>
  </si>
  <si>
    <t>Pandora Botham</t>
  </si>
  <si>
    <t>Pascale Rollinson</t>
  </si>
  <si>
    <t>Paton Bosnell</t>
  </si>
  <si>
    <t>Patrica Bore</t>
  </si>
  <si>
    <t>Patsy Barbrick</t>
  </si>
  <si>
    <t>Paula Soltan</t>
  </si>
  <si>
    <t>Paulette Ledstone</t>
  </si>
  <si>
    <t>Paulina Oleszczak</t>
  </si>
  <si>
    <t>Paulita Tuddenham</t>
  </si>
  <si>
    <t>Pauly Vannuccinii</t>
  </si>
  <si>
    <t>Payton Langran</t>
  </si>
  <si>
    <t>Pearla Spellicy</t>
  </si>
  <si>
    <t>Pen Heineking</t>
  </si>
  <si>
    <t>Penelopa Loosely</t>
  </si>
  <si>
    <t>Pepita Tuppeny</t>
  </si>
  <si>
    <t>Perri Galloway</t>
  </si>
  <si>
    <t>Petrina Moscone</t>
  </si>
  <si>
    <t>Petunia Swinbourne</t>
  </si>
  <si>
    <t>Phebe Narbett</t>
  </si>
  <si>
    <t>Philis Tollett</t>
  </si>
  <si>
    <t>Piper MacGiolla</t>
  </si>
  <si>
    <t>Pren Kybbye</t>
  </si>
  <si>
    <t>Prescott Oakenfall</t>
  </si>
  <si>
    <t>Prinz Redholls</t>
  </si>
  <si>
    <t>Purcell Gilogly</t>
  </si>
  <si>
    <t>Rafaellle Largen</t>
  </si>
  <si>
    <t>Ragnar Palumbo</t>
  </si>
  <si>
    <t>Rahal Besnard</t>
  </si>
  <si>
    <t>Rakel Ogley</t>
  </si>
  <si>
    <t>Ramsay Caplen</t>
  </si>
  <si>
    <t>Rance Maywood</t>
  </si>
  <si>
    <t>Rance Persey</t>
  </si>
  <si>
    <t>Rania Tumilson</t>
  </si>
  <si>
    <t>Raul Angel</t>
  </si>
  <si>
    <t>Raymond Woodburne</t>
  </si>
  <si>
    <t>Redford Sherr</t>
  </si>
  <si>
    <t>Reed Glasscock</t>
  </si>
  <si>
    <t>Reeva Jamson</t>
  </si>
  <si>
    <t>Rena Robens</t>
  </si>
  <si>
    <t>Renae Cabedo</t>
  </si>
  <si>
    <t>Renard Brodley</t>
  </si>
  <si>
    <t>Renaud Chalder</t>
  </si>
  <si>
    <t>Renee Gypps</t>
  </si>
  <si>
    <t>Rhodie Bridewell</t>
  </si>
  <si>
    <t>Ricki Issakov</t>
  </si>
  <si>
    <t>Ricoriki Thompson</t>
  </si>
  <si>
    <t>Rivalee Souter</t>
  </si>
  <si>
    <t>Roanna Neighbour</t>
  </si>
  <si>
    <t>Robb Huonic</t>
  </si>
  <si>
    <t>Robbi Maudling</t>
  </si>
  <si>
    <t>Robers Martinon</t>
  </si>
  <si>
    <t>Robyn Finlator</t>
  </si>
  <si>
    <t>Rochella Ponting</t>
  </si>
  <si>
    <t>Rochella Sammonds</t>
  </si>
  <si>
    <t>Rodd Strippling</t>
  </si>
  <si>
    <t>Roddie Marchment</t>
  </si>
  <si>
    <t>Roddy Esh</t>
  </si>
  <si>
    <t>Rodina Meaden</t>
  </si>
  <si>
    <t>Roxanna Lynam</t>
  </si>
  <si>
    <t>Rolando Ahlin</t>
  </si>
  <si>
    <t>Romain Pountney</t>
  </si>
  <si>
    <t>Roman Cunnah</t>
  </si>
  <si>
    <t>Roman Deval</t>
  </si>
  <si>
    <t>Romy Grieger</t>
  </si>
  <si>
    <t>Ronni Cleveley</t>
  </si>
  <si>
    <t>Ronny Gatsby</t>
  </si>
  <si>
    <t>Roobbie Ramm</t>
  </si>
  <si>
    <t>Rory Rodson</t>
  </si>
  <si>
    <t>Rosaleen Frackiewicz</t>
  </si>
  <si>
    <t>Rosalinda Muldownie</t>
  </si>
  <si>
    <t>Rosamund Dumberrill</t>
  </si>
  <si>
    <t>Rosamund Harnell</t>
  </si>
  <si>
    <t>Roshelle Kondrachenko</t>
  </si>
  <si>
    <t>Rosy Mongeot</t>
  </si>
  <si>
    <t>Rouvin Geffe</t>
  </si>
  <si>
    <t>Rouvin Kift</t>
  </si>
  <si>
    <t>Royall Bricknall</t>
  </si>
  <si>
    <t>Royce Tweedy</t>
  </si>
  <si>
    <t>Royce Wrangle</t>
  </si>
  <si>
    <t>Rozalie Verchambre</t>
  </si>
  <si>
    <t>Rudolph Ramalho</t>
  </si>
  <si>
    <t>Rudy Le feuvre</t>
  </si>
  <si>
    <t>Rurik Bengal</t>
  </si>
  <si>
    <t>Russ Halson</t>
  </si>
  <si>
    <t>Rutherford Messenger</t>
  </si>
  <si>
    <t>Rycca Truswell</t>
  </si>
  <si>
    <t>Sallie Hallgath</t>
  </si>
  <si>
    <t>Sallyann Laydon</t>
  </si>
  <si>
    <t>Sandye Hixson</t>
  </si>
  <si>
    <t>Sapphira Pessold</t>
  </si>
  <si>
    <t>Sascha Pittock</t>
  </si>
  <si>
    <t>Saudra Leggs</t>
  </si>
  <si>
    <t>Scotty Tume</t>
  </si>
  <si>
    <t>Seamus Screen</t>
  </si>
  <si>
    <t>See Blaisdale</t>
  </si>
  <si>
    <t>Seline De Brett</t>
  </si>
  <si>
    <t>Shalom Noad</t>
  </si>
  <si>
    <t>Shara Norcliffe</t>
  </si>
  <si>
    <t>Sharity Hawksby</t>
  </si>
  <si>
    <t>Shauna Antonietti</t>
  </si>
  <si>
    <t>Shawn Samuel</t>
  </si>
  <si>
    <t>Shay McKeurton</t>
  </si>
  <si>
    <t>Shayna Mohamed</t>
  </si>
  <si>
    <t>Shelley Bradford</t>
  </si>
  <si>
    <t>Sherlocke McBean</t>
  </si>
  <si>
    <t>Shermie Sandys</t>
  </si>
  <si>
    <t>Sib Benyan</t>
  </si>
  <si>
    <t>Sidney Leither</t>
  </si>
  <si>
    <t>Sigismondo Budnk</t>
  </si>
  <si>
    <t>Sigismund Berrycloth</t>
  </si>
  <si>
    <t>Sigmund Moncaster</t>
  </si>
  <si>
    <t>Silvain Jeannard</t>
  </si>
  <si>
    <t>Simonette Farguhar</t>
  </si>
  <si>
    <t>Simonette Hanmer</t>
  </si>
  <si>
    <t>Skippie Dickin</t>
  </si>
  <si>
    <t>Skippy Archanbault</t>
  </si>
  <si>
    <t>Sky Wais</t>
  </si>
  <si>
    <t>Sloane Alekhov</t>
  </si>
  <si>
    <t>Smitty McIlraith</t>
  </si>
  <si>
    <t>Sonny Isham</t>
  </si>
  <si>
    <t>Sonya Linklater</t>
  </si>
  <si>
    <t>Sophi Bernadon</t>
  </si>
  <si>
    <t>Spike Buxam</t>
  </si>
  <si>
    <t>Standford Boorer</t>
  </si>
  <si>
    <t>Stanislas Lampard</t>
  </si>
  <si>
    <t>Stephen Petris</t>
  </si>
  <si>
    <t>Stephenie Retter</t>
  </si>
  <si>
    <t>Stern Petruszka</t>
  </si>
  <si>
    <t>Stoddard Hannan</t>
  </si>
  <si>
    <t>Stormi Liverock</t>
  </si>
  <si>
    <t>Stu Wetherby</t>
  </si>
  <si>
    <t>Susanne Annwyl</t>
  </si>
  <si>
    <t>Sutherland Glazyer</t>
  </si>
  <si>
    <t>Sybil Tribbeck</t>
  </si>
  <si>
    <t>Sybilla Minchell</t>
  </si>
  <si>
    <t>Sybille Milner</t>
  </si>
  <si>
    <t>Sybyl Bacher</t>
  </si>
  <si>
    <t>Sylas Durand</t>
  </si>
  <si>
    <t>Tabbie Rackley</t>
  </si>
  <si>
    <t>Tabbie Tolossi</t>
  </si>
  <si>
    <t>Tabby Mangeon</t>
  </si>
  <si>
    <t>Tallie Copnall</t>
  </si>
  <si>
    <t>Tallulah Alekseev</t>
  </si>
  <si>
    <t>Tamiko McNuff</t>
  </si>
  <si>
    <t>Tammi Wibberley</t>
  </si>
  <si>
    <t>Tan Beevers</t>
  </si>
  <si>
    <t>Tania Tosdevin</t>
  </si>
  <si>
    <t>Tedda Minto</t>
  </si>
  <si>
    <t>Templeton Davies</t>
  </si>
  <si>
    <t>Terencio Damsell</t>
  </si>
  <si>
    <t>Teresina Jerzycowski</t>
  </si>
  <si>
    <t>Terri Romeuf</t>
  </si>
  <si>
    <t>Thacher Huxley</t>
  </si>
  <si>
    <t>Thaxter Eagleston</t>
  </si>
  <si>
    <t>Thaxter Mompesson</t>
  </si>
  <si>
    <t>Thane Tall</t>
  </si>
  <si>
    <t>Thatch Simonich</t>
  </si>
  <si>
    <t>Thebault Moakler</t>
  </si>
  <si>
    <t>Theda Aronsohn</t>
  </si>
  <si>
    <t>Thedric Mewrcik</t>
  </si>
  <si>
    <t>Theobald Hathaway</t>
  </si>
  <si>
    <t>Therese Dooley</t>
  </si>
  <si>
    <t>Therine Remer</t>
  </si>
  <si>
    <t>Thomas Santello</t>
  </si>
  <si>
    <t>Thomasin Bulley</t>
  </si>
  <si>
    <t>Thorpe Matiebe</t>
  </si>
  <si>
    <t>Thorvald Whelband</t>
  </si>
  <si>
    <t>Tierney Bracci</t>
  </si>
  <si>
    <t>Tiffani Pagin</t>
  </si>
  <si>
    <t>Tiffani Sebring</t>
  </si>
  <si>
    <t>Tiffie Kelle</t>
  </si>
  <si>
    <t>Timi Levings</t>
  </si>
  <si>
    <t>Timmie Holdron</t>
  </si>
  <si>
    <t>Timothee Piercy</t>
  </si>
  <si>
    <t>Tobias Leap</t>
  </si>
  <si>
    <t>Toby Mockett</t>
  </si>
  <si>
    <t>Tomas Goodley</t>
  </si>
  <si>
    <t>Tori Sparway</t>
  </si>
  <si>
    <t>Travers Meatyard</t>
  </si>
  <si>
    <t>Trenton Onions</t>
  </si>
  <si>
    <t>Tris Burmaster</t>
  </si>
  <si>
    <t>Tris Van Rembrandt</t>
  </si>
  <si>
    <t>Tristam Lafrentz</t>
  </si>
  <si>
    <t>Truda Stroband</t>
  </si>
  <si>
    <t>Trumaine Knappett</t>
  </si>
  <si>
    <t>Tucky Glowacki</t>
  </si>
  <si>
    <t>Ty Duckham</t>
  </si>
  <si>
    <t>Tynan Crossfeld</t>
  </si>
  <si>
    <t>Udell Lewsam</t>
  </si>
  <si>
    <t>Ulrick Coppledike</t>
  </si>
  <si>
    <t>Uriel Moyce</t>
  </si>
  <si>
    <t>Ursuline Fitzjohn</t>
  </si>
  <si>
    <t>Valida Frotton</t>
  </si>
  <si>
    <t>Vanda Pirnie</t>
  </si>
  <si>
    <t>Vanessa Wind</t>
  </si>
  <si>
    <t>Vanya Abels</t>
  </si>
  <si>
    <t>Veda Culwen</t>
  </si>
  <si>
    <t>Verile Hemphill</t>
  </si>
  <si>
    <t>Verney Angus</t>
  </si>
  <si>
    <t>Vilma Hearnah</t>
  </si>
  <si>
    <t>Violette Tait</t>
  </si>
  <si>
    <t>Vivi Swann</t>
  </si>
  <si>
    <t>Vivyan Myhan</t>
  </si>
  <si>
    <t>Wadsworth Hast</t>
  </si>
  <si>
    <t>Waite Corah</t>
  </si>
  <si>
    <t>Wallas Harcarse</t>
  </si>
  <si>
    <t>Walton Evert</t>
  </si>
  <si>
    <t>Wang Heephy</t>
  </si>
  <si>
    <t>Wells Felmingham</t>
  </si>
  <si>
    <t>Wendeline Batiste</t>
  </si>
  <si>
    <t>Wendye Adger</t>
  </si>
  <si>
    <t>Westbrooke Samsin</t>
  </si>
  <si>
    <t>Wiley McTeague</t>
  </si>
  <si>
    <t>Willdon McGinney</t>
  </si>
  <si>
    <t>Willette Goldberg</t>
  </si>
  <si>
    <t>Willey Sherbrook</t>
  </si>
  <si>
    <t>Willie Milington</t>
  </si>
  <si>
    <t>Willis Adcocks</t>
  </si>
  <si>
    <t>Willy Schwandt</t>
  </si>
  <si>
    <t>Wilt Stryde</t>
  </si>
  <si>
    <t>Wolf Pietroni</t>
  </si>
  <si>
    <t>Woodrow Hadgkiss</t>
  </si>
  <si>
    <t>Woody Bateson</t>
  </si>
  <si>
    <t>Worthington Keeping</t>
  </si>
  <si>
    <t>Wrennie Duffyn</t>
  </si>
  <si>
    <t>Wyn Scutchin</t>
  </si>
  <si>
    <t>Yale Yoakley</t>
  </si>
  <si>
    <t>Yelena Boullin</t>
  </si>
  <si>
    <t>Yolande Pitkaithly</t>
  </si>
  <si>
    <t>Zacharia Binton</t>
  </si>
  <si>
    <t>Zacharia Martusewicz</t>
  </si>
  <si>
    <t>Zahara Lawie</t>
  </si>
  <si>
    <t>Zahara Sedgman</t>
  </si>
  <si>
    <t>Zenia Ruecastle</t>
  </si>
  <si>
    <t>full_name</t>
  </si>
  <si>
    <t>campaign_name</t>
  </si>
  <si>
    <t>Max of join_date</t>
  </si>
  <si>
    <t>Average of Qiymet</t>
  </si>
  <si>
    <t>Ad</t>
  </si>
  <si>
    <t>Müştəri adı</t>
  </si>
  <si>
    <t>Son kampaniya</t>
  </si>
  <si>
    <t>Son kampaniya qiyməti</t>
  </si>
  <si>
    <t>Ən baha qiymət</t>
  </si>
  <si>
    <t>Nəticə</t>
  </si>
  <si>
    <t>Ən baha kompaniya</t>
  </si>
  <si>
    <t>Ortalama Geridonus</t>
  </si>
  <si>
    <t>Geridonus faizi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</si>
</sst>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 [$₼-42C]_-;\-* #,##0\ [$₼-42C]_-;_-* &quot;-&quot;??\ [$₼-42C]_-;_-@_-"/>
    <numFmt numFmtId="165" formatCode="#,##0\ &quot;₼&quot;"/>
  </numFmts>
  <fonts count="6" x14ac:knownFonts="1">
    <font>
      <sz val="11"/>
      <color theme="1"/>
      <name val="Aptos Narrow"/>
      <family val="2"/>
      <charset val="186"/>
      <scheme val="minor"/>
    </font>
    <font>
      <sz val="11"/>
      <color theme="1"/>
      <name val="Aptos Narrow"/>
      <family val="2"/>
      <charset val="186"/>
      <scheme val="minor"/>
    </font>
    <font>
      <sz val="12"/>
      <color theme="1"/>
      <name val="Aptos Narrow"/>
      <family val="2"/>
      <charset val="186"/>
      <scheme val="minor"/>
    </font>
    <font>
      <sz val="14"/>
      <color theme="1"/>
      <name val="Aptos Narrow"/>
      <family val="2"/>
      <charset val="186"/>
      <scheme val="minor"/>
    </font>
    <font>
      <sz val="9"/>
      <color indexed="81"/>
      <name val="Tahoma"/>
      <family val="2"/>
    </font>
    <font>
      <b/>
      <sz val="9"/>
      <color indexed="81"/>
      <name val="Tahoma"/>
      <family val="2"/>
    </font>
  </fonts>
  <fills count="5">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3" tint="0.89999084444715716"/>
        <bgColor indexed="64"/>
      </patternFill>
    </fill>
  </fills>
  <borders count="4">
    <border>
      <left/>
      <right/>
      <top/>
      <bottom/>
      <diagonal/>
    </border>
    <border>
      <left/>
      <right/>
      <top style="thin">
        <color theme="4" tint="0.79998168889431442"/>
      </top>
      <bottom style="thin">
        <color theme="4" tint="0.79998168889431442"/>
      </bottom>
      <diagonal/>
    </border>
    <border>
      <left/>
      <right/>
      <top style="thin">
        <color theme="4" tint="0.79998168889431442"/>
      </top>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horizontal="right"/>
    </xf>
    <xf numFmtId="0" fontId="0" fillId="0" borderId="0" xfId="0" applyAlignment="1">
      <alignment horizontal="center" vertical="center"/>
    </xf>
    <xf numFmtId="0" fontId="0" fillId="2" borderId="0" xfId="0" applyFill="1" applyAlignment="1">
      <alignment horizontal="center" vertical="center"/>
    </xf>
    <xf numFmtId="0" fontId="0" fillId="0" borderId="1" xfId="0" applyBorder="1" applyAlignment="1">
      <alignment horizontal="left"/>
    </xf>
    <xf numFmtId="0" fontId="0" fillId="0" borderId="2" xfId="0" applyBorder="1" applyAlignment="1">
      <alignment horizontal="left"/>
    </xf>
    <xf numFmtId="164" fontId="0" fillId="0" borderId="0" xfId="0" applyNumberFormat="1" applyAlignment="1">
      <alignment horizontal="center" vertical="center"/>
    </xf>
    <xf numFmtId="9" fontId="0" fillId="0" borderId="0" xfId="0" applyNumberFormat="1" applyAlignment="1">
      <alignment horizontal="center"/>
    </xf>
    <xf numFmtId="9" fontId="0" fillId="0" borderId="0" xfId="0" applyNumberFormat="1"/>
    <xf numFmtId="9" fontId="0" fillId="0" borderId="0" xfId="1" applyFont="1"/>
    <xf numFmtId="0" fontId="3" fillId="0" borderId="0" xfId="0" applyFont="1"/>
    <xf numFmtId="9" fontId="3" fillId="0" borderId="0" xfId="0" applyNumberFormat="1" applyFont="1" applyAlignment="1">
      <alignment horizontal="center"/>
    </xf>
    <xf numFmtId="1" fontId="3" fillId="3" borderId="0" xfId="0" applyNumberFormat="1" applyFont="1" applyFill="1" applyAlignment="1">
      <alignment horizontal="center" vertical="center"/>
    </xf>
    <xf numFmtId="9" fontId="3" fillId="3" borderId="0" xfId="0" applyNumberFormat="1" applyFont="1" applyFill="1"/>
    <xf numFmtId="0" fontId="0" fillId="4" borderId="0" xfId="0" applyFill="1"/>
    <xf numFmtId="22" fontId="0" fillId="0" borderId="0" xfId="0" applyNumberFormat="1"/>
    <xf numFmtId="0" fontId="2" fillId="4" borderId="3" xfId="0" applyFont="1" applyFill="1" applyBorder="1"/>
    <xf numFmtId="0" fontId="2" fillId="4" borderId="3" xfId="0" applyFont="1" applyFill="1" applyBorder="1" applyAlignment="1">
      <alignment horizontal="left"/>
    </xf>
    <xf numFmtId="10" fontId="2" fillId="4" borderId="3" xfId="0" applyNumberFormat="1" applyFont="1" applyFill="1" applyBorder="1"/>
    <xf numFmtId="165" fontId="0" fillId="0" borderId="0" xfId="0" applyNumberFormat="1" applyAlignment="1">
      <alignment horizontal="center"/>
    </xf>
    <xf numFmtId="0" fontId="3" fillId="0" borderId="0" xfId="0" applyFont="1" applyAlignment="1">
      <alignment horizontal="center"/>
    </xf>
  </cellXfs>
  <cellStyles count="2">
    <cellStyle name="Normal" xfId="0" builtinId="0"/>
    <cellStyle name="Percent" xfId="1" builtinId="5"/>
  </cellStyles>
  <dxfs count="56">
    <dxf>
      <fill>
        <patternFill>
          <bgColor rgb="FFFFFF00"/>
        </patternFill>
      </fill>
    </dxf>
    <dxf>
      <fill>
        <patternFill>
          <bgColor rgb="FFFFFF00"/>
        </patternFill>
      </fill>
      <border>
        <left style="thin">
          <color auto="1"/>
        </left>
        <right style="thin">
          <color auto="1"/>
        </right>
        <top style="thin">
          <color auto="1"/>
        </top>
        <bottom style="thin">
          <color auto="1"/>
        </bottom>
        <vertical/>
        <horizontal/>
      </border>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ont>
        <strike val="0"/>
        <outline val="0"/>
        <shadow val="0"/>
        <u val="none"/>
        <vertAlign val="baseline"/>
        <sz val="14"/>
        <color theme="1"/>
        <name val="Aptos Narrow"/>
        <family val="2"/>
        <charset val="186"/>
        <scheme val="minor"/>
      </font>
      <numFmt numFmtId="13" formatCode="0%"/>
      <alignment horizontal="center" vertical="bottom" textRotation="0" wrapText="0" indent="0" justifyLastLine="0" shrinkToFit="0" readingOrder="0"/>
    </dxf>
    <dxf>
      <font>
        <strike val="0"/>
        <outline val="0"/>
        <shadow val="0"/>
        <u val="none"/>
        <vertAlign val="baseline"/>
        <sz val="14"/>
        <color theme="1"/>
        <name val="Aptos Narrow"/>
        <family val="2"/>
        <charset val="186"/>
        <scheme val="minor"/>
      </font>
    </dxf>
    <dxf>
      <font>
        <strike val="0"/>
        <outline val="0"/>
        <shadow val="0"/>
        <u val="none"/>
        <vertAlign val="baseline"/>
        <sz val="14"/>
        <color theme="1"/>
        <name val="Aptos Narrow"/>
        <family val="2"/>
        <charset val="186"/>
        <scheme val="minor"/>
      </font>
    </dxf>
    <dxf>
      <font>
        <strike val="0"/>
        <outline val="0"/>
        <shadow val="0"/>
        <u val="none"/>
        <vertAlign val="baseline"/>
        <sz val="14"/>
        <color theme="1"/>
        <name val="Aptos Narrow"/>
        <family val="2"/>
        <charset val="186"/>
        <scheme val="minor"/>
      </font>
    </dxf>
    <dxf>
      <font>
        <strike val="0"/>
        <outline val="0"/>
        <shadow val="0"/>
        <u val="none"/>
        <vertAlign val="baseline"/>
        <sz val="14"/>
        <color theme="1"/>
        <name val="Aptos Narrow"/>
        <family val="2"/>
        <charset val="186"/>
        <scheme val="minor"/>
      </font>
    </dxf>
    <dxf>
      <font>
        <strike val="0"/>
        <outline val="0"/>
        <shadow val="0"/>
        <u val="none"/>
        <vertAlign val="baseline"/>
        <sz val="14"/>
        <color theme="1"/>
        <name val="Aptos Narrow"/>
        <family val="2"/>
        <charset val="186"/>
        <scheme val="minor"/>
      </font>
    </dxf>
    <dxf>
      <font>
        <strike val="0"/>
        <outline val="0"/>
        <shadow val="0"/>
        <u val="none"/>
        <vertAlign val="baseline"/>
        <sz val="14"/>
        <color theme="1"/>
        <name val="Aptos Narrow"/>
        <family val="2"/>
        <charset val="186"/>
        <scheme val="minor"/>
      </font>
    </dxf>
    <dxf>
      <font>
        <strike val="0"/>
        <outline val="0"/>
        <shadow val="0"/>
        <u val="none"/>
        <vertAlign val="baseline"/>
        <sz val="14"/>
        <color theme="1"/>
        <name val="Aptos Narrow"/>
        <family val="2"/>
        <charset val="186"/>
        <scheme val="minor"/>
      </font>
    </dxf>
    <dxf>
      <font>
        <strike val="0"/>
        <outline val="0"/>
        <shadow val="0"/>
        <u val="none"/>
        <vertAlign val="baseline"/>
        <sz val="14"/>
        <color theme="1"/>
        <name val="Aptos Narrow"/>
        <family val="2"/>
        <charset val="186"/>
        <scheme val="minor"/>
      </font>
    </dxf>
    <dxf>
      <alignment vertical="center"/>
    </dxf>
    <dxf>
      <alignment vertical="center"/>
    </dxf>
    <dxf>
      <alignment horizontal="center"/>
    </dxf>
    <dxf>
      <alignment horizontal="center"/>
    </dxf>
    <dxf>
      <alignment horizontal="center"/>
    </dxf>
    <dxf>
      <alignment vertical="center"/>
    </dxf>
    <dxf>
      <alignment horizontal="center" indent="0"/>
    </dxf>
    <dxf>
      <alignment horizontal="center" indent="0"/>
    </dxf>
    <dxf>
      <alignment horizontal="center"/>
    </dxf>
    <dxf>
      <numFmt numFmtId="13" formatCode="0%"/>
    </dxf>
    <dxf>
      <numFmt numFmtId="14" formatCode="0.00%"/>
    </dxf>
    <dxf>
      <alignment horizontal="right"/>
    </dxf>
    <dxf>
      <alignment horizontal="right"/>
    </dxf>
    <dxf>
      <alignment horizontal="center" indent="0"/>
    </dxf>
    <dxf>
      <alignment horizontal="center" indent="0"/>
    </dxf>
    <dxf>
      <alignment horizontal="center"/>
    </dxf>
    <dxf>
      <alignment vertical="center"/>
    </dxf>
    <dxf>
      <alignment vertical="center"/>
    </dxf>
    <dxf>
      <alignment horizontal="center"/>
    </dxf>
    <dxf>
      <alignment horizontal="center"/>
    </dxf>
    <dxf>
      <alignment horizontal="center"/>
    </dxf>
    <dxf>
      <alignment vertical="center"/>
    </dxf>
    <dxf>
      <alignment horizontal="center" indent="0"/>
    </dxf>
    <dxf>
      <alignment horizontal="center" indent="0"/>
    </dxf>
    <dxf>
      <alignment horizontal="center"/>
    </dxf>
    <dxf>
      <numFmt numFmtId="0" formatCode="General"/>
      <alignment horizontal="center" vertical="bottom" textRotation="0" wrapText="0" indent="0" justifyLastLine="0" shrinkToFit="0" readingOrder="0"/>
    </dxf>
    <dxf>
      <numFmt numFmtId="165" formatCode="#,##0\ &quot;₼&quot;"/>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0\ &quot;₼&quot;"/>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5.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[TelekomProject.xlsx]Pareto!PivotTable5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Pareto Diagram</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Pareto!$B$1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Pareto!$A$2:$A$18</c:f>
              <c:strCache>
                <c:ptCount val="17"/>
                <c:pt idx="0">
                  <c:v>cam10</c:v>
                </c:pt>
                <c:pt idx="1">
                  <c:v>cam09</c:v>
                </c:pt>
                <c:pt idx="2">
                  <c:v>cam12</c:v>
                </c:pt>
                <c:pt idx="3">
                  <c:v>cam11</c:v>
                </c:pt>
                <c:pt idx="4">
                  <c:v>cam03</c:v>
                </c:pt>
                <c:pt idx="5">
                  <c:v>cam14</c:v>
                </c:pt>
                <c:pt idx="6">
                  <c:v>cam13</c:v>
                </c:pt>
                <c:pt idx="7">
                  <c:v>cam05</c:v>
                </c:pt>
                <c:pt idx="8">
                  <c:v>cam02</c:v>
                </c:pt>
                <c:pt idx="9">
                  <c:v>cam17</c:v>
                </c:pt>
                <c:pt idx="10">
                  <c:v>cam04</c:v>
                </c:pt>
                <c:pt idx="11">
                  <c:v>cam07</c:v>
                </c:pt>
                <c:pt idx="12">
                  <c:v>cam08</c:v>
                </c:pt>
                <c:pt idx="13">
                  <c:v>cam16</c:v>
                </c:pt>
                <c:pt idx="14">
                  <c:v>cam15</c:v>
                </c:pt>
                <c:pt idx="15">
                  <c:v>cam06</c:v>
                </c:pt>
                <c:pt idx="16">
                  <c:v>cam01</c:v>
                </c:pt>
              </c:strCache>
            </c:strRef>
          </c:cat>
          <c:val>
            <c:numRef>
              <c:f>Pareto!$B$2:$B$18</c:f>
              <c:numCache>
                <c:formatCode>General</c:formatCode>
                <c:ptCount val="17"/>
                <c:pt idx="0">
                  <c:v>65010</c:v>
                </c:pt>
                <c:pt idx="1">
                  <c:v>60825</c:v>
                </c:pt>
                <c:pt idx="2">
                  <c:v>57980</c:v>
                </c:pt>
                <c:pt idx="3">
                  <c:v>56606</c:v>
                </c:pt>
                <c:pt idx="4">
                  <c:v>55738</c:v>
                </c:pt>
                <c:pt idx="5">
                  <c:v>26908</c:v>
                </c:pt>
                <c:pt idx="6">
                  <c:v>23350</c:v>
                </c:pt>
                <c:pt idx="7">
                  <c:v>22352</c:v>
                </c:pt>
                <c:pt idx="8">
                  <c:v>20852</c:v>
                </c:pt>
                <c:pt idx="9">
                  <c:v>20503</c:v>
                </c:pt>
                <c:pt idx="10">
                  <c:v>20254</c:v>
                </c:pt>
                <c:pt idx="11">
                  <c:v>18925</c:v>
                </c:pt>
                <c:pt idx="12">
                  <c:v>18630</c:v>
                </c:pt>
                <c:pt idx="13">
                  <c:v>15152</c:v>
                </c:pt>
                <c:pt idx="14">
                  <c:v>11928</c:v>
                </c:pt>
                <c:pt idx="15">
                  <c:v>11401</c:v>
                </c:pt>
                <c:pt idx="16">
                  <c:v>6700</c:v>
                </c:pt>
              </c:numCache>
            </c:numRef>
          </c:val>
          <c:extLst>
            <c:ext xmlns:c16="http://schemas.microsoft.com/office/drawing/2014/chart" uri="{C3380CC4-5D6E-409C-BE32-E72D297353CC}">
              <c16:uniqueId val="{00000000-255E-41B9-981F-2602952BDDF0}"/>
            </c:ext>
          </c:extLst>
        </c:ser>
        <c:dLbls>
          <c:showLegendKey val="0"/>
          <c:showVal val="0"/>
          <c:showCatName val="0"/>
          <c:showSerName val="0"/>
          <c:showPercent val="0"/>
          <c:showBubbleSize val="0"/>
        </c:dLbls>
        <c:gapWidth val="219"/>
        <c:overlap val="-27"/>
        <c:axId val="440082479"/>
        <c:axId val="440082959"/>
      </c:barChart>
      <c:lineChart>
        <c:grouping val="standard"/>
        <c:varyColors val="0"/>
        <c:ser>
          <c:idx val="1"/>
          <c:order val="1"/>
          <c:tx>
            <c:strRef>
              <c:f>Pareto!$C$1</c:f>
              <c:strCache>
                <c:ptCount val="1"/>
                <c:pt idx="0">
                  <c:v>%</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Pareto!$A$2:$A$18</c:f>
              <c:strCache>
                <c:ptCount val="17"/>
                <c:pt idx="0">
                  <c:v>cam10</c:v>
                </c:pt>
                <c:pt idx="1">
                  <c:v>cam09</c:v>
                </c:pt>
                <c:pt idx="2">
                  <c:v>cam12</c:v>
                </c:pt>
                <c:pt idx="3">
                  <c:v>cam11</c:v>
                </c:pt>
                <c:pt idx="4">
                  <c:v>cam03</c:v>
                </c:pt>
                <c:pt idx="5">
                  <c:v>cam14</c:v>
                </c:pt>
                <c:pt idx="6">
                  <c:v>cam13</c:v>
                </c:pt>
                <c:pt idx="7">
                  <c:v>cam05</c:v>
                </c:pt>
                <c:pt idx="8">
                  <c:v>cam02</c:v>
                </c:pt>
                <c:pt idx="9">
                  <c:v>cam17</c:v>
                </c:pt>
                <c:pt idx="10">
                  <c:v>cam04</c:v>
                </c:pt>
                <c:pt idx="11">
                  <c:v>cam07</c:v>
                </c:pt>
                <c:pt idx="12">
                  <c:v>cam08</c:v>
                </c:pt>
                <c:pt idx="13">
                  <c:v>cam16</c:v>
                </c:pt>
                <c:pt idx="14">
                  <c:v>cam15</c:v>
                </c:pt>
                <c:pt idx="15">
                  <c:v>cam06</c:v>
                </c:pt>
                <c:pt idx="16">
                  <c:v>cam01</c:v>
                </c:pt>
              </c:strCache>
            </c:strRef>
          </c:cat>
          <c:val>
            <c:numRef>
              <c:f>Pareto!$C$2:$C$18</c:f>
              <c:numCache>
                <c:formatCode>0.00%</c:formatCode>
                <c:ptCount val="17"/>
                <c:pt idx="0">
                  <c:v>0.1266969913118722</c:v>
                </c:pt>
                <c:pt idx="1">
                  <c:v>0.24523790034962992</c:v>
                </c:pt>
                <c:pt idx="2">
                  <c:v>0.35823423254871239</c:v>
                </c:pt>
                <c:pt idx="3">
                  <c:v>0.46855279723414289</c:v>
                </c:pt>
                <c:pt idx="4">
                  <c:v>0.57717973004049783</c:v>
                </c:pt>
                <c:pt idx="5">
                  <c:v>0.62962031829184162</c:v>
                </c:pt>
                <c:pt idx="6">
                  <c:v>0.67512677494669804</c:v>
                </c:pt>
                <c:pt idx="7">
                  <c:v>0.71868824471754811</c:v>
                </c:pt>
                <c:pt idx="8">
                  <c:v>0.75932638750842896</c:v>
                </c:pt>
                <c:pt idx="9">
                  <c:v>0.79928436955530346</c:v>
                </c:pt>
                <c:pt idx="10">
                  <c:v>0.83875707932350319</c:v>
                </c:pt>
                <c:pt idx="11">
                  <c:v>0.87563972138744994</c:v>
                </c:pt>
                <c:pt idx="12">
                  <c:v>0.91194744247866943</c:v>
                </c:pt>
                <c:pt idx="13">
                  <c:v>0.94147694274566662</c:v>
                </c:pt>
                <c:pt idx="14">
                  <c:v>0.96472323889038303</c:v>
                </c:pt>
                <c:pt idx="15">
                  <c:v>0.98694247282280356</c:v>
                </c:pt>
                <c:pt idx="16">
                  <c:v>1</c:v>
                </c:pt>
              </c:numCache>
            </c:numRef>
          </c:val>
          <c:smooth val="1"/>
          <c:extLst>
            <c:ext xmlns:c16="http://schemas.microsoft.com/office/drawing/2014/chart" uri="{C3380CC4-5D6E-409C-BE32-E72D297353CC}">
              <c16:uniqueId val="{00000001-255E-41B9-981F-2602952BDDF0}"/>
            </c:ext>
          </c:extLst>
        </c:ser>
        <c:dLbls>
          <c:showLegendKey val="0"/>
          <c:showVal val="0"/>
          <c:showCatName val="0"/>
          <c:showSerName val="0"/>
          <c:showPercent val="0"/>
          <c:showBubbleSize val="0"/>
        </c:dLbls>
        <c:marker val="1"/>
        <c:smooth val="0"/>
        <c:axId val="440085359"/>
        <c:axId val="440084879"/>
      </c:lineChart>
      <c:catAx>
        <c:axId val="44008247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40082959"/>
        <c:crosses val="autoZero"/>
        <c:auto val="1"/>
        <c:lblAlgn val="ctr"/>
        <c:lblOffset val="100"/>
        <c:noMultiLvlLbl val="0"/>
      </c:catAx>
      <c:valAx>
        <c:axId val="44008295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40082479"/>
        <c:crosses val="autoZero"/>
        <c:crossBetween val="between"/>
      </c:valAx>
      <c:valAx>
        <c:axId val="440084879"/>
        <c:scaling>
          <c:orientation val="minMax"/>
          <c:max val="1"/>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40085359"/>
        <c:crosses val="max"/>
        <c:crossBetween val="between"/>
      </c:valAx>
      <c:catAx>
        <c:axId val="440085359"/>
        <c:scaling>
          <c:orientation val="minMax"/>
        </c:scaling>
        <c:delete val="1"/>
        <c:axPos val="b"/>
        <c:numFmt formatCode="General" sourceLinked="1"/>
        <c:majorTickMark val="none"/>
        <c:minorTickMark val="none"/>
        <c:tickLblPos val="nextTo"/>
        <c:crossAx val="4400848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17</xdr:col>
      <xdr:colOff>171449</xdr:colOff>
      <xdr:row>1</xdr:row>
      <xdr:rowOff>2071</xdr:rowOff>
    </xdr:from>
    <xdr:to>
      <xdr:col>34</xdr:col>
      <xdr:colOff>597919</xdr:colOff>
      <xdr:row>17</xdr:row>
      <xdr:rowOff>21121</xdr:rowOff>
    </xdr:to>
    <mc:AlternateContent xmlns:mc="http://schemas.openxmlformats.org/markup-compatibility/2006" xmlns:a14="http://schemas.microsoft.com/office/drawing/2010/main">
      <mc:Choice Requires="a14">
        <xdr:graphicFrame macro="">
          <xdr:nvGraphicFramePr>
            <xdr:cNvPr id="2" name="campaign_name">
              <a:extLst>
                <a:ext uri="{FF2B5EF4-FFF2-40B4-BE49-F238E27FC236}">
                  <a16:creationId xmlns:a16="http://schemas.microsoft.com/office/drawing/2014/main" id="{64040B0C-FCF8-C12A-0003-6122685B6CEA}"/>
                </a:ext>
              </a:extLst>
            </xdr:cNvPr>
            <xdr:cNvGraphicFramePr/>
          </xdr:nvGraphicFramePr>
          <xdr:xfrm>
            <a:off x="0" y="0"/>
            <a:ext cx="0" cy="0"/>
          </xdr:xfrm>
          <a:graphic>
            <a:graphicData uri="http://schemas.microsoft.com/office/drawing/2010/slicer">
              <sle:slicer xmlns:sle="http://schemas.microsoft.com/office/drawing/2010/slicer" name="campaign_name"/>
            </a:graphicData>
          </a:graphic>
        </xdr:graphicFrame>
      </mc:Choice>
      <mc:Fallback xmlns="">
        <xdr:sp macro="" textlink="">
          <xdr:nvSpPr>
            <xdr:cNvPr id="0" name=""/>
            <xdr:cNvSpPr>
              <a:spLocks noTextEdit="1"/>
            </xdr:cNvSpPr>
          </xdr:nvSpPr>
          <xdr:spPr>
            <a:xfrm>
              <a:off x="8407675" y="187601"/>
              <a:ext cx="4315983" cy="29875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xdr:colOff>
      <xdr:row>0</xdr:row>
      <xdr:rowOff>0</xdr:rowOff>
    </xdr:from>
    <xdr:to>
      <xdr:col>18</xdr:col>
      <xdr:colOff>213360</xdr:colOff>
      <xdr:row>23</xdr:row>
      <xdr:rowOff>99060</xdr:rowOff>
    </xdr:to>
    <xdr:graphicFrame macro="">
      <xdr:nvGraphicFramePr>
        <xdr:cNvPr id="2" name="Chart 1">
          <a:extLst>
            <a:ext uri="{FF2B5EF4-FFF2-40B4-BE49-F238E27FC236}">
              <a16:creationId xmlns:a16="http://schemas.microsoft.com/office/drawing/2014/main" id="{04DDE9F1-40D2-9008-B059-AA3D1250D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ruf" refreshedDate="46161.638967245373" backgroundQuery="1" createdVersion="8" refreshedVersion="8" minRefreshableVersion="3" recordCount="0" supportSubquery="1" supportAdvancedDrill="1" xr:uid="{5A17DA15-CCAA-4226-88C0-6654FA93C344}">
  <cacheSource type="external" connectionId="4"/>
  <cacheFields count="5">
    <cacheField name="[data].[join_date (Month)].[join_date (Month)]" caption="join_date (Month)" numFmtId="0" hierarchy="20" level="1">
      <sharedItems count="12">
        <s v="yan"/>
        <s v="fev"/>
        <s v="mar"/>
        <s v="apr"/>
        <s v="may"/>
        <s v="iyn"/>
        <s v="iyl"/>
        <s v="avq"/>
        <s v="sen"/>
        <s v="okt"/>
        <s v="noy"/>
        <s v="dek"/>
      </sharedItems>
    </cacheField>
    <cacheField name="[data].[join_date (Year)].[join_date (Year)]" caption="join_date (Year)" numFmtId="0" hierarchy="18" level="1">
      <sharedItems count="2">
        <s v="2022"/>
        <s v="2023"/>
      </sharedItems>
    </cacheField>
    <cacheField name="[data].[AyFerqi].[AyFerqi]" caption="AyFerqi" numFmtId="0" hierarchy="17" level="1">
      <sharedItems containsSemiMixedTypes="0" containsString="0" containsNumber="1" containsInteger="1" minValue="0" maxValue="16" count="17">
        <n v="0"/>
        <n v="1"/>
        <n v="2"/>
        <n v="3"/>
        <n v="4"/>
        <n v="5"/>
        <n v="6"/>
        <n v="7"/>
        <n v="8"/>
        <n v="9"/>
        <n v="10"/>
        <n v="11"/>
        <n v="12"/>
        <n v="13"/>
        <n v="14"/>
        <n v="15"/>
        <n v="16"/>
      </sharedItems>
      <extLst>
        <ext xmlns:x15="http://schemas.microsoft.com/office/spreadsheetml/2010/11/main" uri="{4F2E5C28-24EA-4eb8-9CBF-B6C8F9C3D259}">
          <x15:cachedUniqueNames>
            <x15:cachedUniqueName index="0" name="[data].[AyFerqi].&amp;[0]"/>
            <x15:cachedUniqueName index="1" name="[data].[AyFerqi].&amp;[1]"/>
            <x15:cachedUniqueName index="2" name="[data].[AyFerqi].&amp;[2]"/>
            <x15:cachedUniqueName index="3" name="[data].[AyFerqi].&amp;[3]"/>
            <x15:cachedUniqueName index="4" name="[data].[AyFerqi].&amp;[4]"/>
            <x15:cachedUniqueName index="5" name="[data].[AyFerqi].&amp;[5]"/>
            <x15:cachedUniqueName index="6" name="[data].[AyFerqi].&amp;[6]"/>
            <x15:cachedUniqueName index="7" name="[data].[AyFerqi].&amp;[7]"/>
            <x15:cachedUniqueName index="8" name="[data].[AyFerqi].&amp;[8]"/>
            <x15:cachedUniqueName index="9" name="[data].[AyFerqi].&amp;[9]"/>
            <x15:cachedUniqueName index="10" name="[data].[AyFerqi].&amp;[10]"/>
            <x15:cachedUniqueName index="11" name="[data].[AyFerqi].&amp;[11]"/>
            <x15:cachedUniqueName index="12" name="[data].[AyFerqi].&amp;[12]"/>
            <x15:cachedUniqueName index="13" name="[data].[AyFerqi].&amp;[13]"/>
            <x15:cachedUniqueName index="14" name="[data].[AyFerqi].&amp;[14]"/>
            <x15:cachedUniqueName index="15" name="[data].[AyFerqi].&amp;[15]"/>
            <x15:cachedUniqueName index="16" name="[data].[AyFerqi].&amp;[16]"/>
          </x15:cachedUniqueNames>
        </ext>
      </extLst>
    </cacheField>
    <cacheField name="[Measures].[Sum of Qiymet]" caption="Sum of Qiymet" numFmtId="0" hierarchy="35" level="32767"/>
    <cacheField name="[campaign].[campaign_name].[campaign_name]" caption="campaign_name" numFmtId="0" hierarchy="1" level="1">
      <sharedItems containsSemiMixedTypes="0" containsNonDate="0" containsString="0"/>
    </cacheField>
  </cacheFields>
  <cacheHierarchies count="45">
    <cacheHierarchy uniqueName="[campaign].[id]" caption="id" attribute="1" defaultMemberUniqueName="[campaign].[id].[All]" allUniqueName="[campaign].[id].[All]" dimensionUniqueName="[campaign]" displayFolder="" count="0" memberValueDatatype="130" unbalanced="0"/>
    <cacheHierarchy uniqueName="[campaign].[campaign_name]" caption="campaign_name" attribute="1" defaultMemberUniqueName="[campaign].[campaign_name].[All]" allUniqueName="[campaign].[campaign_name].[All]" dimensionUniqueName="[campaign]" displayFolder="" count="2" memberValueDatatype="130" unbalanced="0">
      <fieldsUsage count="2">
        <fieldUsage x="-1"/>
        <fieldUsage x="4"/>
      </fieldsUsage>
    </cacheHierarchy>
    <cacheHierarchy uniqueName="[campaign].[activate_date]" caption="activate_date" attribute="1" time="1" defaultMemberUniqueName="[campaign].[activate_date].[All]" allUniqueName="[campaign].[activate_date].[All]" dimensionUniqueName="[campaign]" displayFolder="" count="0" memberValueDatatype="7" unbalanced="0"/>
    <cacheHierarchy uniqueName="[campaign].[campaign_price]" caption="campaign_price" attribute="1" defaultMemberUniqueName="[campaign].[campaign_price].[All]" allUniqueName="[campaign].[campaign_price].[All]" dimensionUniqueName="[campaign]" displayFolder="" count="0" memberValueDatatype="20" unbalanced="0"/>
    <cacheHierarchy uniqueName="[campaign].[activate_date (Year)]" caption="activate_date (Year)" attribute="1" defaultMemberUniqueName="[campaign].[activate_date (Year)].[All]" allUniqueName="[campaign].[activate_date (Year)].[All]" dimensionUniqueName="[campaign]" displayFolder="" count="0" memberValueDatatype="130" unbalanced="0"/>
    <cacheHierarchy uniqueName="[campaign].[activate_date (Quarter)]" caption="activate_date (Quarter)" attribute="1" defaultMemberUniqueName="[campaign].[activate_date (Quarter)].[All]" allUniqueName="[campaign].[activate_date (Quarter)].[All]" dimensionUniqueName="[campaign]" displayFolder="" count="0" memberValueDatatype="130" unbalanced="0"/>
    <cacheHierarchy uniqueName="[campaign].[activate_date (Month)]" caption="activate_date (Month)" attribute="1" defaultMemberUniqueName="[campaign].[activate_date (Month)].[All]" allUniqueName="[campaign].[activate_date (Month)].[All]" dimensionUniqueName="[campaign]" displayFolder="" count="0" memberValueDatatype="130" unbalanced="0"/>
    <cacheHierarchy uniqueName="[customer].[id]" caption="id" attribute="1" defaultMemberUniqueName="[customer].[id].[All]" allUniqueName="[customer].[id].[All]" dimensionUniqueName="[customer]" displayFolder="" count="0" memberValueDatatype="13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sm_number]" caption="gsm_number" attribute="1" defaultMemberUniqueName="[customer].[gsm_number].[All]" allUniqueName="[customer].[gsm_number].[All]" dimensionUniqueName="[customer]" displayFolder="" count="0" memberValueDatatype="130" unbalanced="0"/>
    <cacheHierarchy uniqueName="[customer].[customer_age]" caption="customer_age" attribute="1" defaultMemberUniqueName="[customer].[customer_age].[All]" allUniqueName="[customer].[customer_age].[All]" dimensionUniqueName="[customer]" displayFolder="" count="0" memberValueDatatype="20" unbalanced="0"/>
    <cacheHierarchy uniqueName="[customer].[customer_gender]" caption="customer_gender" attribute="1" defaultMemberUniqueName="[customer].[customer_gender].[All]" allUniqueName="[customer].[customer_gender].[All]" dimensionUniqueName="[customer]" displayFolder="" count="0" memberValueDatatype="130" unbalanced="0"/>
    <cacheHierarchy uniqueName="[data].[id_customer]" caption="id_customer" attribute="1" defaultMemberUniqueName="[data].[id_customer].[All]" allUniqueName="[data].[id_customer].[All]" dimensionUniqueName="[data]" displayFolder="" count="0" memberValueDatatype="130" unbalanced="0"/>
    <cacheHierarchy uniqueName="[data].[id_campaign]" caption="id_campaign" attribute="1" defaultMemberUniqueName="[data].[id_campaign].[All]" allUniqueName="[data].[id_campaign].[All]" dimensionUniqueName="[data]" displayFolder="" count="0" memberValueDatatype="130" unbalanced="0"/>
    <cacheHierarchy uniqueName="[data].[join_date]" caption="join_date" attribute="1" time="1" defaultMemberUniqueName="[data].[join_date].[All]" allUniqueName="[data].[join_date].[All]" dimensionUniqueName="[data]" displayFolder="" count="0" memberValueDatatype="7" unbalanced="0"/>
    <cacheHierarchy uniqueName="[data].[buy_date]" caption="buy_date" attribute="1" time="1" defaultMemberUniqueName="[data].[buy_date].[All]" allUniqueName="[data].[buy_date].[All]" dimensionUniqueName="[data]" displayFolder="" count="0" memberValueDatatype="7" unbalanced="0"/>
    <cacheHierarchy uniqueName="[data].[AyFerqi]" caption="AyFerqi" attribute="1" defaultMemberUniqueName="[data].[AyFerqi].[All]" allUniqueName="[data].[AyFerqi].[All]" dimensionUniqueName="[data]" displayFolder="" count="2" memberValueDatatype="20" unbalanced="0">
      <fieldsUsage count="2">
        <fieldUsage x="-1"/>
        <fieldUsage x="2"/>
      </fieldsUsage>
    </cacheHierarchy>
    <cacheHierarchy uniqueName="[data].[join_date (Year)]" caption="join_date (Year)" attribute="1" defaultMemberUniqueName="[data].[join_date (Year)].[All]" allUniqueName="[data].[join_date (Year)].[All]" dimensionUniqueName="[data]" displayFolder="" count="2" memberValueDatatype="130" unbalanced="0">
      <fieldsUsage count="2">
        <fieldUsage x="-1"/>
        <fieldUsage x="1"/>
      </fieldsUsage>
    </cacheHierarchy>
    <cacheHierarchy uniqueName="[data].[join_date (Quarter)]" caption="join_date (Quarter)" attribute="1" defaultMemberUniqueName="[data].[join_date (Quarter)].[All]" allUniqueName="[data].[join_date (Quarter)].[All]" dimensionUniqueName="[data]" displayFolder="" count="0" memberValueDatatype="130" unbalanced="0"/>
    <cacheHierarchy uniqueName="[data].[join_date (Month)]" caption="join_date (Month)" attribute="1" defaultMemberUniqueName="[data].[join_date (Month)].[All]" allUniqueName="[data].[join_date (Month)].[All]" dimensionUniqueName="[data]" displayFolder="" count="2" memberValueDatatype="130" unbalanced="0">
      <fieldsUsage count="2">
        <fieldUsage x="-1"/>
        <fieldUsage x="0"/>
      </fieldsUsage>
    </cacheHierarchy>
    <cacheHierarchy uniqueName="[data].[Qiymet]" caption="Qiymet" attribute="1" defaultMemberUniqueName="[data].[Qiymet].[All]" allUniqueName="[data].[Qiymet].[All]" dimensionUniqueName="[data]" displayFolder="" count="0" memberValueDatatype="20" unbalanced="0"/>
    <cacheHierarchy uniqueName="[data].[buy_date (Year)]" caption="buy_date (Year)" attribute="1" defaultMemberUniqueName="[data].[buy_date (Year)].[All]" allUniqueName="[data].[buy_date (Year)].[All]" dimensionUniqueName="[data]" displayFolder="" count="0" memberValueDatatype="130" unbalanced="0"/>
    <cacheHierarchy uniqueName="[data].[buy_date (Quarter)]" caption="buy_date (Quarter)" attribute="1" defaultMemberUniqueName="[data].[buy_date (Quarter)].[All]" allUniqueName="[data].[buy_date (Quarter)].[All]" dimensionUniqueName="[data]" displayFolder="" count="0" memberValueDatatype="130" unbalanced="0"/>
    <cacheHierarchy uniqueName="[data].[buy_date (Month)]" caption="buy_date (Month)" attribute="1" defaultMemberUniqueName="[data].[buy_date (Month)].[All]" allUniqueName="[data].[buy_date (Month)].[All]" dimensionUniqueName="[data]" displayFolder="" count="0" memberValueDatatype="130" unbalanced="0"/>
    <cacheHierarchy uniqueName="[campaign].[activate_date (Month Index)]" caption="activate_date (Month Index)" attribute="1" defaultMemberUniqueName="[campaign].[activate_date (Month Index)].[All]" allUniqueName="[campaign].[activate_date (Month Index)].[All]" dimensionUniqueName="[campaign]" displayFolder="" count="0" memberValueDatatype="20" unbalanced="0" hidden="1"/>
    <cacheHierarchy uniqueName="[data].[buy_date (Month Index)]" caption="buy_date (Month Index)" attribute="1" defaultMemberUniqueName="[data].[buy_date (Month Index)].[All]" allUniqueName="[data].[buy_date (Month Index)].[All]" dimensionUniqueName="[data]" displayFolder="" count="0" memberValueDatatype="20" unbalanced="0" hidden="1"/>
    <cacheHierarchy uniqueName="[data].[join_date (Month Index)]" caption="join_date (Month Index)" attribute="1" defaultMemberUniqueName="[data].[join_date (Month Index)].[All]" allUniqueName="[data].[join_date (Month Index)].[All]" dimensionUniqueName="[data]" displayFolder="" count="0" memberValueDatatype="20" unbalanced="0" hidden="1"/>
    <cacheHierarchy uniqueName="[Measures].[__XL_Count campaign]" caption="__XL_Count campaign" measure="1" displayFolder="" measureGroup="campaign" count="0" hidden="1"/>
    <cacheHierarchy uniqueName="[Measures].[__XL_Count data]" caption="__XL_Count data" measure="1" displayFolder="" measureGroup="data"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id_customer]" caption="Count of id_customer" measure="1" displayFolder="" measureGroup="data" count="0" hidden="1">
      <extLst>
        <ext xmlns:x15="http://schemas.microsoft.com/office/spreadsheetml/2010/11/main" uri="{B97F6D7D-B522-45F9-BDA1-12C45D357490}">
          <x15:cacheHierarchy aggregatedColumn="13"/>
        </ext>
      </extLst>
    </cacheHierarchy>
    <cacheHierarchy uniqueName="[Measures].[Distinct Count of id_customer]" caption="Distinct Count of id_customer" measure="1" displayFolder="" measureGroup="data" count="0" hidden="1">
      <extLst>
        <ext xmlns:x15="http://schemas.microsoft.com/office/spreadsheetml/2010/11/main" uri="{B97F6D7D-B522-45F9-BDA1-12C45D357490}">
          <x15:cacheHierarchy aggregatedColumn="13"/>
        </ext>
      </extLst>
    </cacheHierarchy>
    <cacheHierarchy uniqueName="[Measures].[Sum of campaign_price]" caption="Sum of campaign_price" measure="1" displayFolder="" measureGroup="campaign" count="0" hidden="1">
      <extLst>
        <ext xmlns:x15="http://schemas.microsoft.com/office/spreadsheetml/2010/11/main" uri="{B97F6D7D-B522-45F9-BDA1-12C45D357490}">
          <x15:cacheHierarchy aggregatedColumn="3"/>
        </ext>
      </extLst>
    </cacheHierarchy>
    <cacheHierarchy uniqueName="[Measures].[Sum of Qiymet]" caption="Sum of Qiymet" measure="1" displayFolder="" measureGroup="data" count="0" oneField="1" hidden="1">
      <fieldsUsage count="1">
        <fieldUsage x="3"/>
      </fieldsUsage>
      <extLst>
        <ext xmlns:x15="http://schemas.microsoft.com/office/spreadsheetml/2010/11/main" uri="{B97F6D7D-B522-45F9-BDA1-12C45D357490}">
          <x15:cacheHierarchy aggregatedColumn="21"/>
        </ext>
      </extLst>
    </cacheHierarchy>
    <cacheHierarchy uniqueName="[Measures].[Count of buy_date]" caption="Count of buy_date" measure="1" displayFolder="" measureGroup="data" count="0" hidden="1">
      <extLst>
        <ext xmlns:x15="http://schemas.microsoft.com/office/spreadsheetml/2010/11/main" uri="{B97F6D7D-B522-45F9-BDA1-12C45D357490}">
          <x15:cacheHierarchy aggregatedColumn="16"/>
        </ext>
      </extLst>
    </cacheHierarchy>
    <cacheHierarchy uniqueName="[Measures].[Count of activate_date]" caption="Count of activate_date" measure="1" displayFolder="" measureGroup="campaign" count="0" hidden="1">
      <extLst>
        <ext xmlns:x15="http://schemas.microsoft.com/office/spreadsheetml/2010/11/main" uri="{B97F6D7D-B522-45F9-BDA1-12C45D357490}">
          <x15:cacheHierarchy aggregatedColumn="2"/>
        </ext>
      </extLst>
    </cacheHierarchy>
    <cacheHierarchy uniqueName="[Measures].[Max of campaign_price]" caption="Max of campaign_price" measure="1" displayFolder="" measureGroup="campaign" count="0" hidden="1">
      <extLst>
        <ext xmlns:x15="http://schemas.microsoft.com/office/spreadsheetml/2010/11/main" uri="{B97F6D7D-B522-45F9-BDA1-12C45D357490}">
          <x15:cacheHierarchy aggregatedColumn="3"/>
        </ext>
      </extLst>
    </cacheHierarchy>
    <cacheHierarchy uniqueName="[Measures].[Max of Qiymet]" caption="Max of Qiymet" measure="1" displayFolder="" measureGroup="data" count="0" hidden="1">
      <extLst>
        <ext xmlns:x15="http://schemas.microsoft.com/office/spreadsheetml/2010/11/main" uri="{B97F6D7D-B522-45F9-BDA1-12C45D357490}">
          <x15:cacheHierarchy aggregatedColumn="21"/>
        </ext>
      </extLst>
    </cacheHierarchy>
    <cacheHierarchy uniqueName="[Measures].[Count of join_date]" caption="Count of join_date" measure="1" displayFolder="" measureGroup="data" count="0" hidden="1">
      <extLst>
        <ext xmlns:x15="http://schemas.microsoft.com/office/spreadsheetml/2010/11/main" uri="{B97F6D7D-B522-45F9-BDA1-12C45D357490}">
          <x15:cacheHierarchy aggregatedColumn="15"/>
        </ext>
      </extLst>
    </cacheHierarchy>
    <cacheHierarchy uniqueName="[Measures].[Max of join_date]" caption="Max of join_date" measure="1" displayFolder="" measureGroup="data" count="0" hidden="1">
      <extLst>
        <ext xmlns:x15="http://schemas.microsoft.com/office/spreadsheetml/2010/11/main" uri="{B97F6D7D-B522-45F9-BDA1-12C45D357490}">
          <x15:cacheHierarchy aggregatedColumn="15"/>
        </ext>
      </extLst>
    </cacheHierarchy>
    <cacheHierarchy uniqueName="[Measures].[Count of id_campaign]" caption="Count of id_campaign" measure="1" displayFolder="" measureGroup="data" count="0" hidden="1">
      <extLst>
        <ext xmlns:x15="http://schemas.microsoft.com/office/spreadsheetml/2010/11/main" uri="{B97F6D7D-B522-45F9-BDA1-12C45D357490}">
          <x15:cacheHierarchy aggregatedColumn="14"/>
        </ext>
      </extLst>
    </cacheHierarchy>
    <cacheHierarchy uniqueName="[Measures].[Count of campaign_name]" caption="Count of campaign_name" measure="1" displayFolder="" measureGroup="campaign" count="0" hidden="1">
      <extLst>
        <ext xmlns:x15="http://schemas.microsoft.com/office/spreadsheetml/2010/11/main" uri="{B97F6D7D-B522-45F9-BDA1-12C45D357490}">
          <x15:cacheHierarchy aggregatedColumn="1"/>
        </ext>
      </extLst>
    </cacheHierarchy>
    <cacheHierarchy uniqueName="[Measures].[Average of Qiymet]" caption="Average of Qiymet" measure="1" displayFolder="" measureGroup="data" count="0" hidden="1">
      <extLst>
        <ext xmlns:x15="http://schemas.microsoft.com/office/spreadsheetml/2010/11/main" uri="{B97F6D7D-B522-45F9-BDA1-12C45D357490}">
          <x15:cacheHierarchy aggregatedColumn="21"/>
        </ext>
      </extLst>
    </cacheHierarchy>
  </cacheHierarchies>
  <kpis count="0"/>
  <dimensions count="4">
    <dimension name="campaign" uniqueName="[campaign]" caption="campaign"/>
    <dimension name="customer" uniqueName="[customer]" caption="customer"/>
    <dimension name="data" uniqueName="[data]" caption="data"/>
    <dimension measure="1" name="Measures" uniqueName="[Measures]" caption="Measures"/>
  </dimensions>
  <measureGroups count="3">
    <measureGroup name="campaign" caption="campaign"/>
    <measureGroup name="customer" caption="customer"/>
    <measureGroup name="data" caption="data"/>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ruf" refreshedDate="46161.638966203704" backgroundQuery="1" createdVersion="8" refreshedVersion="8" minRefreshableVersion="3" recordCount="0" supportSubquery="1" supportAdvancedDrill="1" xr:uid="{8B3BE182-AA26-4798-B4CC-3A9957FAB0FC}">
  <cacheSource type="external" connectionId="4"/>
  <cacheFields count="5">
    <cacheField name="[data].[join_date (Month)].[join_date (Month)]" caption="join_date (Month)" numFmtId="0" hierarchy="20" level="1">
      <sharedItems count="12">
        <s v="yan"/>
        <s v="fev"/>
        <s v="mar"/>
        <s v="apr"/>
        <s v="may"/>
        <s v="iyn"/>
        <s v="iyl"/>
        <s v="avq"/>
        <s v="sen"/>
        <s v="okt"/>
        <s v="noy"/>
        <s v="dek"/>
      </sharedItems>
    </cacheField>
    <cacheField name="[data].[join_date (Year)].[join_date (Year)]" caption="join_date (Year)" numFmtId="0" hierarchy="18" level="1">
      <sharedItems count="2">
        <s v="2022"/>
        <s v="2023"/>
      </sharedItems>
    </cacheField>
    <cacheField name="[data].[AyFerqi].[AyFerqi]" caption="AyFerqi" numFmtId="0" hierarchy="17" level="1">
      <sharedItems containsSemiMixedTypes="0" containsString="0" containsNumber="1" containsInteger="1" minValue="0" maxValue="16" count="17">
        <n v="0"/>
        <n v="1"/>
        <n v="2"/>
        <n v="3"/>
        <n v="4"/>
        <n v="5"/>
        <n v="6"/>
        <n v="7"/>
        <n v="8"/>
        <n v="9"/>
        <n v="10"/>
        <n v="11"/>
        <n v="12"/>
        <n v="13"/>
        <n v="14"/>
        <n v="15"/>
        <n v="16"/>
      </sharedItems>
      <extLst>
        <ext xmlns:x15="http://schemas.microsoft.com/office/spreadsheetml/2010/11/main" uri="{4F2E5C28-24EA-4eb8-9CBF-B6C8F9C3D259}">
          <x15:cachedUniqueNames>
            <x15:cachedUniqueName index="0" name="[data].[AyFerqi].&amp;[0]"/>
            <x15:cachedUniqueName index="1" name="[data].[AyFerqi].&amp;[1]"/>
            <x15:cachedUniqueName index="2" name="[data].[AyFerqi].&amp;[2]"/>
            <x15:cachedUniqueName index="3" name="[data].[AyFerqi].&amp;[3]"/>
            <x15:cachedUniqueName index="4" name="[data].[AyFerqi].&amp;[4]"/>
            <x15:cachedUniqueName index="5" name="[data].[AyFerqi].&amp;[5]"/>
            <x15:cachedUniqueName index="6" name="[data].[AyFerqi].&amp;[6]"/>
            <x15:cachedUniqueName index="7" name="[data].[AyFerqi].&amp;[7]"/>
            <x15:cachedUniqueName index="8" name="[data].[AyFerqi].&amp;[8]"/>
            <x15:cachedUniqueName index="9" name="[data].[AyFerqi].&amp;[9]"/>
            <x15:cachedUniqueName index="10" name="[data].[AyFerqi].&amp;[10]"/>
            <x15:cachedUniqueName index="11" name="[data].[AyFerqi].&amp;[11]"/>
            <x15:cachedUniqueName index="12" name="[data].[AyFerqi].&amp;[12]"/>
            <x15:cachedUniqueName index="13" name="[data].[AyFerqi].&amp;[13]"/>
            <x15:cachedUniqueName index="14" name="[data].[AyFerqi].&amp;[14]"/>
            <x15:cachedUniqueName index="15" name="[data].[AyFerqi].&amp;[15]"/>
            <x15:cachedUniqueName index="16" name="[data].[AyFerqi].&amp;[16]"/>
          </x15:cachedUniqueNames>
        </ext>
      </extLst>
    </cacheField>
    <cacheField name="[Measures].[Distinct Count of id_customer]" caption="Distinct Count of id_customer" numFmtId="0" hierarchy="33" level="32767"/>
    <cacheField name="[campaign].[campaign_name].[campaign_name]" caption="campaign_name" numFmtId="0" hierarchy="1" level="1">
      <sharedItems containsSemiMixedTypes="0" containsNonDate="0" containsString="0"/>
    </cacheField>
  </cacheFields>
  <cacheHierarchies count="45">
    <cacheHierarchy uniqueName="[campaign].[id]" caption="id" attribute="1" defaultMemberUniqueName="[campaign].[id].[All]" allUniqueName="[campaign].[id].[All]" dimensionUniqueName="[campaign]" displayFolder="" count="0" memberValueDatatype="130" unbalanced="0"/>
    <cacheHierarchy uniqueName="[campaign].[campaign_name]" caption="campaign_name" attribute="1" defaultMemberUniqueName="[campaign].[campaign_name].[All]" allUniqueName="[campaign].[campaign_name].[All]" dimensionUniqueName="[campaign]" displayFolder="" count="2" memberValueDatatype="130" unbalanced="0">
      <fieldsUsage count="2">
        <fieldUsage x="-1"/>
        <fieldUsage x="4"/>
      </fieldsUsage>
    </cacheHierarchy>
    <cacheHierarchy uniqueName="[campaign].[activate_date]" caption="activate_date" attribute="1" time="1" defaultMemberUniqueName="[campaign].[activate_date].[All]" allUniqueName="[campaign].[activate_date].[All]" dimensionUniqueName="[campaign]" displayFolder="" count="0" memberValueDatatype="7" unbalanced="0"/>
    <cacheHierarchy uniqueName="[campaign].[campaign_price]" caption="campaign_price" attribute="1" defaultMemberUniqueName="[campaign].[campaign_price].[All]" allUniqueName="[campaign].[campaign_price].[All]" dimensionUniqueName="[campaign]" displayFolder="" count="0" memberValueDatatype="20" unbalanced="0"/>
    <cacheHierarchy uniqueName="[campaign].[activate_date (Year)]" caption="activate_date (Year)" attribute="1" defaultMemberUniqueName="[campaign].[activate_date (Year)].[All]" allUniqueName="[campaign].[activate_date (Year)].[All]" dimensionUniqueName="[campaign]" displayFolder="" count="0" memberValueDatatype="130" unbalanced="0"/>
    <cacheHierarchy uniqueName="[campaign].[activate_date (Quarter)]" caption="activate_date (Quarter)" attribute="1" defaultMemberUniqueName="[campaign].[activate_date (Quarter)].[All]" allUniqueName="[campaign].[activate_date (Quarter)].[All]" dimensionUniqueName="[campaign]" displayFolder="" count="0" memberValueDatatype="130" unbalanced="0"/>
    <cacheHierarchy uniqueName="[campaign].[activate_date (Month)]" caption="activate_date (Month)" attribute="1" defaultMemberUniqueName="[campaign].[activate_date (Month)].[All]" allUniqueName="[campaign].[activate_date (Month)].[All]" dimensionUniqueName="[campaign]" displayFolder="" count="0" memberValueDatatype="130" unbalanced="0"/>
    <cacheHierarchy uniqueName="[customer].[id]" caption="id" attribute="1" defaultMemberUniqueName="[customer].[id].[All]" allUniqueName="[customer].[id].[All]" dimensionUniqueName="[customer]" displayFolder="" count="0" memberValueDatatype="13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sm_number]" caption="gsm_number" attribute="1" defaultMemberUniqueName="[customer].[gsm_number].[All]" allUniqueName="[customer].[gsm_number].[All]" dimensionUniqueName="[customer]" displayFolder="" count="0" memberValueDatatype="130" unbalanced="0"/>
    <cacheHierarchy uniqueName="[customer].[customer_age]" caption="customer_age" attribute="1" defaultMemberUniqueName="[customer].[customer_age].[All]" allUniqueName="[customer].[customer_age].[All]" dimensionUniqueName="[customer]" displayFolder="" count="0" memberValueDatatype="20" unbalanced="0"/>
    <cacheHierarchy uniqueName="[customer].[customer_gender]" caption="customer_gender" attribute="1" defaultMemberUniqueName="[customer].[customer_gender].[All]" allUniqueName="[customer].[customer_gender].[All]" dimensionUniqueName="[customer]" displayFolder="" count="0" memberValueDatatype="130" unbalanced="0"/>
    <cacheHierarchy uniqueName="[data].[id_customer]" caption="id_customer" attribute="1" defaultMemberUniqueName="[data].[id_customer].[All]" allUniqueName="[data].[id_customer].[All]" dimensionUniqueName="[data]" displayFolder="" count="0" memberValueDatatype="130" unbalanced="0"/>
    <cacheHierarchy uniqueName="[data].[id_campaign]" caption="id_campaign" attribute="1" defaultMemberUniqueName="[data].[id_campaign].[All]" allUniqueName="[data].[id_campaign].[All]" dimensionUniqueName="[data]" displayFolder="" count="0" memberValueDatatype="130" unbalanced="0"/>
    <cacheHierarchy uniqueName="[data].[join_date]" caption="join_date" attribute="1" time="1" defaultMemberUniqueName="[data].[join_date].[All]" allUniqueName="[data].[join_date].[All]" dimensionUniqueName="[data]" displayFolder="" count="0" memberValueDatatype="7" unbalanced="0"/>
    <cacheHierarchy uniqueName="[data].[buy_date]" caption="buy_date" attribute="1" time="1" defaultMemberUniqueName="[data].[buy_date].[All]" allUniqueName="[data].[buy_date].[All]" dimensionUniqueName="[data]" displayFolder="" count="0" memberValueDatatype="7" unbalanced="0"/>
    <cacheHierarchy uniqueName="[data].[AyFerqi]" caption="AyFerqi" attribute="1" defaultMemberUniqueName="[data].[AyFerqi].[All]" allUniqueName="[data].[AyFerqi].[All]" dimensionUniqueName="[data]" displayFolder="" count="2" memberValueDatatype="20" unbalanced="0">
      <fieldsUsage count="2">
        <fieldUsage x="-1"/>
        <fieldUsage x="2"/>
      </fieldsUsage>
    </cacheHierarchy>
    <cacheHierarchy uniqueName="[data].[join_date (Year)]" caption="join_date (Year)" attribute="1" defaultMemberUniqueName="[data].[join_date (Year)].[All]" allUniqueName="[data].[join_date (Year)].[All]" dimensionUniqueName="[data]" displayFolder="" count="2" memberValueDatatype="130" unbalanced="0">
      <fieldsUsage count="2">
        <fieldUsage x="-1"/>
        <fieldUsage x="1"/>
      </fieldsUsage>
    </cacheHierarchy>
    <cacheHierarchy uniqueName="[data].[join_date (Quarter)]" caption="join_date (Quarter)" attribute="1" defaultMemberUniqueName="[data].[join_date (Quarter)].[All]" allUniqueName="[data].[join_date (Quarter)].[All]" dimensionUniqueName="[data]" displayFolder="" count="0" memberValueDatatype="130" unbalanced="0"/>
    <cacheHierarchy uniqueName="[data].[join_date (Month)]" caption="join_date (Month)" attribute="1" defaultMemberUniqueName="[data].[join_date (Month)].[All]" allUniqueName="[data].[join_date (Month)].[All]" dimensionUniqueName="[data]" displayFolder="" count="2" memberValueDatatype="130" unbalanced="0">
      <fieldsUsage count="2">
        <fieldUsage x="-1"/>
        <fieldUsage x="0"/>
      </fieldsUsage>
    </cacheHierarchy>
    <cacheHierarchy uniqueName="[data].[Qiymet]" caption="Qiymet" attribute="1" defaultMemberUniqueName="[data].[Qiymet].[All]" allUniqueName="[data].[Qiymet].[All]" dimensionUniqueName="[data]" displayFolder="" count="0" memberValueDatatype="20" unbalanced="0"/>
    <cacheHierarchy uniqueName="[data].[buy_date (Year)]" caption="buy_date (Year)" attribute="1" defaultMemberUniqueName="[data].[buy_date (Year)].[All]" allUniqueName="[data].[buy_date (Year)].[All]" dimensionUniqueName="[data]" displayFolder="" count="0" memberValueDatatype="130" unbalanced="0"/>
    <cacheHierarchy uniqueName="[data].[buy_date (Quarter)]" caption="buy_date (Quarter)" attribute="1" defaultMemberUniqueName="[data].[buy_date (Quarter)].[All]" allUniqueName="[data].[buy_date (Quarter)].[All]" dimensionUniqueName="[data]" displayFolder="" count="0" memberValueDatatype="130" unbalanced="0"/>
    <cacheHierarchy uniqueName="[data].[buy_date (Month)]" caption="buy_date (Month)" attribute="1" defaultMemberUniqueName="[data].[buy_date (Month)].[All]" allUniqueName="[data].[buy_date (Month)].[All]" dimensionUniqueName="[data]" displayFolder="" count="0" memberValueDatatype="130" unbalanced="0"/>
    <cacheHierarchy uniqueName="[campaign].[activate_date (Month Index)]" caption="activate_date (Month Index)" attribute="1" defaultMemberUniqueName="[campaign].[activate_date (Month Index)].[All]" allUniqueName="[campaign].[activate_date (Month Index)].[All]" dimensionUniqueName="[campaign]" displayFolder="" count="0" memberValueDatatype="20" unbalanced="0" hidden="1"/>
    <cacheHierarchy uniqueName="[data].[buy_date (Month Index)]" caption="buy_date (Month Index)" attribute="1" defaultMemberUniqueName="[data].[buy_date (Month Index)].[All]" allUniqueName="[data].[buy_date (Month Index)].[All]" dimensionUniqueName="[data]" displayFolder="" count="0" memberValueDatatype="20" unbalanced="0" hidden="1"/>
    <cacheHierarchy uniqueName="[data].[join_date (Month Index)]" caption="join_date (Month Index)" attribute="1" defaultMemberUniqueName="[data].[join_date (Month Index)].[All]" allUniqueName="[data].[join_date (Month Index)].[All]" dimensionUniqueName="[data]" displayFolder="" count="0" memberValueDatatype="20" unbalanced="0" hidden="1"/>
    <cacheHierarchy uniqueName="[Measures].[__XL_Count campaign]" caption="__XL_Count campaign" measure="1" displayFolder="" measureGroup="campaign" count="0" hidden="1"/>
    <cacheHierarchy uniqueName="[Measures].[__XL_Count data]" caption="__XL_Count data" measure="1" displayFolder="" measureGroup="data"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id_customer]" caption="Count of id_customer" measure="1" displayFolder="" measureGroup="data" count="0" hidden="1">
      <extLst>
        <ext xmlns:x15="http://schemas.microsoft.com/office/spreadsheetml/2010/11/main" uri="{B97F6D7D-B522-45F9-BDA1-12C45D357490}">
          <x15:cacheHierarchy aggregatedColumn="13"/>
        </ext>
      </extLst>
    </cacheHierarchy>
    <cacheHierarchy uniqueName="[Measures].[Distinct Count of id_customer]" caption="Distinct Count of id_customer" measure="1" displayFolder="" measureGroup="data"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campaign_price]" caption="Sum of campaign_price" measure="1" displayFolder="" measureGroup="campaign" count="0" hidden="1">
      <extLst>
        <ext xmlns:x15="http://schemas.microsoft.com/office/spreadsheetml/2010/11/main" uri="{B97F6D7D-B522-45F9-BDA1-12C45D357490}">
          <x15:cacheHierarchy aggregatedColumn="3"/>
        </ext>
      </extLst>
    </cacheHierarchy>
    <cacheHierarchy uniqueName="[Measures].[Sum of Qiymet]" caption="Sum of Qiymet" measure="1" displayFolder="" measureGroup="data" count="0" hidden="1">
      <extLst>
        <ext xmlns:x15="http://schemas.microsoft.com/office/spreadsheetml/2010/11/main" uri="{B97F6D7D-B522-45F9-BDA1-12C45D357490}">
          <x15:cacheHierarchy aggregatedColumn="21"/>
        </ext>
      </extLst>
    </cacheHierarchy>
    <cacheHierarchy uniqueName="[Measures].[Count of buy_date]" caption="Count of buy_date" measure="1" displayFolder="" measureGroup="data" count="0" hidden="1">
      <extLst>
        <ext xmlns:x15="http://schemas.microsoft.com/office/spreadsheetml/2010/11/main" uri="{B97F6D7D-B522-45F9-BDA1-12C45D357490}">
          <x15:cacheHierarchy aggregatedColumn="16"/>
        </ext>
      </extLst>
    </cacheHierarchy>
    <cacheHierarchy uniqueName="[Measures].[Count of activate_date]" caption="Count of activate_date" measure="1" displayFolder="" measureGroup="campaign" count="0" hidden="1">
      <extLst>
        <ext xmlns:x15="http://schemas.microsoft.com/office/spreadsheetml/2010/11/main" uri="{B97F6D7D-B522-45F9-BDA1-12C45D357490}">
          <x15:cacheHierarchy aggregatedColumn="2"/>
        </ext>
      </extLst>
    </cacheHierarchy>
    <cacheHierarchy uniqueName="[Measures].[Max of campaign_price]" caption="Max of campaign_price" measure="1" displayFolder="" measureGroup="campaign" count="0" hidden="1">
      <extLst>
        <ext xmlns:x15="http://schemas.microsoft.com/office/spreadsheetml/2010/11/main" uri="{B97F6D7D-B522-45F9-BDA1-12C45D357490}">
          <x15:cacheHierarchy aggregatedColumn="3"/>
        </ext>
      </extLst>
    </cacheHierarchy>
    <cacheHierarchy uniqueName="[Measures].[Max of Qiymet]" caption="Max of Qiymet" measure="1" displayFolder="" measureGroup="data" count="0" hidden="1">
      <extLst>
        <ext xmlns:x15="http://schemas.microsoft.com/office/spreadsheetml/2010/11/main" uri="{B97F6D7D-B522-45F9-BDA1-12C45D357490}">
          <x15:cacheHierarchy aggregatedColumn="21"/>
        </ext>
      </extLst>
    </cacheHierarchy>
    <cacheHierarchy uniqueName="[Measures].[Count of join_date]" caption="Count of join_date" measure="1" displayFolder="" measureGroup="data" count="0" hidden="1">
      <extLst>
        <ext xmlns:x15="http://schemas.microsoft.com/office/spreadsheetml/2010/11/main" uri="{B97F6D7D-B522-45F9-BDA1-12C45D357490}">
          <x15:cacheHierarchy aggregatedColumn="15"/>
        </ext>
      </extLst>
    </cacheHierarchy>
    <cacheHierarchy uniqueName="[Measures].[Max of join_date]" caption="Max of join_date" measure="1" displayFolder="" measureGroup="data" count="0" hidden="1">
      <extLst>
        <ext xmlns:x15="http://schemas.microsoft.com/office/spreadsheetml/2010/11/main" uri="{B97F6D7D-B522-45F9-BDA1-12C45D357490}">
          <x15:cacheHierarchy aggregatedColumn="15"/>
        </ext>
      </extLst>
    </cacheHierarchy>
    <cacheHierarchy uniqueName="[Measures].[Count of id_campaign]" caption="Count of id_campaign" measure="1" displayFolder="" measureGroup="data" count="0" hidden="1">
      <extLst>
        <ext xmlns:x15="http://schemas.microsoft.com/office/spreadsheetml/2010/11/main" uri="{B97F6D7D-B522-45F9-BDA1-12C45D357490}">
          <x15:cacheHierarchy aggregatedColumn="14"/>
        </ext>
      </extLst>
    </cacheHierarchy>
    <cacheHierarchy uniqueName="[Measures].[Count of campaign_name]" caption="Count of campaign_name" measure="1" displayFolder="" measureGroup="campaign" count="0" hidden="1">
      <extLst>
        <ext xmlns:x15="http://schemas.microsoft.com/office/spreadsheetml/2010/11/main" uri="{B97F6D7D-B522-45F9-BDA1-12C45D357490}">
          <x15:cacheHierarchy aggregatedColumn="1"/>
        </ext>
      </extLst>
    </cacheHierarchy>
    <cacheHierarchy uniqueName="[Measures].[Average of Qiymet]" caption="Average of Qiymet" measure="1" displayFolder="" measureGroup="data" count="0" hidden="1">
      <extLst>
        <ext xmlns:x15="http://schemas.microsoft.com/office/spreadsheetml/2010/11/main" uri="{B97F6D7D-B522-45F9-BDA1-12C45D357490}">
          <x15:cacheHierarchy aggregatedColumn="21"/>
        </ext>
      </extLst>
    </cacheHierarchy>
  </cacheHierarchies>
  <kpis count="0"/>
  <dimensions count="4">
    <dimension name="campaign" uniqueName="[campaign]" caption="campaign"/>
    <dimension name="customer" uniqueName="[customer]" caption="customer"/>
    <dimension name="data" uniqueName="[data]" caption="data"/>
    <dimension measure="1" name="Measures" uniqueName="[Measures]" caption="Measures"/>
  </dimensions>
  <measureGroups count="3">
    <measureGroup name="campaign" caption="campaign"/>
    <measureGroup name="customer" caption="customer"/>
    <measureGroup name="data" caption="data"/>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ruf" refreshedDate="46161.638964930557" backgroundQuery="1" createdVersion="8" refreshedVersion="8" minRefreshableVersion="3" recordCount="0" supportSubquery="1" supportAdvancedDrill="1" xr:uid="{7CCCE000-2AD9-4EF9-A4C9-7A5989F842F7}">
  <cacheSource type="external" connectionId="4"/>
  <cacheFields count="3">
    <cacheField name="[data].[id_campaign].[id_campaign]" caption="id_campaign" numFmtId="0" hierarchy="14" level="1">
      <sharedItems count="17">
        <s v="cam01"/>
        <s v="cam02"/>
        <s v="cam03"/>
        <s v="cam04"/>
        <s v="cam05"/>
        <s v="cam06"/>
        <s v="cam07"/>
        <s v="cam08"/>
        <s v="cam09"/>
        <s v="cam10"/>
        <s v="cam11"/>
        <s v="cam12"/>
        <s v="cam13"/>
        <s v="cam14"/>
        <s v="cam15"/>
        <s v="cam16"/>
        <s v="cam17"/>
      </sharedItems>
    </cacheField>
    <cacheField name="[Measures].[Sum of Qiymet]" caption="Sum of Qiymet" numFmtId="0" hierarchy="35" level="32767"/>
    <cacheField name="Unsupported0" numFmtId="0" hierarchy="45" level="32767">
      <extLst>
        <ext xmlns:x14="http://schemas.microsoft.com/office/spreadsheetml/2009/9/main" uri="{63CAB8AC-B538-458d-9737-405883B0398D}">
          <x14:cacheField ignore="1"/>
        </ext>
      </extLst>
    </cacheField>
  </cacheFields>
  <cacheHierarchies count="46">
    <cacheHierarchy uniqueName="[campaign].[id]" caption="id" attribute="1" defaultMemberUniqueName="[campaign].[id].[All]" allUniqueName="[campaign].[id].[All]" dimensionUniqueName="[campaign]" displayFolder="" count="0" memberValueDatatype="130" unbalanced="0"/>
    <cacheHierarchy uniqueName="[campaign].[campaign_name]" caption="campaign_name" attribute="1" defaultMemberUniqueName="[campaign].[campaign_name].[All]" allUniqueName="[campaign].[campaign_name].[All]" dimensionUniqueName="[campaign]" displayFolder="" count="0" memberValueDatatype="130" unbalanced="0"/>
    <cacheHierarchy uniqueName="[campaign].[activate_date]" caption="activate_date" attribute="1" time="1" defaultMemberUniqueName="[campaign].[activate_date].[All]" allUniqueName="[campaign].[activate_date].[All]" dimensionUniqueName="[campaign]" displayFolder="" count="0" memberValueDatatype="7" unbalanced="0"/>
    <cacheHierarchy uniqueName="[campaign].[campaign_price]" caption="campaign_price" attribute="1" defaultMemberUniqueName="[campaign].[campaign_price].[All]" allUniqueName="[campaign].[campaign_price].[All]" dimensionUniqueName="[campaign]" displayFolder="" count="0" memberValueDatatype="20" unbalanced="0"/>
    <cacheHierarchy uniqueName="[campaign].[activate_date (Year)]" caption="activate_date (Year)" attribute="1" defaultMemberUniqueName="[campaign].[activate_date (Year)].[All]" allUniqueName="[campaign].[activate_date (Year)].[All]" dimensionUniqueName="[campaign]" displayFolder="" count="0" memberValueDatatype="130" unbalanced="0"/>
    <cacheHierarchy uniqueName="[campaign].[activate_date (Quarter)]" caption="activate_date (Quarter)" attribute="1" defaultMemberUniqueName="[campaign].[activate_date (Quarter)].[All]" allUniqueName="[campaign].[activate_date (Quarter)].[All]" dimensionUniqueName="[campaign]" displayFolder="" count="0" memberValueDatatype="130" unbalanced="0"/>
    <cacheHierarchy uniqueName="[campaign].[activate_date (Month)]" caption="activate_date (Month)" attribute="1" defaultMemberUniqueName="[campaign].[activate_date (Month)].[All]" allUniqueName="[campaign].[activate_date (Month)].[All]" dimensionUniqueName="[campaign]" displayFolder="" count="0" memberValueDatatype="130" unbalanced="0"/>
    <cacheHierarchy uniqueName="[customer].[id]" caption="id" attribute="1" defaultMemberUniqueName="[customer].[id].[All]" allUniqueName="[customer].[id].[All]" dimensionUniqueName="[customer]" displayFolder="" count="0" memberValueDatatype="13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sm_number]" caption="gsm_number" attribute="1" defaultMemberUniqueName="[customer].[gsm_number].[All]" allUniqueName="[customer].[gsm_number].[All]" dimensionUniqueName="[customer]" displayFolder="" count="0" memberValueDatatype="130" unbalanced="0"/>
    <cacheHierarchy uniqueName="[customer].[customer_age]" caption="customer_age" attribute="1" defaultMemberUniqueName="[customer].[customer_age].[All]" allUniqueName="[customer].[customer_age].[All]" dimensionUniqueName="[customer]" displayFolder="" count="0" memberValueDatatype="20" unbalanced="0"/>
    <cacheHierarchy uniqueName="[customer].[customer_gender]" caption="customer_gender" attribute="1" defaultMemberUniqueName="[customer].[customer_gender].[All]" allUniqueName="[customer].[customer_gender].[All]" dimensionUniqueName="[customer]" displayFolder="" count="0" memberValueDatatype="130" unbalanced="0"/>
    <cacheHierarchy uniqueName="[data].[id_customer]" caption="id_customer" attribute="1" defaultMemberUniqueName="[data].[id_customer].[All]" allUniqueName="[data].[id_customer].[All]" dimensionUniqueName="[data]" displayFolder="" count="0" memberValueDatatype="130" unbalanced="0"/>
    <cacheHierarchy uniqueName="[data].[id_campaign]" caption="id_campaign" attribute="1" defaultMemberUniqueName="[data].[id_campaign].[All]" allUniqueName="[data].[id_campaign].[All]" dimensionUniqueName="[data]" displayFolder="" count="2" memberValueDatatype="130" unbalanced="0">
      <fieldsUsage count="2">
        <fieldUsage x="-1"/>
        <fieldUsage x="0"/>
      </fieldsUsage>
    </cacheHierarchy>
    <cacheHierarchy uniqueName="[data].[join_date]" caption="join_date" attribute="1" time="1" defaultMemberUniqueName="[data].[join_date].[All]" allUniqueName="[data].[join_date].[All]" dimensionUniqueName="[data]" displayFolder="" count="0" memberValueDatatype="7" unbalanced="0"/>
    <cacheHierarchy uniqueName="[data].[buy_date]" caption="buy_date" attribute="1" time="1" defaultMemberUniqueName="[data].[buy_date].[All]" allUniqueName="[data].[buy_date].[All]" dimensionUniqueName="[data]" displayFolder="" count="0" memberValueDatatype="7" unbalanced="0"/>
    <cacheHierarchy uniqueName="[data].[AyFerqi]" caption="AyFerqi" attribute="1" defaultMemberUniqueName="[data].[AyFerqi].[All]" allUniqueName="[data].[AyFerqi].[All]" dimensionUniqueName="[data]" displayFolder="" count="0" memberValueDatatype="20" unbalanced="0"/>
    <cacheHierarchy uniqueName="[data].[join_date (Year)]" caption="join_date (Year)" attribute="1" defaultMemberUniqueName="[data].[join_date (Year)].[All]" allUniqueName="[data].[join_date (Year)].[All]" dimensionUniqueName="[data]" displayFolder="" count="0" memberValueDatatype="130" unbalanced="0"/>
    <cacheHierarchy uniqueName="[data].[join_date (Quarter)]" caption="join_date (Quarter)" attribute="1" defaultMemberUniqueName="[data].[join_date (Quarter)].[All]" allUniqueName="[data].[join_date (Quarter)].[All]" dimensionUniqueName="[data]" displayFolder="" count="0" memberValueDatatype="130" unbalanced="0"/>
    <cacheHierarchy uniqueName="[data].[join_date (Month)]" caption="join_date (Month)" attribute="1" defaultMemberUniqueName="[data].[join_date (Month)].[All]" allUniqueName="[data].[join_date (Month)].[All]" dimensionUniqueName="[data]" displayFolder="" count="0" memberValueDatatype="130" unbalanced="0"/>
    <cacheHierarchy uniqueName="[data].[Qiymet]" caption="Qiymet" attribute="1" defaultMemberUniqueName="[data].[Qiymet].[All]" allUniqueName="[data].[Qiymet].[All]" dimensionUniqueName="[data]" displayFolder="" count="0" memberValueDatatype="20" unbalanced="0"/>
    <cacheHierarchy uniqueName="[data].[buy_date (Year)]" caption="buy_date (Year)" attribute="1" defaultMemberUniqueName="[data].[buy_date (Year)].[All]" allUniqueName="[data].[buy_date (Year)].[All]" dimensionUniqueName="[data]" displayFolder="" count="0" memberValueDatatype="130" unbalanced="0"/>
    <cacheHierarchy uniqueName="[data].[buy_date (Quarter)]" caption="buy_date (Quarter)" attribute="1" defaultMemberUniqueName="[data].[buy_date (Quarter)].[All]" allUniqueName="[data].[buy_date (Quarter)].[All]" dimensionUniqueName="[data]" displayFolder="" count="0" memberValueDatatype="130" unbalanced="0"/>
    <cacheHierarchy uniqueName="[data].[buy_date (Month)]" caption="buy_date (Month)" attribute="1" defaultMemberUniqueName="[data].[buy_date (Month)].[All]" allUniqueName="[data].[buy_date (Month)].[All]" dimensionUniqueName="[data]" displayFolder="" count="0" memberValueDatatype="130" unbalanced="0"/>
    <cacheHierarchy uniqueName="[campaign].[activate_date (Month Index)]" caption="activate_date (Month Index)" attribute="1" defaultMemberUniqueName="[campaign].[activate_date (Month Index)].[All]" allUniqueName="[campaign].[activate_date (Month Index)].[All]" dimensionUniqueName="[campaign]" displayFolder="" count="0" memberValueDatatype="20" unbalanced="0" hidden="1"/>
    <cacheHierarchy uniqueName="[data].[buy_date (Month Index)]" caption="buy_date (Month Index)" attribute="1" defaultMemberUniqueName="[data].[buy_date (Month Index)].[All]" allUniqueName="[data].[buy_date (Month Index)].[All]" dimensionUniqueName="[data]" displayFolder="" count="0" memberValueDatatype="20" unbalanced="0" hidden="1"/>
    <cacheHierarchy uniqueName="[data].[join_date (Month Index)]" caption="join_date (Month Index)" attribute="1" defaultMemberUniqueName="[data].[join_date (Month Index)].[All]" allUniqueName="[data].[join_date (Month Index)].[All]" dimensionUniqueName="[data]" displayFolder="" count="0" memberValueDatatype="20" unbalanced="0" hidden="1"/>
    <cacheHierarchy uniqueName="[Measures].[__XL_Count campaign]" caption="__XL_Count campaign" measure="1" displayFolder="" measureGroup="campaign" count="0" hidden="1"/>
    <cacheHierarchy uniqueName="[Measures].[__XL_Count data]" caption="__XL_Count data" measure="1" displayFolder="" measureGroup="data"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id_customer]" caption="Count of id_customer" measure="1" displayFolder="" measureGroup="data" count="0" hidden="1">
      <extLst>
        <ext xmlns:x15="http://schemas.microsoft.com/office/spreadsheetml/2010/11/main" uri="{B97F6D7D-B522-45F9-BDA1-12C45D357490}">
          <x15:cacheHierarchy aggregatedColumn="13"/>
        </ext>
      </extLst>
    </cacheHierarchy>
    <cacheHierarchy uniqueName="[Measures].[Distinct Count of id_customer]" caption="Distinct Count of id_customer" measure="1" displayFolder="" measureGroup="data" count="0" hidden="1">
      <extLst>
        <ext xmlns:x15="http://schemas.microsoft.com/office/spreadsheetml/2010/11/main" uri="{B97F6D7D-B522-45F9-BDA1-12C45D357490}">
          <x15:cacheHierarchy aggregatedColumn="13"/>
        </ext>
      </extLst>
    </cacheHierarchy>
    <cacheHierarchy uniqueName="[Measures].[Sum of campaign_price]" caption="Sum of campaign_price" measure="1" displayFolder="" measureGroup="campaign" count="0" hidden="1">
      <extLst>
        <ext xmlns:x15="http://schemas.microsoft.com/office/spreadsheetml/2010/11/main" uri="{B97F6D7D-B522-45F9-BDA1-12C45D357490}">
          <x15:cacheHierarchy aggregatedColumn="3"/>
        </ext>
      </extLst>
    </cacheHierarchy>
    <cacheHierarchy uniqueName="[Measures].[Sum of Qiymet]" caption="Sum of Qiymet" measure="1" displayFolder="" measureGroup="data"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buy_date]" caption="Count of buy_date" measure="1" displayFolder="" measureGroup="data" count="0" hidden="1">
      <extLst>
        <ext xmlns:x15="http://schemas.microsoft.com/office/spreadsheetml/2010/11/main" uri="{B97F6D7D-B522-45F9-BDA1-12C45D357490}">
          <x15:cacheHierarchy aggregatedColumn="16"/>
        </ext>
      </extLst>
    </cacheHierarchy>
    <cacheHierarchy uniqueName="[Measures].[Count of activate_date]" caption="Count of activate_date" measure="1" displayFolder="" measureGroup="campaign" count="0" hidden="1">
      <extLst>
        <ext xmlns:x15="http://schemas.microsoft.com/office/spreadsheetml/2010/11/main" uri="{B97F6D7D-B522-45F9-BDA1-12C45D357490}">
          <x15:cacheHierarchy aggregatedColumn="2"/>
        </ext>
      </extLst>
    </cacheHierarchy>
    <cacheHierarchy uniqueName="[Measures].[Max of campaign_price]" caption="Max of campaign_price" measure="1" displayFolder="" measureGroup="campaign" count="0" hidden="1">
      <extLst>
        <ext xmlns:x15="http://schemas.microsoft.com/office/spreadsheetml/2010/11/main" uri="{B97F6D7D-B522-45F9-BDA1-12C45D357490}">
          <x15:cacheHierarchy aggregatedColumn="3"/>
        </ext>
      </extLst>
    </cacheHierarchy>
    <cacheHierarchy uniqueName="[Measures].[Max of Qiymet]" caption="Max of Qiymet" measure="1" displayFolder="" measureGroup="data" count="0" hidden="1">
      <extLst>
        <ext xmlns:x15="http://schemas.microsoft.com/office/spreadsheetml/2010/11/main" uri="{B97F6D7D-B522-45F9-BDA1-12C45D357490}">
          <x15:cacheHierarchy aggregatedColumn="21"/>
        </ext>
      </extLst>
    </cacheHierarchy>
    <cacheHierarchy uniqueName="[Measures].[Count of join_date]" caption="Count of join_date" measure="1" displayFolder="" measureGroup="data" count="0" hidden="1">
      <extLst>
        <ext xmlns:x15="http://schemas.microsoft.com/office/spreadsheetml/2010/11/main" uri="{B97F6D7D-B522-45F9-BDA1-12C45D357490}">
          <x15:cacheHierarchy aggregatedColumn="15"/>
        </ext>
      </extLst>
    </cacheHierarchy>
    <cacheHierarchy uniqueName="[Measures].[Max of join_date]" caption="Max of join_date" measure="1" displayFolder="" measureGroup="data" count="0" hidden="1">
      <extLst>
        <ext xmlns:x15="http://schemas.microsoft.com/office/spreadsheetml/2010/11/main" uri="{B97F6D7D-B522-45F9-BDA1-12C45D357490}">
          <x15:cacheHierarchy aggregatedColumn="15"/>
        </ext>
      </extLst>
    </cacheHierarchy>
    <cacheHierarchy uniqueName="[Measures].[Count of id_campaign]" caption="Count of id_campaign" measure="1" displayFolder="" measureGroup="data" count="0" hidden="1">
      <extLst>
        <ext xmlns:x15="http://schemas.microsoft.com/office/spreadsheetml/2010/11/main" uri="{B97F6D7D-B522-45F9-BDA1-12C45D357490}">
          <x15:cacheHierarchy aggregatedColumn="14"/>
        </ext>
      </extLst>
    </cacheHierarchy>
    <cacheHierarchy uniqueName="[Measures].[Count of campaign_name]" caption="Count of campaign_name" measure="1" displayFolder="" measureGroup="campaign" count="0" hidden="1">
      <extLst>
        <ext xmlns:x15="http://schemas.microsoft.com/office/spreadsheetml/2010/11/main" uri="{B97F6D7D-B522-45F9-BDA1-12C45D357490}">
          <x15:cacheHierarchy aggregatedColumn="1"/>
        </ext>
      </extLst>
    </cacheHierarchy>
    <cacheHierarchy uniqueName="[Measures].[Average of Qiymet]" caption="Average of Qiymet" measure="1" displayFolder="" measureGroup="data" count="0" hidden="1">
      <extLst>
        <ext xmlns:x15="http://schemas.microsoft.com/office/spreadsheetml/2010/11/main" uri="{B97F6D7D-B522-45F9-BDA1-12C45D357490}">
          <x15:cacheHierarchy aggregatedColumn="21"/>
        </ext>
      </extLst>
    </cacheHierarchy>
    <cacheHierarchy uniqueName="Unsupported0" caption="id" measure="1" count="0">
      <extLst>
        <ext xmlns:x14="http://schemas.microsoft.com/office/spreadsheetml/2009/9/main" uri="{8CF416AD-EC4C-4aba-99F5-12A058AE0983}">
          <x14:cacheHierarchy ignore="1"/>
        </ext>
      </extLst>
    </cacheHierarchy>
  </cacheHierarchies>
  <kpis count="0"/>
  <dimensions count="4">
    <dimension name="campaign" uniqueName="[campaign]" caption="campaign"/>
    <dimension name="customer" uniqueName="[customer]" caption="customer"/>
    <dimension name="data" uniqueName="[data]" caption="data"/>
    <dimension measure="1" name="Measures" uniqueName="[Measures]" caption="Measures"/>
  </dimensions>
  <measureGroups count="3">
    <measureGroup name="campaign" caption="campaign"/>
    <measureGroup name="customer" caption="customer"/>
    <measureGroup name="data" caption="data"/>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ruf" refreshedDate="46161.649262384257" backgroundQuery="1" createdVersion="8" refreshedVersion="8" minRefreshableVersion="3" recordCount="0" supportSubquery="1" supportAdvancedDrill="1" xr:uid="{764A592C-7544-4755-93EF-59594313DDD9}">
  <cacheSource type="external" connectionId="4"/>
  <cacheFields count="4">
    <cacheField name="[data].[join_date (Month)].[join_date (Month)]" caption="join_date (Month)" numFmtId="0" hierarchy="20" level="1">
      <sharedItems count="12">
        <s v="yan"/>
        <s v="fev"/>
        <s v="mar"/>
        <s v="apr"/>
        <s v="may"/>
        <s v="iyn"/>
        <s v="iyl"/>
        <s v="avq"/>
        <s v="sen"/>
        <s v="okt"/>
        <s v="noy"/>
        <s v="dek"/>
      </sharedItems>
    </cacheField>
    <cacheField name="[data].[join_date (Year)].[join_date (Year)]" caption="join_date (Year)" numFmtId="0" hierarchy="18" level="1">
      <sharedItems count="2">
        <s v="2022"/>
        <s v="2023"/>
      </sharedItems>
    </cacheField>
    <cacheField name="[data].[AyFerqi].[AyFerqi]" caption="AyFerqi" numFmtId="0" hierarchy="17" level="1">
      <sharedItems containsSemiMixedTypes="0" containsString="0" containsNumber="1" containsInteger="1" minValue="0" maxValue="16" count="17">
        <n v="0"/>
        <n v="1"/>
        <n v="2"/>
        <n v="3"/>
        <n v="4"/>
        <n v="5"/>
        <n v="6"/>
        <n v="7"/>
        <n v="8"/>
        <n v="9"/>
        <n v="10"/>
        <n v="11"/>
        <n v="12"/>
        <n v="13"/>
        <n v="14"/>
        <n v="15"/>
        <n v="16"/>
      </sharedItems>
      <extLst>
        <ext xmlns:x15="http://schemas.microsoft.com/office/spreadsheetml/2010/11/main" uri="{4F2E5C28-24EA-4eb8-9CBF-B6C8F9C3D259}">
          <x15:cachedUniqueNames>
            <x15:cachedUniqueName index="0" name="[data].[AyFerqi].&amp;[0]"/>
            <x15:cachedUniqueName index="1" name="[data].[AyFerqi].&amp;[1]"/>
            <x15:cachedUniqueName index="2" name="[data].[AyFerqi].&amp;[2]"/>
            <x15:cachedUniqueName index="3" name="[data].[AyFerqi].&amp;[3]"/>
            <x15:cachedUniqueName index="4" name="[data].[AyFerqi].&amp;[4]"/>
            <x15:cachedUniqueName index="5" name="[data].[AyFerqi].&amp;[5]"/>
            <x15:cachedUniqueName index="6" name="[data].[AyFerqi].&amp;[6]"/>
            <x15:cachedUniqueName index="7" name="[data].[AyFerqi].&amp;[7]"/>
            <x15:cachedUniqueName index="8" name="[data].[AyFerqi].&amp;[8]"/>
            <x15:cachedUniqueName index="9" name="[data].[AyFerqi].&amp;[9]"/>
            <x15:cachedUniqueName index="10" name="[data].[AyFerqi].&amp;[10]"/>
            <x15:cachedUniqueName index="11" name="[data].[AyFerqi].&amp;[11]"/>
            <x15:cachedUniqueName index="12" name="[data].[AyFerqi].&amp;[12]"/>
            <x15:cachedUniqueName index="13" name="[data].[AyFerqi].&amp;[13]"/>
            <x15:cachedUniqueName index="14" name="[data].[AyFerqi].&amp;[14]"/>
            <x15:cachedUniqueName index="15" name="[data].[AyFerqi].&amp;[15]"/>
            <x15:cachedUniqueName index="16" name="[data].[AyFerqi].&amp;[16]"/>
          </x15:cachedUniqueNames>
        </ext>
      </extLst>
    </cacheField>
    <cacheField name="[Measures].[Distinct Count of id_customer]" caption="Distinct Count of id_customer" numFmtId="0" hierarchy="33" level="32767"/>
  </cacheFields>
  <cacheHierarchies count="45">
    <cacheHierarchy uniqueName="[campaign].[id]" caption="id" attribute="1" defaultMemberUniqueName="[campaign].[id].[All]" allUniqueName="[campaign].[id].[All]" dimensionUniqueName="[campaign]" displayFolder="" count="0" memberValueDatatype="130" unbalanced="0"/>
    <cacheHierarchy uniqueName="[campaign].[campaign_name]" caption="campaign_name" attribute="1" defaultMemberUniqueName="[campaign].[campaign_name].[All]" allUniqueName="[campaign].[campaign_name].[All]" dimensionUniqueName="[campaign]" displayFolder="" count="2" memberValueDatatype="130" unbalanced="0"/>
    <cacheHierarchy uniqueName="[campaign].[activate_date]" caption="activate_date" attribute="1" time="1" defaultMemberUniqueName="[campaign].[activate_date].[All]" allUniqueName="[campaign].[activate_date].[All]" dimensionUniqueName="[campaign]" displayFolder="" count="0" memberValueDatatype="7" unbalanced="0"/>
    <cacheHierarchy uniqueName="[campaign].[campaign_price]" caption="campaign_price" attribute="1" defaultMemberUniqueName="[campaign].[campaign_price].[All]" allUniqueName="[campaign].[campaign_price].[All]" dimensionUniqueName="[campaign]" displayFolder="" count="0" memberValueDatatype="20" unbalanced="0"/>
    <cacheHierarchy uniqueName="[campaign].[activate_date (Year)]" caption="activate_date (Year)" attribute="1" defaultMemberUniqueName="[campaign].[activate_date (Year)].[All]" allUniqueName="[campaign].[activate_date (Year)].[All]" dimensionUniqueName="[campaign]" displayFolder="" count="0" memberValueDatatype="130" unbalanced="0"/>
    <cacheHierarchy uniqueName="[campaign].[activate_date (Quarter)]" caption="activate_date (Quarter)" attribute="1" defaultMemberUniqueName="[campaign].[activate_date (Quarter)].[All]" allUniqueName="[campaign].[activate_date (Quarter)].[All]" dimensionUniqueName="[campaign]" displayFolder="" count="0" memberValueDatatype="130" unbalanced="0"/>
    <cacheHierarchy uniqueName="[campaign].[activate_date (Month)]" caption="activate_date (Month)" attribute="1" defaultMemberUniqueName="[campaign].[activate_date (Month)].[All]" allUniqueName="[campaign].[activate_date (Month)].[All]" dimensionUniqueName="[campaign]" displayFolder="" count="0" memberValueDatatype="130" unbalanced="0"/>
    <cacheHierarchy uniqueName="[customer].[id]" caption="id" attribute="1" defaultMemberUniqueName="[customer].[id].[All]" allUniqueName="[customer].[id].[All]" dimensionUniqueName="[customer]" displayFolder="" count="0" memberValueDatatype="13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sm_number]" caption="gsm_number" attribute="1" defaultMemberUniqueName="[customer].[gsm_number].[All]" allUniqueName="[customer].[gsm_number].[All]" dimensionUniqueName="[customer]" displayFolder="" count="0" memberValueDatatype="130" unbalanced="0"/>
    <cacheHierarchy uniqueName="[customer].[customer_age]" caption="customer_age" attribute="1" defaultMemberUniqueName="[customer].[customer_age].[All]" allUniqueName="[customer].[customer_age].[All]" dimensionUniqueName="[customer]" displayFolder="" count="0" memberValueDatatype="20" unbalanced="0"/>
    <cacheHierarchy uniqueName="[customer].[customer_gender]" caption="customer_gender" attribute="1" defaultMemberUniqueName="[customer].[customer_gender].[All]" allUniqueName="[customer].[customer_gender].[All]" dimensionUniqueName="[customer]" displayFolder="" count="0" memberValueDatatype="130" unbalanced="0"/>
    <cacheHierarchy uniqueName="[data].[id_customer]" caption="id_customer" attribute="1" defaultMemberUniqueName="[data].[id_customer].[All]" allUniqueName="[data].[id_customer].[All]" dimensionUniqueName="[data]" displayFolder="" count="0" memberValueDatatype="130" unbalanced="0"/>
    <cacheHierarchy uniqueName="[data].[id_campaign]" caption="id_campaign" attribute="1" defaultMemberUniqueName="[data].[id_campaign].[All]" allUniqueName="[data].[id_campaign].[All]" dimensionUniqueName="[data]" displayFolder="" count="0" memberValueDatatype="130" unbalanced="0"/>
    <cacheHierarchy uniqueName="[data].[join_date]" caption="join_date" attribute="1" time="1" defaultMemberUniqueName="[data].[join_date].[All]" allUniqueName="[data].[join_date].[All]" dimensionUniqueName="[data]" displayFolder="" count="0" memberValueDatatype="7" unbalanced="0"/>
    <cacheHierarchy uniqueName="[data].[buy_date]" caption="buy_date" attribute="1" time="1" defaultMemberUniqueName="[data].[buy_date].[All]" allUniqueName="[data].[buy_date].[All]" dimensionUniqueName="[data]" displayFolder="" count="0" memberValueDatatype="7" unbalanced="0"/>
    <cacheHierarchy uniqueName="[data].[AyFerqi]" caption="AyFerqi" attribute="1" defaultMemberUniqueName="[data].[AyFerqi].[All]" allUniqueName="[data].[AyFerqi].[All]" dimensionUniqueName="[data]" displayFolder="" count="2" memberValueDatatype="20" unbalanced="0">
      <fieldsUsage count="2">
        <fieldUsage x="-1"/>
        <fieldUsage x="2"/>
      </fieldsUsage>
    </cacheHierarchy>
    <cacheHierarchy uniqueName="[data].[join_date (Year)]" caption="join_date (Year)" attribute="1" defaultMemberUniqueName="[data].[join_date (Year)].[All]" allUniqueName="[data].[join_date (Year)].[All]" dimensionUniqueName="[data]" displayFolder="" count="2" memberValueDatatype="130" unbalanced="0">
      <fieldsUsage count="2">
        <fieldUsage x="-1"/>
        <fieldUsage x="1"/>
      </fieldsUsage>
    </cacheHierarchy>
    <cacheHierarchy uniqueName="[data].[join_date (Quarter)]" caption="join_date (Quarter)" attribute="1" defaultMemberUniqueName="[data].[join_date (Quarter)].[All]" allUniqueName="[data].[join_date (Quarter)].[All]" dimensionUniqueName="[data]" displayFolder="" count="0" memberValueDatatype="130" unbalanced="0"/>
    <cacheHierarchy uniqueName="[data].[join_date (Month)]" caption="join_date (Month)" attribute="1" defaultMemberUniqueName="[data].[join_date (Month)].[All]" allUniqueName="[data].[join_date (Month)].[All]" dimensionUniqueName="[data]" displayFolder="" count="2" memberValueDatatype="130" unbalanced="0">
      <fieldsUsage count="2">
        <fieldUsage x="-1"/>
        <fieldUsage x="0"/>
      </fieldsUsage>
    </cacheHierarchy>
    <cacheHierarchy uniqueName="[data].[Qiymet]" caption="Qiymet" attribute="1" defaultMemberUniqueName="[data].[Qiymet].[All]" allUniqueName="[data].[Qiymet].[All]" dimensionUniqueName="[data]" displayFolder="" count="0" memberValueDatatype="20" unbalanced="0"/>
    <cacheHierarchy uniqueName="[data].[buy_date (Year)]" caption="buy_date (Year)" attribute="1" defaultMemberUniqueName="[data].[buy_date (Year)].[All]" allUniqueName="[data].[buy_date (Year)].[All]" dimensionUniqueName="[data]" displayFolder="" count="0" memberValueDatatype="130" unbalanced="0"/>
    <cacheHierarchy uniqueName="[data].[buy_date (Quarter)]" caption="buy_date (Quarter)" attribute="1" defaultMemberUniqueName="[data].[buy_date (Quarter)].[All]" allUniqueName="[data].[buy_date (Quarter)].[All]" dimensionUniqueName="[data]" displayFolder="" count="0" memberValueDatatype="130" unbalanced="0"/>
    <cacheHierarchy uniqueName="[data].[buy_date (Month)]" caption="buy_date (Month)" attribute="1" defaultMemberUniqueName="[data].[buy_date (Month)].[All]" allUniqueName="[data].[buy_date (Month)].[All]" dimensionUniqueName="[data]" displayFolder="" count="0" memberValueDatatype="130" unbalanced="0"/>
    <cacheHierarchy uniqueName="[campaign].[activate_date (Month Index)]" caption="activate_date (Month Index)" attribute="1" defaultMemberUniqueName="[campaign].[activate_date (Month Index)].[All]" allUniqueName="[campaign].[activate_date (Month Index)].[All]" dimensionUniqueName="[campaign]" displayFolder="" count="0" memberValueDatatype="20" unbalanced="0" hidden="1"/>
    <cacheHierarchy uniqueName="[data].[buy_date (Month Index)]" caption="buy_date (Month Index)" attribute="1" defaultMemberUniqueName="[data].[buy_date (Month Index)].[All]" allUniqueName="[data].[buy_date (Month Index)].[All]" dimensionUniqueName="[data]" displayFolder="" count="0" memberValueDatatype="20" unbalanced="0" hidden="1"/>
    <cacheHierarchy uniqueName="[data].[join_date (Month Index)]" caption="join_date (Month Index)" attribute="1" defaultMemberUniqueName="[data].[join_date (Month Index)].[All]" allUniqueName="[data].[join_date (Month Index)].[All]" dimensionUniqueName="[data]" displayFolder="" count="0" memberValueDatatype="20" unbalanced="0" hidden="1"/>
    <cacheHierarchy uniqueName="[Measures].[__XL_Count campaign]" caption="__XL_Count campaign" measure="1" displayFolder="" measureGroup="campaign" count="0" hidden="1"/>
    <cacheHierarchy uniqueName="[Measures].[__XL_Count data]" caption="__XL_Count data" measure="1" displayFolder="" measureGroup="data"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id_customer]" caption="Count of id_customer" measure="1" displayFolder="" measureGroup="data" count="0" hidden="1">
      <extLst>
        <ext xmlns:x15="http://schemas.microsoft.com/office/spreadsheetml/2010/11/main" uri="{B97F6D7D-B522-45F9-BDA1-12C45D357490}">
          <x15:cacheHierarchy aggregatedColumn="13"/>
        </ext>
      </extLst>
    </cacheHierarchy>
    <cacheHierarchy uniqueName="[Measures].[Distinct Count of id_customer]" caption="Distinct Count of id_customer" measure="1" displayFolder="" measureGroup="data"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campaign_price]" caption="Sum of campaign_price" measure="1" displayFolder="" measureGroup="campaign" count="0" hidden="1">
      <extLst>
        <ext xmlns:x15="http://schemas.microsoft.com/office/spreadsheetml/2010/11/main" uri="{B97F6D7D-B522-45F9-BDA1-12C45D357490}">
          <x15:cacheHierarchy aggregatedColumn="3"/>
        </ext>
      </extLst>
    </cacheHierarchy>
    <cacheHierarchy uniqueName="[Measures].[Sum of Qiymet]" caption="Sum of Qiymet" measure="1" displayFolder="" measureGroup="data" count="0" hidden="1">
      <extLst>
        <ext xmlns:x15="http://schemas.microsoft.com/office/spreadsheetml/2010/11/main" uri="{B97F6D7D-B522-45F9-BDA1-12C45D357490}">
          <x15:cacheHierarchy aggregatedColumn="21"/>
        </ext>
      </extLst>
    </cacheHierarchy>
    <cacheHierarchy uniqueName="[Measures].[Count of buy_date]" caption="Count of buy_date" measure="1" displayFolder="" measureGroup="data" count="0" hidden="1">
      <extLst>
        <ext xmlns:x15="http://schemas.microsoft.com/office/spreadsheetml/2010/11/main" uri="{B97F6D7D-B522-45F9-BDA1-12C45D357490}">
          <x15:cacheHierarchy aggregatedColumn="16"/>
        </ext>
      </extLst>
    </cacheHierarchy>
    <cacheHierarchy uniqueName="[Measures].[Count of activate_date]" caption="Count of activate_date" measure="1" displayFolder="" measureGroup="campaign" count="0" hidden="1">
      <extLst>
        <ext xmlns:x15="http://schemas.microsoft.com/office/spreadsheetml/2010/11/main" uri="{B97F6D7D-B522-45F9-BDA1-12C45D357490}">
          <x15:cacheHierarchy aggregatedColumn="2"/>
        </ext>
      </extLst>
    </cacheHierarchy>
    <cacheHierarchy uniqueName="[Measures].[Max of campaign_price]" caption="Max of campaign_price" measure="1" displayFolder="" measureGroup="campaign" count="0" hidden="1">
      <extLst>
        <ext xmlns:x15="http://schemas.microsoft.com/office/spreadsheetml/2010/11/main" uri="{B97F6D7D-B522-45F9-BDA1-12C45D357490}">
          <x15:cacheHierarchy aggregatedColumn="3"/>
        </ext>
      </extLst>
    </cacheHierarchy>
    <cacheHierarchy uniqueName="[Measures].[Max of Qiymet]" caption="Max of Qiymet" measure="1" displayFolder="" measureGroup="data" count="0" hidden="1">
      <extLst>
        <ext xmlns:x15="http://schemas.microsoft.com/office/spreadsheetml/2010/11/main" uri="{B97F6D7D-B522-45F9-BDA1-12C45D357490}">
          <x15:cacheHierarchy aggregatedColumn="21"/>
        </ext>
      </extLst>
    </cacheHierarchy>
    <cacheHierarchy uniqueName="[Measures].[Count of join_date]" caption="Count of join_date" measure="1" displayFolder="" measureGroup="data" count="0" hidden="1">
      <extLst>
        <ext xmlns:x15="http://schemas.microsoft.com/office/spreadsheetml/2010/11/main" uri="{B97F6D7D-B522-45F9-BDA1-12C45D357490}">
          <x15:cacheHierarchy aggregatedColumn="15"/>
        </ext>
      </extLst>
    </cacheHierarchy>
    <cacheHierarchy uniqueName="[Measures].[Max of join_date]" caption="Max of join_date" measure="1" displayFolder="" measureGroup="data" count="0" hidden="1">
      <extLst>
        <ext xmlns:x15="http://schemas.microsoft.com/office/spreadsheetml/2010/11/main" uri="{B97F6D7D-B522-45F9-BDA1-12C45D357490}">
          <x15:cacheHierarchy aggregatedColumn="15"/>
        </ext>
      </extLst>
    </cacheHierarchy>
    <cacheHierarchy uniqueName="[Measures].[Count of id_campaign]" caption="Count of id_campaign" measure="1" displayFolder="" measureGroup="data" count="0" hidden="1">
      <extLst>
        <ext xmlns:x15="http://schemas.microsoft.com/office/spreadsheetml/2010/11/main" uri="{B97F6D7D-B522-45F9-BDA1-12C45D357490}">
          <x15:cacheHierarchy aggregatedColumn="14"/>
        </ext>
      </extLst>
    </cacheHierarchy>
    <cacheHierarchy uniqueName="[Measures].[Count of campaign_name]" caption="Count of campaign_name" measure="1" displayFolder="" measureGroup="campaign" count="0" hidden="1">
      <extLst>
        <ext xmlns:x15="http://schemas.microsoft.com/office/spreadsheetml/2010/11/main" uri="{B97F6D7D-B522-45F9-BDA1-12C45D357490}">
          <x15:cacheHierarchy aggregatedColumn="1"/>
        </ext>
      </extLst>
    </cacheHierarchy>
    <cacheHierarchy uniqueName="[Measures].[Average of Qiymet]" caption="Average of Qiymet" measure="1" displayFolder="" measureGroup="data" count="0" hidden="1">
      <extLst>
        <ext xmlns:x15="http://schemas.microsoft.com/office/spreadsheetml/2010/11/main" uri="{B97F6D7D-B522-45F9-BDA1-12C45D357490}">
          <x15:cacheHierarchy aggregatedColumn="21"/>
        </ext>
      </extLst>
    </cacheHierarchy>
  </cacheHierarchies>
  <kpis count="0"/>
  <dimensions count="4">
    <dimension name="campaign" uniqueName="[campaign]" caption="campaign"/>
    <dimension name="customer" uniqueName="[customer]" caption="customer"/>
    <dimension name="data" uniqueName="[data]" caption="data"/>
    <dimension measure="1" name="Measures" uniqueName="[Measures]" caption="Measures"/>
  </dimensions>
  <measureGroups count="3">
    <measureGroup name="campaign" caption="campaign"/>
    <measureGroup name="customer" caption="customer"/>
    <measureGroup name="data" caption="data"/>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ruf" refreshedDate="46161.68266111111" backgroundQuery="1" createdVersion="8" refreshedVersion="8" minRefreshableVersion="3" recordCount="0" supportSubquery="1" supportAdvancedDrill="1" xr:uid="{B2E8A942-BDBE-4FFE-9E2D-673009600632}">
  <cacheSource type="external" connectionId="4"/>
  <cacheFields count="4">
    <cacheField name="[customer].[full_name].[full_name]" caption="full_name" numFmtId="0" hierarchy="8" level="1">
      <sharedItems count="972">
        <s v="Abbott Salazar"/>
        <s v="Abdul Foulds"/>
        <s v="Abrahan Cotton"/>
        <s v="Adan Doghartie"/>
        <s v="Addie Chillcot"/>
        <s v="Adelle Wattingham"/>
        <s v="Adey Driscoll"/>
        <s v="Adler Instock"/>
        <s v="Adolph Wisedale"/>
        <s v="Adoree Hasard"/>
        <s v="Adriena Thomton"/>
        <s v="Aguie Guppy"/>
        <s v="Ahmad Toping"/>
        <s v="Axel Hurdman"/>
        <s v="Aigneis Senn"/>
        <s v="Ailene Faithorn"/>
        <s v="Aili Maybery"/>
        <s v="Alan Kennham"/>
        <s v="Albert Klemmt"/>
        <s v="Albina Ivy"/>
        <s v="Aldo Haggidon"/>
        <s v="Aldric Newman"/>
        <s v="Alecia Jaggs"/>
        <s v="Alex Posselow"/>
        <s v="Alexei Splevins"/>
        <s v="Alexia Spadollini"/>
        <s v="Alexio Arno"/>
        <s v="Alfie Gatman"/>
        <s v="Alfredo Artus"/>
        <s v="Ali Crow"/>
        <s v="Alica O'Fallowne"/>
        <s v="Alika Mainson"/>
        <s v="Aline Le Barr"/>
        <s v="Allissa Negus"/>
        <s v="Allyson Ramalho"/>
        <s v="Alma Copping"/>
        <s v="Aloin Cunnane"/>
        <s v="Aloin Laydel"/>
        <s v="Alphonse Abelson"/>
        <s v="Alvie Domican"/>
        <s v="Alysia Drees"/>
        <s v="Alyson Doxsey"/>
        <s v="Amanda Fenwick"/>
        <s v="Ambrosi Levesley"/>
        <s v="Amii McGibbon"/>
        <s v="Amil Carvill"/>
        <s v="Anabella Cassell"/>
        <s v="Anabella Whittlesey"/>
        <s v="Andriette Wheeler"/>
        <s v="Angel Willowby"/>
        <s v="Angie Steers"/>
        <s v="Ania Lidgett"/>
        <s v="Anica Tuerena"/>
        <s v="Anitra Litherland"/>
        <s v="Annabela Overton"/>
        <s v="Anna-diana Stuchberry"/>
        <s v="Annalee Mocquer"/>
        <s v="Annalise Indruch"/>
        <s v="Annette Korneluk"/>
        <s v="Annmaria Wallbridge"/>
        <s v="Annnora Devonport"/>
        <s v="Annnora Ranahan"/>
        <s v="Anthe Boobyer"/>
        <s v="Aprilette Parkhouse"/>
        <s v="Ara Warboy"/>
        <s v="Archy Binley"/>
        <s v="Ardis Walbrook"/>
        <s v="Ariadne McCaster"/>
        <s v="Ariel Derrell"/>
        <s v="Aristotle Whieldon"/>
        <s v="Arlan Boow"/>
        <s v="Arlette Beggs"/>
        <s v="Arlie Stranahan"/>
        <s v="Arlin Grinov"/>
        <s v="Arman Haresnape"/>
        <s v="Armin Sollitt"/>
        <s v="Arte Dalliwater"/>
        <s v="Arther Marunchak"/>
        <s v="Artie Joutapaitis"/>
        <s v="Arvie Ilett"/>
        <s v="Arvin Hyndson"/>
        <s v="Ashby Goose"/>
        <s v="Ashby Winsom"/>
        <s v="Ashleigh Stanford"/>
        <s v="Ashli Elwyn"/>
        <s v="Ashli Lawrie"/>
        <s v="Ashly Ferrarin"/>
        <s v="Aube Madge"/>
        <s v="Aubine Pounder"/>
        <s v="Augustus Falls"/>
        <s v="Aura Bruckner"/>
        <s v="Baxy Martinson"/>
        <s v="Bailey Jopp"/>
        <s v="Barbara Jobbins"/>
        <s v="Barnard Hollow"/>
        <s v="Barnett Pace"/>
        <s v="Barrie Eagleton"/>
        <s v="Bartholomeo Lamplugh"/>
        <s v="Bartholomeus Gerhardt"/>
        <s v="Bartram Carroll"/>
        <s v="Batholomew Allix"/>
        <s v="Bay Chesswas"/>
        <s v="Beale Hazeldine"/>
        <s v="Beatriz Hearsey"/>
        <s v="Beauregard Causton"/>
        <s v="Bekki Deekes"/>
        <s v="Belinda Postans"/>
        <s v="Benedetta Moogan"/>
        <s v="Benedick Askem"/>
        <s v="Benedikta Dunn"/>
        <s v="Bengt Tonge"/>
        <s v="Benjy Flahive"/>
        <s v="Berkie Bernardes"/>
        <s v="Bernardo Hazelhurst"/>
        <s v="Berty Yapp"/>
        <s v="Betta Zanettini"/>
        <s v="Betteann Birkenshaw"/>
        <s v="Betteann Carress"/>
        <s v="Bettina Fothergill"/>
        <s v="Bettine Kitchener"/>
        <s v="Beulah Applegarth"/>
        <s v="Bibby Rustman"/>
        <s v="Bili Pairpoint"/>
        <s v="Birgit Leas"/>
        <s v="Blakeley Bowie"/>
        <s v="Bobbe Prandini"/>
        <s v="Bobbee MacKinnon"/>
        <s v="Bobbye Hardistry"/>
        <s v="Bonny Crowd"/>
        <s v="Borden Trustram"/>
        <s v="Boycie Isley"/>
        <s v="Brade Domican"/>
        <s v="Brant Fonso"/>
        <s v="Bren Todari"/>
        <s v="Brenn Enstone"/>
        <s v="Brennan Franzetti"/>
        <s v="Brice Craker"/>
        <s v="Brien McGuire"/>
        <s v="Brit Swaddle"/>
        <s v="Britt Dyte"/>
        <s v="Brittan Fowlston"/>
        <s v="Brock Jentet"/>
        <s v="Bron Ghilardi"/>
        <s v="Brooks Cockburn"/>
        <s v="Brooks Haveline"/>
        <s v="Bruis Kops"/>
        <s v="Brynna Broinlich"/>
        <s v="Brynna Dedney"/>
        <s v="Buck Thamelt"/>
        <s v="Buffy Tonn"/>
        <s v="Burnaby Tuvey"/>
        <s v="Burnard Coade"/>
        <s v="Byran Espinas"/>
        <s v="Caldwell Buzzing"/>
        <s v="Cameron Faro"/>
        <s v="Cammie Legh"/>
        <s v="Caprice Pyecroft"/>
        <s v="Caresse Nanninini"/>
        <s v="Carl Sleney"/>
        <s v="Carla Connors"/>
        <s v="Carleton Atkin"/>
        <s v="Carlie Tasker"/>
        <s v="Carlin Gallen"/>
        <s v="Carma Barrand"/>
        <s v="Carolus Wagg"/>
        <s v="Casey Doohey"/>
        <s v="Casey Dorrian"/>
        <s v="Casi Du Fray"/>
        <s v="Cassaundra Bamlett"/>
        <s v="Catharine Merwood"/>
        <s v="Catherine Bottomley"/>
        <s v="Cathlene Tatterton"/>
        <s v="Caz Reinhardt"/>
        <s v="Cecilio Fernier"/>
        <s v="Celisse Idale"/>
        <s v="Chantalle Villa"/>
        <s v="Charita Prisk"/>
        <s v="Charmane Turville"/>
        <s v="Charmion Blowfield"/>
        <s v="Chauncey Behninck"/>
        <s v="Chelsy Triggle"/>
        <s v="Cherey Corneliussen"/>
        <s v="Chev Stallion"/>
        <s v="Chiquita Riddiough"/>
        <s v="Chlo Durkin"/>
        <s v="Christabella Caneo"/>
        <s v="Chrisy Kuzma"/>
        <s v="Chryste Besnardeau"/>
        <s v="Cirillo Lutzmann"/>
        <s v="Claiborn Luckwell"/>
        <s v="Claiborne Poplee"/>
        <s v="Clarabelle Rugiero"/>
        <s v="Claretta Bridgewater"/>
        <s v="Clarinda Hellwing"/>
        <s v="Clark Joynt"/>
        <s v="Claudian Renvoise"/>
        <s v="Clay Bedo"/>
        <s v="Clayborn Brelsford"/>
        <s v="Cleon Gawkes"/>
        <s v="Cleopatra Kerner"/>
        <s v="Clerc Cozins"/>
        <s v="Clerissa Eckley"/>
        <s v="Clifford Yankeev"/>
        <s v="Cobb Pranger"/>
        <s v="Codi Cluer"/>
        <s v="Cointon Goodson"/>
        <s v="Colas Doles"/>
        <s v="Colas Foxcroft"/>
        <s v="Colas Housley"/>
        <s v="Colby Durram"/>
        <s v="Coleman Donaghy"/>
        <s v="Colin Cattini"/>
        <s v="Collete MacCahee"/>
        <s v="Con Gallyon"/>
        <s v="Conn Gumme"/>
        <s v="Conni Catterall"/>
        <s v="Connie Erie"/>
        <s v="Conrad Cranidge"/>
        <s v="Conrado Greenwood"/>
        <s v="Consalve Edmeads"/>
        <s v="Constancia Plaister"/>
        <s v="Cooper Cote"/>
        <s v="Cooper Poulson"/>
        <s v="Cooper Rowantree"/>
        <s v="Coraline Lane"/>
        <s v="Cordey Vardon"/>
        <s v="Cordula Conkling"/>
        <s v="Corella Mowles"/>
        <s v="Cori Adamiec"/>
        <s v="Cornall Frayling"/>
        <s v="Cornie Reina"/>
        <s v="Costa Brolly"/>
        <s v="Costa Grishelyov"/>
        <s v="Cull Carleton"/>
        <s v="Curtice Nelthrop"/>
        <s v="Curtis Schwandner"/>
        <s v="Cybill Raysdale"/>
        <s v="Cyrille Peres"/>
        <s v="Dacey Lethcoe"/>
        <s v="Daffie Bernaldez"/>
        <s v="Dahlia Shernock"/>
        <s v="Daile Lusted"/>
        <s v="Dalia O'Neal"/>
        <s v="Dalston Barfield"/>
        <s v="Dalston Gardener"/>
        <s v="Dame Deverale"/>
        <s v="Dani Sarfati"/>
        <s v="Daniela Revey"/>
        <s v="Dannie Hooks"/>
        <s v="Darbee Blowfield"/>
        <s v="Darbee MacGillavery"/>
        <s v="Dareen Haldon"/>
        <s v="Daron Roullier"/>
        <s v="Darrel Screase"/>
        <s v="Dasya Gilliver"/>
        <s v="Davey Kliement"/>
        <s v="Davine Mathew"/>
        <s v="Davy Chellam"/>
        <s v="De witt Elener"/>
        <s v="De witt Pinfold"/>
        <s v="Deana Carmen"/>
        <s v="Deane Sach"/>
        <s v="Deanne Nicholes"/>
        <s v="Deb Espinho"/>
        <s v="Debee Glaze"/>
        <s v="Delbert Harbidge"/>
        <s v="Delilah Usmar"/>
        <s v="Deloria Sercombe"/>
        <s v="Demetre Guiraud"/>
        <s v="Demetris Stockall"/>
        <s v="Denis Leatham"/>
        <s v="Denny Bairstow"/>
        <s v="Denyse Blankhorn"/>
        <s v="Deonne Boullen"/>
        <s v="Derek Stealey"/>
        <s v="Derward Probetts"/>
        <s v="Derwin Jorcke"/>
        <s v="Derwin Trewhela"/>
        <s v="Diann Truter"/>
        <s v="Diena Denkel"/>
        <s v="Dierdre Britto"/>
        <s v="Dilan Nelane"/>
        <s v="Dinny Victory"/>
        <s v="Dodi Marciskewski"/>
        <s v="Domini McEttigen"/>
        <s v="Donal Pomphrett"/>
        <s v="Donia Galbraeth"/>
        <s v="Donnajean Belz"/>
        <s v="Dora Stannislawski"/>
        <s v="Dore Fulun"/>
        <s v="Dorelle Dennington"/>
        <s v="Dorthea Melarkey"/>
        <s v="Dosi Cobbin"/>
        <s v="Drake Lamperti"/>
        <s v="Drew Wildman"/>
        <s v="Duff Fishpool"/>
        <s v="Dukey McKennan"/>
        <s v="Dulsea Balbeck"/>
        <s v="Dunc Colliber"/>
        <s v="Dyane Harvison"/>
        <s v="Dyann Danielczyk"/>
        <s v="Dyanne Alexandersson"/>
        <s v="Dyna Yurenev"/>
        <s v="Earl de Mendoza"/>
        <s v="Earl Swayland"/>
        <s v="Ebonee Greatbanks"/>
        <s v="Edgar Gonsalvo"/>
        <s v="Edgar Joburn"/>
        <s v="Edlin Parkes"/>
        <s v="Edouard Russam"/>
        <s v="Elaina Canet"/>
        <s v="Eldon Simmans"/>
        <s v="Elinore Goulding"/>
        <s v="Elissa Livick"/>
        <s v="Elliot de Keep"/>
        <s v="Elysee Crabbe"/>
        <s v="Elysia Barnaby"/>
        <s v="Elysia Buzzing"/>
        <s v="Emile Krauss"/>
        <s v="Emlen Scutchings"/>
        <s v="Emma Czaja"/>
        <s v="Emmaline Steadman"/>
        <s v="Emmit Friar"/>
        <s v="Enid Zanioletti"/>
        <s v="Ephrayim Ingram"/>
        <s v="Ephrem Ruddiman"/>
        <s v="Eran Greedyer"/>
        <s v="Erastus Kinloch"/>
        <s v="Erhard Dovermann"/>
        <s v="Erica Mc Elory"/>
        <s v="Erick Rawsthorne"/>
        <s v="Ermengarde McDarmid"/>
        <s v="Ermentrude Peller"/>
        <s v="Erv Pardey"/>
        <s v="Essa Trinbey"/>
        <s v="Essy Canizares"/>
        <s v="Ester Janek"/>
        <s v="Etan Wetter"/>
        <s v="Ethe Giffaut"/>
        <s v="Ethelbert Korting"/>
        <s v="Ethelin Mark"/>
        <s v="Ettie Zealander"/>
        <s v="Evelina Jurisch"/>
        <s v="Everard Jakubovitch"/>
        <s v="Evvie MacTrusty"/>
        <s v="Eyde Growy"/>
        <s v="Ezra Winny"/>
        <s v="Ezri Wayt"/>
        <s v="Faber MacNish"/>
        <s v="Fabiano Kyndred"/>
        <s v="Fairfax Le Sieur"/>
        <s v="Fania Urey"/>
        <s v="Farica Chilton"/>
        <s v="Farlay Pellitt"/>
        <s v="Fawnia Culham"/>
        <s v="Fedora Renad"/>
        <s v="Fee Swallwell"/>
        <s v="Felic Phinnis"/>
        <s v="Feliks Datte"/>
        <s v="Felizio Wondraschek"/>
        <s v="Findlay Balwin"/>
        <s v="Fletch Bardill"/>
        <s v="Fletcher Sawart"/>
        <s v="Fleurette Annon"/>
        <s v="Florina Jobson"/>
        <s v="Florry Bilbrey"/>
        <s v="Flossy MacNish"/>
        <s v="Ford Abate"/>
        <s v="Forster Antalffy"/>
        <s v="Fowler Chalice"/>
        <s v="Fowler Scannell"/>
        <s v="Franciska Mathivet"/>
        <s v="Franciskus Grzegorzewski"/>
        <s v="Franciskus O'Crevy"/>
        <s v="Franni O'Loughnan"/>
        <s v="Franz Terren"/>
        <s v="Fraze Maestro"/>
        <s v="Frazer Beesley"/>
        <s v="Fredrick Gillitt"/>
        <s v="Gabriella Stannion"/>
        <s v="Gabriellia Maren"/>
        <s v="Gabriello Coker"/>
        <s v="Ganny Eric"/>
        <s v="Garrett Bourgaize"/>
        <s v="Garry Dedon"/>
        <s v="Garv Fowls"/>
        <s v="Gavan Lear"/>
        <s v="Gaven Moens"/>
        <s v="Genevieve Simonetto"/>
        <s v="Genia Gooderson"/>
        <s v="Genia Prater"/>
        <s v="Gennie Grady"/>
        <s v="Georgeanne Potapczuk"/>
        <s v="Georgia Blunden"/>
        <s v="Geri Thirwell"/>
        <s v="Gerik Graham"/>
        <s v="Gerladina Greep"/>
        <s v="Gil Grady"/>
        <s v="Gilburt Mesnard"/>
        <s v="Gillan Linne"/>
        <s v="Ginger Dollard"/>
        <s v="Ginger Pinnere"/>
        <s v="Giorgia Ruckert"/>
        <s v="Giralda Snowden"/>
        <s v="Gisella Woffinden"/>
        <s v="Glad Mc Harg"/>
        <s v="Gleda Gerwood"/>
        <s v="Glori Armor"/>
        <s v="Glory Nutter"/>
        <s v="Goddard Adamsson"/>
        <s v="Goddard Sollis"/>
        <s v="Goddart Drage"/>
        <s v="Godfrey Jaime"/>
        <s v="Gordon Worgan"/>
        <s v="Grannie Tomsu"/>
        <s v="Gray Spere"/>
        <s v="Grethel McAloren"/>
        <s v="Griselda Kiss"/>
        <s v="Guglielma Gennerich"/>
        <s v="Guglielmo Conant"/>
        <s v="Gui Henden"/>
        <s v="Gunner Jurasek"/>
        <s v="Gusella Tregust"/>
        <s v="Gwendolen Ambrogioli"/>
        <s v="Hadleigh Yare"/>
        <s v="Hadley Hucknall"/>
        <s v="Hal Belsey"/>
        <s v="Halette Dugald"/>
        <s v="Halimeda Curbishley"/>
        <s v="Halli Wixey"/>
        <s v="Hannis Desporte"/>
        <s v="Harald Elsworth"/>
        <s v="Harp Randerson"/>
        <s v="Harriot Soldner"/>
        <s v="Hashim Haskur"/>
        <s v="Haskel Lamprey"/>
        <s v="Hastings MacTrustie"/>
        <s v="Hayes Batrop"/>
        <s v="Haywood Ransfield"/>
        <s v="Hazel Wiggall"/>
        <s v="Heath Ruusa"/>
        <s v="Heddi Kertess"/>
        <s v="Hedi Bohden"/>
        <s v="Heida Ryley"/>
        <s v="Heida Wragge"/>
        <s v="Henriette Olek"/>
        <s v="Herbert Swalwel"/>
        <s v="Herbie Juett"/>
        <s v="Herc Nawton"/>
        <s v="Hermia Yatman"/>
        <s v="Hermie Hundy"/>
        <s v="Herminia Ianetti"/>
        <s v="Hewett Goldhill"/>
        <s v="Hilario Gornar"/>
        <s v="Hildy De Atta"/>
        <s v="Hilliard Corain"/>
        <s v="Hillyer Darthe"/>
        <s v="Hollis Ratcliff"/>
        <s v="Hugh Pigney"/>
        <s v="Huntley Orkney"/>
        <s v="Hyman Gawke"/>
        <s v="Xever Peare"/>
        <s v="Ximenes Unsworth"/>
        <s v="Idalia Southerden"/>
        <s v="Idell Meddings"/>
        <s v="Idelle Croughan"/>
        <s v="Igor Beeden"/>
        <s v="Ilka Sturrock"/>
        <s v="Illa Hadye"/>
        <s v="Ilsa Jurn"/>
        <s v="Ilsa Yonge"/>
        <s v="Ilyse Cooling"/>
        <s v="Inessa Murphy"/>
        <s v="Inez Constantinou"/>
        <s v="Ingmar Cund"/>
        <s v="Iorgo Kinnar"/>
        <s v="Iormina Rudderham"/>
        <s v="Irvine Mutton"/>
        <s v="Irwin Pearmine"/>
        <s v="Isabel Vannikov"/>
        <s v="Isac Valsler"/>
        <s v="Isidor Corser"/>
        <s v="Itch Mingauld"/>
        <s v="Ivar Baseggio"/>
        <s v="Jacinta Faltskog"/>
        <s v="Jackelyn Dahmel"/>
        <s v="Jaime Elloway"/>
        <s v="Jaquelin Goshawke"/>
        <s v="Jaquelyn McFarlane"/>
        <s v="Janeczka Billiard"/>
        <s v="Janifer Vowdon"/>
        <s v="Janos McKeveney"/>
        <s v="Jany Legerwood"/>
        <s v="Jareb Wisedale"/>
        <s v="Jarib Fahrenbach"/>
        <s v="Jarid Tumbelty"/>
        <s v="Jay Paulazzi"/>
        <s v="Jayme Haselwood"/>
        <s v="Jeffry Foresight"/>
        <s v="Jemie Piche"/>
        <s v="Jeniece Tideswell"/>
        <s v="Jenine Swateridge"/>
        <s v="Jeramey Woollons"/>
        <s v="Jere Dikelin"/>
        <s v="Jeremy MacColm"/>
        <s v="Jerrome Huxster"/>
        <s v="Jervis La Croce"/>
        <s v="Jessalin Veljes"/>
        <s v="Jessi Broe"/>
        <s v="Jesus Maharry"/>
        <s v="Jesus Pountney"/>
        <s v="Jillana Garken"/>
        <s v="Jillayne Crisp"/>
        <s v="Jim Wilgar"/>
        <s v="Jobina Dudman"/>
        <s v="Jodi Guppey"/>
        <s v="Jodi Winson"/>
        <s v="Joeann Strewther"/>
        <s v="Johna Suddock"/>
        <s v="Jolene Shillan"/>
        <s v="Jon Course"/>
        <s v="Jonah Stone"/>
        <s v="Jonas Gumbley"/>
        <s v="Josephina Gracey"/>
        <s v="Josselyn Piggen"/>
        <s v="Judie Aleksashin"/>
        <s v="Judon Dominey"/>
        <s v="Kally Hook"/>
        <s v="Kareem Giblin"/>
        <s v="Karel McCaskill"/>
        <s v="Kariotta Lauridsen"/>
        <s v="Karlen Battell"/>
        <s v="Kassia Dobney"/>
        <s v="Katalin Liveley"/>
        <s v="Katee Grahlman"/>
        <s v="Katerina Gellier"/>
        <s v="Katerina Maccrae"/>
        <s v="Katherina Bennell"/>
        <s v="Katherine Blick"/>
        <s v="Kathlin Tucsell"/>
        <s v="Katine Bravington"/>
        <s v="Kaylil Schule"/>
        <s v="Kelcie Gaddes"/>
        <s v="Kellby Pumphrey"/>
        <s v="Kellie Rubinivitz"/>
        <s v="Kenn Seefus"/>
        <s v="Kenny Kiledal"/>
        <s v="Kerry Orehead"/>
        <s v="Kerwin Bahde"/>
        <s v="Kevan Kobsch"/>
        <s v="Kevon Bax"/>
        <s v="Ki Gresswell"/>
        <s v="Kial Mangon"/>
        <s v="Killian O'Donnell"/>
        <s v="Kimberley Sidney"/>
        <s v="Kimbra Beddoe"/>
        <s v="Kirby Rosettini"/>
        <s v="Kirsten Gatecliff"/>
        <s v="Kliment Sealy"/>
        <s v="Koressa Burril"/>
        <s v="Krista Martinovsky"/>
        <s v="Kristos Hagart"/>
        <s v="Ky Baum"/>
        <s v="Kyla Dudin"/>
        <s v="Kylen Stanluck"/>
        <s v="Kynthia Lemme"/>
        <s v="Quincy Jacqueme"/>
        <s v="Quincy Keward"/>
        <s v="Quinlan Beven"/>
        <s v="Laird Ballendine"/>
        <s v="Lamont Astlatt"/>
        <s v="Laney Giamo"/>
        <s v="Lauree Collisson"/>
        <s v="Lauree Rymmer"/>
        <s v="Lauren McCrorie"/>
        <s v="Leeanne Boyan"/>
        <s v="Lexine Tregear"/>
        <s v="Lek Batterbee"/>
        <s v="Leopold Nutbean"/>
        <s v="Leroi Pinke"/>
        <s v="Leslie Goodlet"/>
        <s v="Lesly Ullyatt"/>
        <s v="Leticia Flecknoe"/>
        <s v="Levin Braz"/>
        <s v="Lief Cordner"/>
        <s v="Lilli Marrows"/>
        <s v="Lilyan Moughtin"/>
        <s v="Lin Helversen"/>
        <s v="Lincoln Meech"/>
        <s v="Lind Westwood"/>
        <s v="Linnell Farryann"/>
        <s v="Linoel Chitham"/>
        <s v="Lissy Sisselot"/>
        <s v="Llywellyn Camelin"/>
        <s v="Lolly Bleiman"/>
        <s v="Lombard McJerrow"/>
        <s v="Lonee Crafter"/>
        <s v="Loni Cartmail"/>
        <s v="Loralyn Jowsey"/>
        <s v="Lorant Le Surf"/>
        <s v="Lorene Stallan"/>
        <s v="Lorenza Robinett"/>
        <s v="Loria Gyurko"/>
        <s v="Lorianna Glencrosche"/>
        <s v="Lorilee Louder"/>
        <s v="Lorita Eaglen"/>
        <s v="Lorita Kordes"/>
        <s v="Lotti Grayley"/>
        <s v="Lottie Tease"/>
        <s v="Lou Pyper"/>
        <s v="Louis Keal"/>
        <s v="Louisa Main"/>
        <s v="Lowrance O' Mullan"/>
        <s v="Luce Attoe"/>
        <s v="Luciano Brazur"/>
        <s v="Lucias McCreery"/>
        <s v="Lurline Kupper"/>
        <s v="Luther Escolme"/>
        <s v="Madalyn Wayne"/>
        <s v="Maddie Martinec"/>
        <s v="Madge Simoneton"/>
        <s v="Madlin Klasen"/>
        <s v="Magdaia Burch"/>
        <s v="Magdalena Jancar"/>
        <s v="Maximo Clemits"/>
        <s v="Maia Olesen"/>
        <s v="Maisie Hagerty"/>
        <s v="Manda Vearncombe"/>
        <s v="Mara Pressland"/>
        <s v="Marc Keenor"/>
        <s v="Margo Leger"/>
        <s v="Margret Fessions"/>
        <s v="Margy Treend"/>
        <s v="Marietta Gladdish"/>
        <s v="Marj Grimme"/>
        <s v="Marj Oldershaw"/>
        <s v="Marley Canero"/>
        <s v="Marnie Dunn"/>
        <s v="Martguerita Dine-Hart"/>
        <s v="Martguerita Vidineev"/>
        <s v="Martha Dight"/>
        <s v="Marylynne Drain"/>
        <s v="Massimo Pechard"/>
        <s v="Mathe Saich"/>
        <s v="Matthias Dinesen"/>
        <s v="Maud Goering"/>
        <s v="Mavis Tremmil"/>
        <s v="Maynard Rudyard"/>
        <s v="Mead Golsthorp"/>
        <s v="Melanie Reisin"/>
        <s v="Melba Barstock"/>
        <s v="Melinda Purser"/>
        <s v="Melli Matteris"/>
        <s v="Mellie Lazonby"/>
        <s v="Melody Grimmett"/>
        <s v="Mendy Royan"/>
        <s v="Mercy Caulier"/>
        <s v="Mercy Skylett"/>
        <s v="Merola Esilmon"/>
        <s v="Merrill Pentercost"/>
        <s v="Mersey Wannes"/>
        <s v="Mic Belton"/>
        <s v="Michaela Whitman"/>
        <s v="Michal Gross"/>
        <s v="Micheal Cuseck"/>
        <s v="Michel Barfitt"/>
        <s v="Michel McGucken"/>
        <s v="Michele Ivanusyev"/>
        <s v="Michele McFater"/>
        <s v="Mickie Spaldin"/>
        <s v="Miguel Mulhall"/>
        <s v="Mikol Teasdale-Markie"/>
        <s v="Milli Cass"/>
        <s v="Millisent Pipworth"/>
        <s v="Milty Dunstan"/>
        <s v="Miner Metherell"/>
        <s v="Minetta Keets"/>
        <s v="Minnie Ebdon"/>
        <s v="Mira Shoulder"/>
        <s v="Mirabelle Caulwell"/>
        <s v="Misti Dominighi"/>
        <s v="Misti Figg"/>
        <s v="Moira Prisk"/>
        <s v="Moll Hucknall"/>
        <s v="Morgan Smith"/>
        <s v="Moss Ogbourne"/>
        <s v="Myrilla Mowson"/>
        <s v="Myrwyn Mashro"/>
        <s v="Nadya Grey"/>
        <s v="Nana Semmens"/>
        <s v="Nancey Segot"/>
        <s v="Nani Frankiss"/>
        <s v="Nani Tuplin"/>
        <s v="Nanny Trask"/>
        <s v="Naoma Ecclestone"/>
        <s v="Nappie Boutcher"/>
        <s v="Nealy Aguirrezabala"/>
        <s v="Neddy Asquez"/>
        <s v="Nelly Gandar"/>
        <s v="Nerta Bocking"/>
        <s v="Nerta Sprowell"/>
        <s v="Nertie Hugueville"/>
        <s v="Nettle Ion"/>
        <s v="Nevsa Maryin"/>
        <s v="Nial M'cowis"/>
        <s v="Niall Joskowitz"/>
        <s v="Nicko Duerden"/>
        <s v="Nicky Hegge"/>
        <s v="Nicol Glencrash"/>
        <s v="Nicolai Saxelby"/>
        <s v="Nicolais Ferroli"/>
        <s v="Nicolas Bussey"/>
        <s v="Nicolis Craine"/>
        <s v="Nikki Durtnel"/>
        <s v="Nikolaus Tetsall"/>
        <s v="Noellyn Greger"/>
        <s v="Noellyn Vaudin"/>
        <s v="Northrop Domini"/>
        <s v="Nowell Bryden"/>
        <s v="Nye MacRirie"/>
        <s v="Octavius Lobe"/>
        <s v="Odella Clemmett"/>
        <s v="Ody Fronzek"/>
        <s v="Olivero Surgener"/>
        <s v="Oliy Thomasson"/>
        <s v="Opaline Settle"/>
        <s v="Orbadiah Rowat"/>
        <s v="Orland Yegorkov"/>
        <s v="Orlando Bouch"/>
        <s v="Orville Rankine"/>
        <s v="Osbourn Burdell"/>
        <s v="Otis Bidewel"/>
        <s v="Owen Ping"/>
        <s v="Pace McCobb"/>
        <s v="Paddy Forton"/>
        <s v="Pam Maling"/>
        <s v="Pamelina Harbottle"/>
        <s v="Pammi Tilbury"/>
        <s v="Pandora Botham"/>
        <s v="Pascale Rollinson"/>
        <s v="Paton Bosnell"/>
        <s v="Patrica Bore"/>
        <s v="Patsy Barbrick"/>
        <s v="Paula Soltan"/>
        <s v="Paulette Ledstone"/>
        <s v="Paulina Oleszczak"/>
        <s v="Paulita Tuddenham"/>
        <s v="Pauly Vannuccinii"/>
        <s v="Payton Langran"/>
        <s v="Pearla Spellicy"/>
        <s v="Pen Heineking"/>
        <s v="Penelopa Loosely"/>
        <s v="Pepita Tuppeny"/>
        <s v="Perri Galloway"/>
        <s v="Petrina Moscone"/>
        <s v="Petunia Swinbourne"/>
        <s v="Phebe Narbett"/>
        <s v="Philis Tollett"/>
        <s v="Piper MacGiolla"/>
        <s v="Pren Kybbye"/>
        <s v="Prescott Oakenfall"/>
        <s v="Prinz Redholls"/>
        <s v="Purcell Gilogly"/>
        <s v="Rafaellle Largen"/>
        <s v="Ragnar Palumbo"/>
        <s v="Rahal Besnard"/>
        <s v="Rakel Ogley"/>
        <s v="Ramsay Caplen"/>
        <s v="Rance Maywood"/>
        <s v="Rance Persey"/>
        <s v="Rania Tumilson"/>
        <s v="Raul Angel"/>
        <s v="Raymond Woodburne"/>
        <s v="Redford Sherr"/>
        <s v="Reed Glasscock"/>
        <s v="Reeva Jamson"/>
        <s v="Rena Robens"/>
        <s v="Renae Cabedo"/>
        <s v="Renard Brodley"/>
        <s v="Renaud Chalder"/>
        <s v="Renee Gypps"/>
        <s v="Rhodie Bridewell"/>
        <s v="Ricki Issakov"/>
        <s v="Ricoriki Thompson"/>
        <s v="Rivalee Souter"/>
        <s v="Roanna Neighbour"/>
        <s v="Robb Huonic"/>
        <s v="Robbi Maudling"/>
        <s v="Robers Martinon"/>
        <s v="Robyn Finlator"/>
        <s v="Rochella Ponting"/>
        <s v="Rochella Sammonds"/>
        <s v="Rodd Strippling"/>
        <s v="Roddie Marchment"/>
        <s v="Roddy Esh"/>
        <s v="Rodina Meaden"/>
        <s v="Roxanna Lynam"/>
        <s v="Rolando Ahlin"/>
        <s v="Romain Pountney"/>
        <s v="Roman Cunnah"/>
        <s v="Roman Deval"/>
        <s v="Romy Grieger"/>
        <s v="Ronni Cleveley"/>
        <s v="Ronny Gatsby"/>
        <s v="Roobbie Ramm"/>
        <s v="Rory Rodson"/>
        <s v="Rosaleen Frackiewicz"/>
        <s v="Rosalinda Muldownie"/>
        <s v="Rosamund Dumberrill"/>
        <s v="Rosamund Harnell"/>
        <s v="Roshelle Kondrachenko"/>
        <s v="Rosy Mongeot"/>
        <s v="Rouvin Geffe"/>
        <s v="Rouvin Kift"/>
        <s v="Royall Bricknall"/>
        <s v="Royce Tweedy"/>
        <s v="Royce Wrangle"/>
        <s v="Rozalie Verchambre"/>
        <s v="Rudolph Ramalho"/>
        <s v="Rudy Le feuvre"/>
        <s v="Rurik Bengal"/>
        <s v="Russ Halson"/>
        <s v="Rutherford Messenger"/>
        <s v="Rycca Truswell"/>
        <s v="Sallie Hallgath"/>
        <s v="Sallyann Laydon"/>
        <s v="Sandye Hixson"/>
        <s v="Sapphira Pessold"/>
        <s v="Sascha Pittock"/>
        <s v="Saudra Leggs"/>
        <s v="Scotty Tume"/>
        <s v="Seamus Screen"/>
        <s v="See Blaisdale"/>
        <s v="Seline De Brett"/>
        <s v="Shalom Noad"/>
        <s v="Shara Norcliffe"/>
        <s v="Sharity Hawksby"/>
        <s v="Shauna Antonietti"/>
        <s v="Shawn Samuel"/>
        <s v="Shay McKeurton"/>
        <s v="Shayna Mohamed"/>
        <s v="Shelley Bradford"/>
        <s v="Sherlocke McBean"/>
        <s v="Shermie Sandys"/>
        <s v="Sib Benyan"/>
        <s v="Sidney Leither"/>
        <s v="Sigismondo Budnk"/>
        <s v="Sigismund Berrycloth"/>
        <s v="Sigmund Moncaster"/>
        <s v="Silvain Jeannard"/>
        <s v="Simonette Farguhar"/>
        <s v="Simonette Hanmer"/>
        <s v="Skippie Dickin"/>
        <s v="Skippy Archanbault"/>
        <s v="Sky Wais"/>
        <s v="Sloane Alekhov"/>
        <s v="Smitty McIlraith"/>
        <s v="Sonny Isham"/>
        <s v="Sonya Linklater"/>
        <s v="Sophi Bernadon"/>
        <s v="Spike Buxam"/>
        <s v="Standford Boorer"/>
        <s v="Stanislas Lampard"/>
        <s v="Stephen Petris"/>
        <s v="Stephenie Retter"/>
        <s v="Stern Petruszka"/>
        <s v="Stoddard Hannan"/>
        <s v="Stormi Liverock"/>
        <s v="Stu Wetherby"/>
        <s v="Susanne Annwyl"/>
        <s v="Sutherland Glazyer"/>
        <s v="Sybil Tribbeck"/>
        <s v="Sybilla Minchell"/>
        <s v="Sybille Milner"/>
        <s v="Sybyl Bacher"/>
        <s v="Sylas Durand"/>
        <s v="Tabbie Rackley"/>
        <s v="Tabbie Tolossi"/>
        <s v="Tabby Mangeon"/>
        <s v="Tallie Copnall"/>
        <s v="Tallulah Alekseev"/>
        <s v="Tamiko McNuff"/>
        <s v="Tammi Wibberley"/>
        <s v="Tan Beevers"/>
        <s v="Tania Tosdevin"/>
        <s v="Tedda Minto"/>
        <s v="Templeton Davies"/>
        <s v="Terencio Damsell"/>
        <s v="Teresina Jerzycowski"/>
        <s v="Terri Romeuf"/>
        <s v="Thacher Huxley"/>
        <s v="Thaxter Eagleston"/>
        <s v="Thaxter Mompesson"/>
        <s v="Thane Tall"/>
        <s v="Thatch Simonich"/>
        <s v="Thebault Moakler"/>
        <s v="Theda Aronsohn"/>
        <s v="Thedric Mewrcik"/>
        <s v="Theobald Hathaway"/>
        <s v="Therese Dooley"/>
        <s v="Therine Remer"/>
        <s v="Thomas Santello"/>
        <s v="Thomasin Bulley"/>
        <s v="Thorpe Matiebe"/>
        <s v="Thorvald Whelband"/>
        <s v="Tierney Bracci"/>
        <s v="Tiffani Pagin"/>
        <s v="Tiffani Sebring"/>
        <s v="Tiffie Kelle"/>
        <s v="Timi Levings"/>
        <s v="Timmie Holdron"/>
        <s v="Timothee Piercy"/>
        <s v="Tobias Leap"/>
        <s v="Toby Mockett"/>
        <s v="Tomas Goodley"/>
        <s v="Tori Sparway"/>
        <s v="Travers Meatyard"/>
        <s v="Trenton Onions"/>
        <s v="Tris Burmaster"/>
        <s v="Tris Van Rembrandt"/>
        <s v="Tristam Lafrentz"/>
        <s v="Truda Stroband"/>
        <s v="Trumaine Knappett"/>
        <s v="Tucky Glowacki"/>
        <s v="Ty Duckham"/>
        <s v="Tynan Crossfeld"/>
        <s v="Udell Lewsam"/>
        <s v="Ulrick Coppledike"/>
        <s v="Uriel Moyce"/>
        <s v="Ursuline Fitzjohn"/>
        <s v="Valida Frotton"/>
        <s v="Vanda Pirnie"/>
        <s v="Vanessa Wind"/>
        <s v="Vanya Abels"/>
        <s v="Veda Culwen"/>
        <s v="Verile Hemphill"/>
        <s v="Verney Angus"/>
        <s v="Vilma Hearnah"/>
        <s v="Violette Tait"/>
        <s v="Vivi Swann"/>
        <s v="Vivyan Myhan"/>
        <s v="Wadsworth Hast"/>
        <s v="Waite Corah"/>
        <s v="Wallas Harcarse"/>
        <s v="Walton Evert"/>
        <s v="Wang Heephy"/>
        <s v="Wells Felmingham"/>
        <s v="Wendeline Batiste"/>
        <s v="Wendye Adger"/>
        <s v="Westbrooke Samsin"/>
        <s v="Wiley McTeague"/>
        <s v="Willdon McGinney"/>
        <s v="Willette Goldberg"/>
        <s v="Willey Sherbrook"/>
        <s v="Willie Milington"/>
        <s v="Willis Adcocks"/>
        <s v="Willy Schwandt"/>
        <s v="Wilt Stryde"/>
        <s v="Wolf Pietroni"/>
        <s v="Woodrow Hadgkiss"/>
        <s v="Woody Bateson"/>
        <s v="Worthington Keeping"/>
        <s v="Wrennie Duffyn"/>
        <s v="Wyn Scutchin"/>
        <s v="Yale Yoakley"/>
        <s v="Yelena Boullin"/>
        <s v="Yolande Pitkaithly"/>
        <s v="Zacharia Binton"/>
        <s v="Zacharia Martusewicz"/>
        <s v="Zahara Lawie"/>
        <s v="Zahara Sedgman"/>
        <s v="Zenia Ruecastle"/>
      </sharedItems>
    </cacheField>
    <cacheField name="[Measures].[Max of join_date]" caption="Max of join_date" numFmtId="0" hierarchy="41" level="32767"/>
    <cacheField name="[campaign].[campaign_name].[campaign_name]" caption="campaign_name" numFmtId="0" hierarchy="1" level="1">
      <sharedItems count="17">
        <s v="HandsetWebCapable"/>
        <s v="NewCellphoneUser"/>
        <s v="BuysViaMailOrder"/>
        <s v="MadeCallToRetentionTeam"/>
        <s v="MaritalStatus"/>
        <s v="RespondsToMailOffers"/>
        <s v="HandsetRefurbished"/>
        <s v="NonUSTravel"/>
        <s v="OwnsMotorcycle"/>
        <s v="RVOwner"/>
        <s v="ChildrenInHH"/>
        <s v="NotNewCellphoneUser"/>
        <s v="OwnsComputer"/>
        <s v="HasCreditCard"/>
        <s v="OptOutMailings"/>
        <s v="TruckOwner"/>
        <s v="Homeownership"/>
      </sharedItems>
    </cacheField>
    <cacheField name="[Measures].[Average of Qiymet]" caption="Average of Qiymet" numFmtId="0" hierarchy="44" level="32767"/>
  </cacheFields>
  <cacheHierarchies count="45">
    <cacheHierarchy uniqueName="[campaign].[id]" caption="id" attribute="1" defaultMemberUniqueName="[campaign].[id].[All]" allUniqueName="[campaign].[id].[All]" dimensionUniqueName="[campaign]" displayFolder="" count="0" memberValueDatatype="130" unbalanced="0"/>
    <cacheHierarchy uniqueName="[campaign].[campaign_name]" caption="campaign_name" attribute="1" defaultMemberUniqueName="[campaign].[campaign_name].[All]" allUniqueName="[campaign].[campaign_name].[All]" dimensionUniqueName="[campaign]" displayFolder="" count="2" memberValueDatatype="130" unbalanced="0">
      <fieldsUsage count="2">
        <fieldUsage x="-1"/>
        <fieldUsage x="2"/>
      </fieldsUsage>
    </cacheHierarchy>
    <cacheHierarchy uniqueName="[campaign].[activate_date]" caption="activate_date" attribute="1" time="1" defaultMemberUniqueName="[campaign].[activate_date].[All]" allUniqueName="[campaign].[activate_date].[All]" dimensionUniqueName="[campaign]" displayFolder="" count="0" memberValueDatatype="7" unbalanced="0"/>
    <cacheHierarchy uniqueName="[campaign].[campaign_price]" caption="campaign_price" attribute="1" defaultMemberUniqueName="[campaign].[campaign_price].[All]" allUniqueName="[campaign].[campaign_price].[All]" dimensionUniqueName="[campaign]" displayFolder="" count="0" memberValueDatatype="20" unbalanced="0"/>
    <cacheHierarchy uniqueName="[campaign].[activate_date (Year)]" caption="activate_date (Year)" attribute="1" defaultMemberUniqueName="[campaign].[activate_date (Year)].[All]" allUniqueName="[campaign].[activate_date (Year)].[All]" dimensionUniqueName="[campaign]" displayFolder="" count="0" memberValueDatatype="130" unbalanced="0"/>
    <cacheHierarchy uniqueName="[campaign].[activate_date (Quarter)]" caption="activate_date (Quarter)" attribute="1" defaultMemberUniqueName="[campaign].[activate_date (Quarter)].[All]" allUniqueName="[campaign].[activate_date (Quarter)].[All]" dimensionUniqueName="[campaign]" displayFolder="" count="0" memberValueDatatype="130" unbalanced="0"/>
    <cacheHierarchy uniqueName="[campaign].[activate_date (Month)]" caption="activate_date (Month)" attribute="1" defaultMemberUniqueName="[campaign].[activate_date (Month)].[All]" allUniqueName="[campaign].[activate_date (Month)].[All]" dimensionUniqueName="[campaign]" displayFolder="" count="0" memberValueDatatype="130" unbalanced="0"/>
    <cacheHierarchy uniqueName="[customer].[id]" caption="id" attribute="1" defaultMemberUniqueName="[customer].[id].[All]" allUniqueName="[customer].[id].[All]" dimensionUniqueName="[customer]" displayFolder="" count="0" memberValueDatatype="130" unbalanced="0"/>
    <cacheHierarchy uniqueName="[customer].[full_name]" caption="full_name" attribute="1" defaultMemberUniqueName="[customer].[full_name].[All]" allUniqueName="[customer].[full_name].[All]" dimensionUniqueName="[customer]" displayFolder="" count="2" memberValueDatatype="130" unbalanced="0">
      <fieldsUsage count="2">
        <fieldUsage x="-1"/>
        <fieldUsage x="0"/>
      </fieldsUsage>
    </cacheHierarchy>
    <cacheHierarchy uniqueName="[customer].[email]" caption="email" attribute="1" defaultMemberUniqueName="[customer].[email].[All]" allUniqueName="[customer].[email].[All]" dimensionUniqueName="[customer]" displayFolder="" count="0" memberValueDatatype="130" unbalanced="0"/>
    <cacheHierarchy uniqueName="[customer].[gsm_number]" caption="gsm_number" attribute="1" defaultMemberUniqueName="[customer].[gsm_number].[All]" allUniqueName="[customer].[gsm_number].[All]" dimensionUniqueName="[customer]" displayFolder="" count="0" memberValueDatatype="130" unbalanced="0"/>
    <cacheHierarchy uniqueName="[customer].[customer_age]" caption="customer_age" attribute="1" defaultMemberUniqueName="[customer].[customer_age].[All]" allUniqueName="[customer].[customer_age].[All]" dimensionUniqueName="[customer]" displayFolder="" count="0" memberValueDatatype="20" unbalanced="0"/>
    <cacheHierarchy uniqueName="[customer].[customer_gender]" caption="customer_gender" attribute="1" defaultMemberUniqueName="[customer].[customer_gender].[All]" allUniqueName="[customer].[customer_gender].[All]" dimensionUniqueName="[customer]" displayFolder="" count="0" memberValueDatatype="130" unbalanced="0"/>
    <cacheHierarchy uniqueName="[data].[id_customer]" caption="id_customer" attribute="1" defaultMemberUniqueName="[data].[id_customer].[All]" allUniqueName="[data].[id_customer].[All]" dimensionUniqueName="[data]" displayFolder="" count="0" memberValueDatatype="130" unbalanced="0"/>
    <cacheHierarchy uniqueName="[data].[id_campaign]" caption="id_campaign" attribute="1" defaultMemberUniqueName="[data].[id_campaign].[All]" allUniqueName="[data].[id_campaign].[All]" dimensionUniqueName="[data]" displayFolder="" count="0" memberValueDatatype="130" unbalanced="0"/>
    <cacheHierarchy uniqueName="[data].[join_date]" caption="join_date" attribute="1" time="1" defaultMemberUniqueName="[data].[join_date].[All]" allUniqueName="[data].[join_date].[All]" dimensionUniqueName="[data]" displayFolder="" count="0" memberValueDatatype="7" unbalanced="0"/>
    <cacheHierarchy uniqueName="[data].[buy_date]" caption="buy_date" attribute="1" time="1" defaultMemberUniqueName="[data].[buy_date].[All]" allUniqueName="[data].[buy_date].[All]" dimensionUniqueName="[data]" displayFolder="" count="0" memberValueDatatype="7" unbalanced="0"/>
    <cacheHierarchy uniqueName="[data].[AyFerqi]" caption="AyFerqi" attribute="1" defaultMemberUniqueName="[data].[AyFerqi].[All]" allUniqueName="[data].[AyFerqi].[All]" dimensionUniqueName="[data]" displayFolder="" count="0" memberValueDatatype="20" unbalanced="0"/>
    <cacheHierarchy uniqueName="[data].[join_date (Year)]" caption="join_date (Year)" attribute="1" defaultMemberUniqueName="[data].[join_date (Year)].[All]" allUniqueName="[data].[join_date (Year)].[All]" dimensionUniqueName="[data]" displayFolder="" count="0" memberValueDatatype="130" unbalanced="0"/>
    <cacheHierarchy uniqueName="[data].[join_date (Quarter)]" caption="join_date (Quarter)" attribute="1" defaultMemberUniqueName="[data].[join_date (Quarter)].[All]" allUniqueName="[data].[join_date (Quarter)].[All]" dimensionUniqueName="[data]" displayFolder="" count="0" memberValueDatatype="130" unbalanced="0"/>
    <cacheHierarchy uniqueName="[data].[join_date (Month)]" caption="join_date (Month)" attribute="1" defaultMemberUniqueName="[data].[join_date (Month)].[All]" allUniqueName="[data].[join_date (Month)].[All]" dimensionUniqueName="[data]" displayFolder="" count="0" memberValueDatatype="130" unbalanced="0"/>
    <cacheHierarchy uniqueName="[data].[Qiymet]" caption="Qiymet" attribute="1" defaultMemberUniqueName="[data].[Qiymet].[All]" allUniqueName="[data].[Qiymet].[All]" dimensionUniqueName="[data]" displayFolder="" count="0" memberValueDatatype="20" unbalanced="0"/>
    <cacheHierarchy uniqueName="[data].[buy_date (Year)]" caption="buy_date (Year)" attribute="1" defaultMemberUniqueName="[data].[buy_date (Year)].[All]" allUniqueName="[data].[buy_date (Year)].[All]" dimensionUniqueName="[data]" displayFolder="" count="0" memberValueDatatype="130" unbalanced="0"/>
    <cacheHierarchy uniqueName="[data].[buy_date (Quarter)]" caption="buy_date (Quarter)" attribute="1" defaultMemberUniqueName="[data].[buy_date (Quarter)].[All]" allUniqueName="[data].[buy_date (Quarter)].[All]" dimensionUniqueName="[data]" displayFolder="" count="0" memberValueDatatype="130" unbalanced="0"/>
    <cacheHierarchy uniqueName="[data].[buy_date (Month)]" caption="buy_date (Month)" attribute="1" defaultMemberUniqueName="[data].[buy_date (Month)].[All]" allUniqueName="[data].[buy_date (Month)].[All]" dimensionUniqueName="[data]" displayFolder="" count="0" memberValueDatatype="130" unbalanced="0"/>
    <cacheHierarchy uniqueName="[campaign].[activate_date (Month Index)]" caption="activate_date (Month Index)" attribute="1" defaultMemberUniqueName="[campaign].[activate_date (Month Index)].[All]" allUniqueName="[campaign].[activate_date (Month Index)].[All]" dimensionUniqueName="[campaign]" displayFolder="" count="0" memberValueDatatype="20" unbalanced="0" hidden="1"/>
    <cacheHierarchy uniqueName="[data].[buy_date (Month Index)]" caption="buy_date (Month Index)" attribute="1" defaultMemberUniqueName="[data].[buy_date (Month Index)].[All]" allUniqueName="[data].[buy_date (Month Index)].[All]" dimensionUniqueName="[data]" displayFolder="" count="0" memberValueDatatype="20" unbalanced="0" hidden="1"/>
    <cacheHierarchy uniqueName="[data].[join_date (Month Index)]" caption="join_date (Month Index)" attribute="1" defaultMemberUniqueName="[data].[join_date (Month Index)].[All]" allUniqueName="[data].[join_date (Month Index)].[All]" dimensionUniqueName="[data]" displayFolder="" count="0" memberValueDatatype="20" unbalanced="0" hidden="1"/>
    <cacheHierarchy uniqueName="[Measures].[__XL_Count campaign]" caption="__XL_Count campaign" measure="1" displayFolder="" measureGroup="campaign" count="0" hidden="1"/>
    <cacheHierarchy uniqueName="[Measures].[__XL_Count data]" caption="__XL_Count data" measure="1" displayFolder="" measureGroup="data"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id_customer]" caption="Count of id_customer" measure="1" displayFolder="" measureGroup="data" count="0" hidden="1">
      <extLst>
        <ext xmlns:x15="http://schemas.microsoft.com/office/spreadsheetml/2010/11/main" uri="{B97F6D7D-B522-45F9-BDA1-12C45D357490}">
          <x15:cacheHierarchy aggregatedColumn="13"/>
        </ext>
      </extLst>
    </cacheHierarchy>
    <cacheHierarchy uniqueName="[Measures].[Distinct Count of id_customer]" caption="Distinct Count of id_customer" measure="1" displayFolder="" measureGroup="data" count="0" hidden="1">
      <extLst>
        <ext xmlns:x15="http://schemas.microsoft.com/office/spreadsheetml/2010/11/main" uri="{B97F6D7D-B522-45F9-BDA1-12C45D357490}">
          <x15:cacheHierarchy aggregatedColumn="13"/>
        </ext>
      </extLst>
    </cacheHierarchy>
    <cacheHierarchy uniqueName="[Measures].[Sum of campaign_price]" caption="Sum of campaign_price" measure="1" displayFolder="" measureGroup="campaign" count="0" hidden="1">
      <extLst>
        <ext xmlns:x15="http://schemas.microsoft.com/office/spreadsheetml/2010/11/main" uri="{B97F6D7D-B522-45F9-BDA1-12C45D357490}">
          <x15:cacheHierarchy aggregatedColumn="3"/>
        </ext>
      </extLst>
    </cacheHierarchy>
    <cacheHierarchy uniqueName="[Measures].[Sum of Qiymet]" caption="Sum of Qiymet" measure="1" displayFolder="" measureGroup="data" count="0" hidden="1">
      <extLst>
        <ext xmlns:x15="http://schemas.microsoft.com/office/spreadsheetml/2010/11/main" uri="{B97F6D7D-B522-45F9-BDA1-12C45D357490}">
          <x15:cacheHierarchy aggregatedColumn="21"/>
        </ext>
      </extLst>
    </cacheHierarchy>
    <cacheHierarchy uniqueName="[Measures].[Count of buy_date]" caption="Count of buy_date" measure="1" displayFolder="" measureGroup="data" count="0" hidden="1">
      <extLst>
        <ext xmlns:x15="http://schemas.microsoft.com/office/spreadsheetml/2010/11/main" uri="{B97F6D7D-B522-45F9-BDA1-12C45D357490}">
          <x15:cacheHierarchy aggregatedColumn="16"/>
        </ext>
      </extLst>
    </cacheHierarchy>
    <cacheHierarchy uniqueName="[Measures].[Count of activate_date]" caption="Count of activate_date" measure="1" displayFolder="" measureGroup="campaign" count="0" hidden="1">
      <extLst>
        <ext xmlns:x15="http://schemas.microsoft.com/office/spreadsheetml/2010/11/main" uri="{B97F6D7D-B522-45F9-BDA1-12C45D357490}">
          <x15:cacheHierarchy aggregatedColumn="2"/>
        </ext>
      </extLst>
    </cacheHierarchy>
    <cacheHierarchy uniqueName="[Measures].[Max of campaign_price]" caption="Max of campaign_price" measure="1" displayFolder="" measureGroup="campaign" count="0" hidden="1">
      <extLst>
        <ext xmlns:x15="http://schemas.microsoft.com/office/spreadsheetml/2010/11/main" uri="{B97F6D7D-B522-45F9-BDA1-12C45D357490}">
          <x15:cacheHierarchy aggregatedColumn="3"/>
        </ext>
      </extLst>
    </cacheHierarchy>
    <cacheHierarchy uniqueName="[Measures].[Max of Qiymet]" caption="Max of Qiymet" measure="1" displayFolder="" measureGroup="data" count="0" hidden="1">
      <extLst>
        <ext xmlns:x15="http://schemas.microsoft.com/office/spreadsheetml/2010/11/main" uri="{B97F6D7D-B522-45F9-BDA1-12C45D357490}">
          <x15:cacheHierarchy aggregatedColumn="21"/>
        </ext>
      </extLst>
    </cacheHierarchy>
    <cacheHierarchy uniqueName="[Measures].[Count of join_date]" caption="Count of join_date" measure="1" displayFolder="" measureGroup="data" count="0" hidden="1">
      <extLst>
        <ext xmlns:x15="http://schemas.microsoft.com/office/spreadsheetml/2010/11/main" uri="{B97F6D7D-B522-45F9-BDA1-12C45D357490}">
          <x15:cacheHierarchy aggregatedColumn="15"/>
        </ext>
      </extLst>
    </cacheHierarchy>
    <cacheHierarchy uniqueName="[Measures].[Max of join_date]" caption="Max of join_date" measure="1" displayFolder="" measureGroup="data"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id_campaign]" caption="Count of id_campaign" measure="1" displayFolder="" measureGroup="data" count="0" hidden="1">
      <extLst>
        <ext xmlns:x15="http://schemas.microsoft.com/office/spreadsheetml/2010/11/main" uri="{B97F6D7D-B522-45F9-BDA1-12C45D357490}">
          <x15:cacheHierarchy aggregatedColumn="14"/>
        </ext>
      </extLst>
    </cacheHierarchy>
    <cacheHierarchy uniqueName="[Measures].[Count of campaign_name]" caption="Count of campaign_name" measure="1" displayFolder="" measureGroup="campaign" count="0" hidden="1">
      <extLst>
        <ext xmlns:x15="http://schemas.microsoft.com/office/spreadsheetml/2010/11/main" uri="{B97F6D7D-B522-45F9-BDA1-12C45D357490}">
          <x15:cacheHierarchy aggregatedColumn="1"/>
        </ext>
      </extLst>
    </cacheHierarchy>
    <cacheHierarchy uniqueName="[Measures].[Average of Qiymet]" caption="Average of Qiymet" measure="1" displayFolder="" measureGroup="data" count="0" oneField="1" hidden="1">
      <fieldsUsage count="1">
        <fieldUsage x="3"/>
      </fieldsUsage>
      <extLst>
        <ext xmlns:x15="http://schemas.microsoft.com/office/spreadsheetml/2010/11/main" uri="{B97F6D7D-B522-45F9-BDA1-12C45D357490}">
          <x15:cacheHierarchy aggregatedColumn="21"/>
        </ext>
      </extLst>
    </cacheHierarchy>
  </cacheHierarchies>
  <kpis count="0"/>
  <dimensions count="4">
    <dimension name="campaign" uniqueName="[campaign]" caption="campaign"/>
    <dimension name="customer" uniqueName="[customer]" caption="customer"/>
    <dimension name="data" uniqueName="[data]" caption="data"/>
    <dimension measure="1" name="Measures" uniqueName="[Measures]" caption="Measures"/>
  </dimensions>
  <measureGroups count="3">
    <measureGroup name="campaign" caption="campaign"/>
    <measureGroup name="customer" caption="customer"/>
    <measureGroup name="data" caption="data"/>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ruf" refreshedDate="46161.638965625003" backgroundQuery="1" createdVersion="3" refreshedVersion="8" minRefreshableVersion="3" recordCount="0" supportSubquery="1" supportAdvancedDrill="1" xr:uid="{852C3EB5-E6FC-450A-8455-86936619DBF6}">
  <cacheSource type="external" connectionId="4">
    <extLst>
      <ext xmlns:x14="http://schemas.microsoft.com/office/spreadsheetml/2009/9/main" uri="{F057638F-6D5F-4e77-A914-E7F072B9BCA8}">
        <x14:sourceConnection name="ThisWorkbookDataModel"/>
      </ext>
    </extLst>
  </cacheSource>
  <cacheFields count="0"/>
  <cacheHierarchies count="40">
    <cacheHierarchy uniqueName="[campaign].[id]" caption="id" attribute="1" defaultMemberUniqueName="[campaign].[id].[All]" allUniqueName="[campaign].[id].[All]" dimensionUniqueName="[campaign]" displayFolder="" count="0" memberValueDatatype="130" unbalanced="0"/>
    <cacheHierarchy uniqueName="[campaign].[campaign_name]" caption="campaign_name" attribute="1" defaultMemberUniqueName="[campaign].[campaign_name].[All]" allUniqueName="[campaign].[campaign_name].[All]" dimensionUniqueName="[campaign]" displayFolder="" count="2" memberValueDatatype="130" unbalanced="0"/>
    <cacheHierarchy uniqueName="[campaign].[activate_date]" caption="activate_date" attribute="1" time="1" defaultMemberUniqueName="[campaign].[activate_date].[All]" allUniqueName="[campaign].[activate_date].[All]" dimensionUniqueName="[campaign]" displayFolder="" count="0" memberValueDatatype="7" unbalanced="0"/>
    <cacheHierarchy uniqueName="[campaign].[campaign_price]" caption="campaign_price" attribute="1" defaultMemberUniqueName="[campaign].[campaign_price].[All]" allUniqueName="[campaign].[campaign_price].[All]" dimensionUniqueName="[campaign]" displayFolder="" count="0" memberValueDatatype="20" unbalanced="0"/>
    <cacheHierarchy uniqueName="[campaign].[activate_date (Year)]" caption="activate_date (Year)" attribute="1" defaultMemberUniqueName="[campaign].[activate_date (Year)].[All]" allUniqueName="[campaign].[activate_date (Year)].[All]" dimensionUniqueName="[campaign]" displayFolder="" count="0" memberValueDatatype="130" unbalanced="0"/>
    <cacheHierarchy uniqueName="[campaign].[activate_date (Quarter)]" caption="activate_date (Quarter)" attribute="1" defaultMemberUniqueName="[campaign].[activate_date (Quarter)].[All]" allUniqueName="[campaign].[activate_date (Quarter)].[All]" dimensionUniqueName="[campaign]" displayFolder="" count="0" memberValueDatatype="130" unbalanced="0"/>
    <cacheHierarchy uniqueName="[campaign].[activate_date (Month)]" caption="activate_date (Month)" attribute="1" defaultMemberUniqueName="[campaign].[activate_date (Month)].[All]" allUniqueName="[campaign].[activate_date (Month)].[All]" dimensionUniqueName="[campaign]" displayFolder="" count="0" memberValueDatatype="130" unbalanced="0"/>
    <cacheHierarchy uniqueName="[customer].[id]" caption="id" attribute="1" defaultMemberUniqueName="[customer].[id].[All]" allUniqueName="[customer].[id].[All]" dimensionUniqueName="[customer]" displayFolder="" count="0" memberValueDatatype="13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sm_number]" caption="gsm_number" attribute="1" defaultMemberUniqueName="[customer].[gsm_number].[All]" allUniqueName="[customer].[gsm_number].[All]" dimensionUniqueName="[customer]" displayFolder="" count="0" memberValueDatatype="130" unbalanced="0"/>
    <cacheHierarchy uniqueName="[customer].[customer_age]" caption="customer_age" attribute="1" defaultMemberUniqueName="[customer].[customer_age].[All]" allUniqueName="[customer].[customer_age].[All]" dimensionUniqueName="[customer]" displayFolder="" count="0" memberValueDatatype="20" unbalanced="0"/>
    <cacheHierarchy uniqueName="[customer].[customer_gender]" caption="customer_gender" attribute="1" defaultMemberUniqueName="[customer].[customer_gender].[All]" allUniqueName="[customer].[customer_gender].[All]" dimensionUniqueName="[customer]" displayFolder="" count="0" memberValueDatatype="130" unbalanced="0"/>
    <cacheHierarchy uniqueName="[data].[id_customer]" caption="id_customer" attribute="1" defaultMemberUniqueName="[data].[id_customer].[All]" allUniqueName="[data].[id_customer].[All]" dimensionUniqueName="[data]" displayFolder="" count="0" memberValueDatatype="130" unbalanced="0"/>
    <cacheHierarchy uniqueName="[data].[id_campaign]" caption="id_campaign" attribute="1" defaultMemberUniqueName="[data].[id_campaign].[All]" allUniqueName="[data].[id_campaign].[All]" dimensionUniqueName="[data]" displayFolder="" count="0" memberValueDatatype="130" unbalanced="0"/>
    <cacheHierarchy uniqueName="[data].[join_date]" caption="join_date" attribute="1" time="1" defaultMemberUniqueName="[data].[join_date].[All]" allUniqueName="[data].[join_date].[All]" dimensionUniqueName="[data]" displayFolder="" count="0" memberValueDatatype="7" unbalanced="0"/>
    <cacheHierarchy uniqueName="[data].[buy_date]" caption="buy_date" attribute="1" time="1" defaultMemberUniqueName="[data].[buy_date].[All]" allUniqueName="[data].[buy_date].[All]" dimensionUniqueName="[data]" displayFolder="" count="0" memberValueDatatype="7" unbalanced="0"/>
    <cacheHierarchy uniqueName="[data].[AyFerqi]" caption="AyFerqi" attribute="1" defaultMemberUniqueName="[data].[AyFerqi].[All]" allUniqueName="[data].[AyFerqi].[All]" dimensionUniqueName="[data]" displayFolder="" count="0" memberValueDatatype="20" unbalanced="0"/>
    <cacheHierarchy uniqueName="[data].[join_date (Year)]" caption="join_date (Year)" attribute="1" defaultMemberUniqueName="[data].[join_date (Year)].[All]" allUniqueName="[data].[join_date (Year)].[All]" dimensionUniqueName="[data]" displayFolder="" count="0" memberValueDatatype="130" unbalanced="0"/>
    <cacheHierarchy uniqueName="[data].[join_date (Quarter)]" caption="join_date (Quarter)" attribute="1" defaultMemberUniqueName="[data].[join_date (Quarter)].[All]" allUniqueName="[data].[join_date (Quarter)].[All]" dimensionUniqueName="[data]" displayFolder="" count="0" memberValueDatatype="130" unbalanced="0"/>
    <cacheHierarchy uniqueName="[data].[join_date (Month)]" caption="join_date (Month)" attribute="1" defaultMemberUniqueName="[data].[join_date (Month)].[All]" allUniqueName="[data].[join_date (Month)].[All]" dimensionUniqueName="[data]" displayFolder="" count="0" memberValueDatatype="130" unbalanced="0"/>
    <cacheHierarchy uniqueName="[data].[Qiymet]" caption="Qiymet" attribute="1" defaultMemberUniqueName="[data].[Qiymet].[All]" allUniqueName="[data].[Qiymet].[All]" dimensionUniqueName="[data]" displayFolder="" count="0" memberValueDatatype="20" unbalanced="0"/>
    <cacheHierarchy uniqueName="[data].[buy_date (Year)]" caption="buy_date (Year)" attribute="1" defaultMemberUniqueName="[data].[buy_date (Year)].[All]" allUniqueName="[data].[buy_date (Year)].[All]" dimensionUniqueName="[data]" displayFolder="" count="0" memberValueDatatype="130" unbalanced="0"/>
    <cacheHierarchy uniqueName="[data].[buy_date (Quarter)]" caption="buy_date (Quarter)" attribute="1" defaultMemberUniqueName="[data].[buy_date (Quarter)].[All]" allUniqueName="[data].[buy_date (Quarter)].[All]" dimensionUniqueName="[data]" displayFolder="" count="0" memberValueDatatype="130" unbalanced="0"/>
    <cacheHierarchy uniqueName="[data].[buy_date (Month)]" caption="buy_date (Month)" attribute="1" defaultMemberUniqueName="[data].[buy_date (Month)].[All]" allUniqueName="[data].[buy_date (Month)].[All]" dimensionUniqueName="[data]" displayFolder="" count="0" memberValueDatatype="130" unbalanced="0"/>
    <cacheHierarchy uniqueName="[campaign].[activate_date (Month Index)]" caption="activate_date (Month Index)" attribute="1" defaultMemberUniqueName="[campaign].[activate_date (Month Index)].[All]" allUniqueName="[campaign].[activate_date (Month Index)].[All]" dimensionUniqueName="[campaign]" displayFolder="" count="0" memberValueDatatype="20" unbalanced="0" hidden="1"/>
    <cacheHierarchy uniqueName="[data].[buy_date (Month Index)]" caption="buy_date (Month Index)" attribute="1" defaultMemberUniqueName="[data].[buy_date (Month Index)].[All]" allUniqueName="[data].[buy_date (Month Index)].[All]" dimensionUniqueName="[data]" displayFolder="" count="0" memberValueDatatype="20" unbalanced="0" hidden="1"/>
    <cacheHierarchy uniqueName="[data].[join_date (Month Index)]" caption="join_date (Month Index)" attribute="1" defaultMemberUniqueName="[data].[join_date (Month Index)].[All]" allUniqueName="[data].[join_date (Month Index)].[All]" dimensionUniqueName="[data]" displayFolder="" count="0" memberValueDatatype="20" unbalanced="0" hidden="1"/>
    <cacheHierarchy uniqueName="[Measures].[Count of id_customer]" caption="Count of id_customer" measure="1" displayFolder="" measureGroup="data" count="0">
      <extLst>
        <ext xmlns:x15="http://schemas.microsoft.com/office/spreadsheetml/2010/11/main" uri="{B97F6D7D-B522-45F9-BDA1-12C45D357490}">
          <x15:cacheHierarchy aggregatedColumn="13"/>
        </ext>
      </extLst>
    </cacheHierarchy>
    <cacheHierarchy uniqueName="[Measures].[Distinct Count of id_customer]" caption="Distinct Count of id_customer" measure="1" displayFolder="" measureGroup="data" count="0">
      <extLst>
        <ext xmlns:x15="http://schemas.microsoft.com/office/spreadsheetml/2010/11/main" uri="{B97F6D7D-B522-45F9-BDA1-12C45D357490}">
          <x15:cacheHierarchy aggregatedColumn="13"/>
        </ext>
      </extLst>
    </cacheHierarchy>
    <cacheHierarchy uniqueName="[Measures].[Sum of campaign_price]" caption="Sum of campaign_price" measure="1" displayFolder="" measureGroup="campaign" count="0">
      <extLst>
        <ext xmlns:x15="http://schemas.microsoft.com/office/spreadsheetml/2010/11/main" uri="{B97F6D7D-B522-45F9-BDA1-12C45D357490}">
          <x15:cacheHierarchy aggregatedColumn="3"/>
        </ext>
      </extLst>
    </cacheHierarchy>
    <cacheHierarchy uniqueName="[Measures].[Sum of Qiymet]" caption="Sum of Qiymet" measure="1" displayFolder="" measureGroup="data" count="0">
      <extLst>
        <ext xmlns:x15="http://schemas.microsoft.com/office/spreadsheetml/2010/11/main" uri="{B97F6D7D-B522-45F9-BDA1-12C45D357490}">
          <x15:cacheHierarchy aggregatedColumn="21"/>
        </ext>
      </extLst>
    </cacheHierarchy>
    <cacheHierarchy uniqueName="[Measures].[Count of buy_date]" caption="Count of buy_date" measure="1" displayFolder="" measureGroup="data" count="0">
      <extLst>
        <ext xmlns:x15="http://schemas.microsoft.com/office/spreadsheetml/2010/11/main" uri="{B97F6D7D-B522-45F9-BDA1-12C45D357490}">
          <x15:cacheHierarchy aggregatedColumn="16"/>
        </ext>
      </extLst>
    </cacheHierarchy>
    <cacheHierarchy uniqueName="[Measures].[Count of activate_date]" caption="Count of activate_date" measure="1" displayFolder="" measureGroup="campaign" count="0">
      <extLst>
        <ext xmlns:x15="http://schemas.microsoft.com/office/spreadsheetml/2010/11/main" uri="{B97F6D7D-B522-45F9-BDA1-12C45D357490}">
          <x15:cacheHierarchy aggregatedColumn="2"/>
        </ext>
      </extLst>
    </cacheHierarchy>
    <cacheHierarchy uniqueName="[Measures].[Max of campaign_price]" caption="Max of campaign_price" measure="1" displayFolder="" measureGroup="campaign" count="0">
      <extLst>
        <ext xmlns:x15="http://schemas.microsoft.com/office/spreadsheetml/2010/11/main" uri="{B97F6D7D-B522-45F9-BDA1-12C45D357490}">
          <x15:cacheHierarchy aggregatedColumn="3"/>
        </ext>
      </extLst>
    </cacheHierarchy>
    <cacheHierarchy uniqueName="[Measures].[Max of Qiymet]" caption="Max of Qiymet" measure="1" displayFolder="" measureGroup="data" count="0">
      <extLst>
        <ext xmlns:x15="http://schemas.microsoft.com/office/spreadsheetml/2010/11/main" uri="{B97F6D7D-B522-45F9-BDA1-12C45D357490}">
          <x15:cacheHierarchy aggregatedColumn="21"/>
        </ext>
      </extLst>
    </cacheHierarchy>
    <cacheHierarchy uniqueName="[Measures].[__XL_Count campaign]" caption="__XL_Count campaign" measure="1" displayFolder="" measureGroup="campaign" count="0" hidden="1"/>
    <cacheHierarchy uniqueName="[Measures].[__XL_Count data]" caption="__XL_Count data" measure="1" displayFolder="" measureGroup="data"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107260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E5B211-A58E-4DFF-BA03-B220B434E2FB}" name="PivotTable3" cacheId="0" applyNumberFormats="0" applyBorderFormats="0" applyFontFormats="0" applyPatternFormats="0" applyAlignmentFormats="0" applyWidthHeightFormats="1" dataCaption="Values" tag="d1394c6d-2549-468b-9816-adf3c9ea30e9" updatedVersion="8" minRefreshableVersion="3" useAutoFormatting="1" rowGrandTotals="0" colGrandTotals="0" itemPrintTitles="1" createdVersion="8" indent="0" outline="1" outlineData="1" multipleFieldFilters="0">
  <location ref="A49:Q68" firstHeaderRow="1" firstDataRow="3" firstDataCol="1"/>
  <pivotFields count="5">
    <pivotField axis="axisCol"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7">
        <item n="YeniMusteriSayi"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1">
    <field x="2"/>
  </rowFields>
  <rowItems count="17">
    <i>
      <x/>
    </i>
    <i>
      <x v="1"/>
    </i>
    <i>
      <x v="2"/>
    </i>
    <i>
      <x v="3"/>
    </i>
    <i>
      <x v="4"/>
    </i>
    <i>
      <x v="5"/>
    </i>
    <i>
      <x v="6"/>
    </i>
    <i>
      <x v="7"/>
    </i>
    <i>
      <x v="8"/>
    </i>
    <i>
      <x v="9"/>
    </i>
    <i>
      <x v="10"/>
    </i>
    <i>
      <x v="11"/>
    </i>
    <i>
      <x v="12"/>
    </i>
    <i>
      <x v="13"/>
    </i>
    <i>
      <x v="14"/>
    </i>
    <i>
      <x v="15"/>
    </i>
    <i>
      <x v="16"/>
    </i>
  </rowItems>
  <colFields count="2">
    <field x="1"/>
    <field x="0"/>
  </colFields>
  <colItems count="16">
    <i>
      <x/>
      <x/>
    </i>
    <i r="1">
      <x v="1"/>
    </i>
    <i r="1">
      <x v="2"/>
    </i>
    <i r="1">
      <x v="3"/>
    </i>
    <i r="1">
      <x v="4"/>
    </i>
    <i r="1">
      <x v="5"/>
    </i>
    <i r="1">
      <x v="6"/>
    </i>
    <i r="1">
      <x v="7"/>
    </i>
    <i r="1">
      <x v="8"/>
    </i>
    <i r="1">
      <x v="9"/>
    </i>
    <i r="1">
      <x v="10"/>
    </i>
    <i r="1">
      <x v="11"/>
    </i>
    <i>
      <x v="1"/>
      <x/>
    </i>
    <i r="1">
      <x v="1"/>
    </i>
    <i r="1">
      <x v="2"/>
    </i>
    <i r="1">
      <x v="3"/>
    </i>
  </colItems>
  <dataFields count="1">
    <dataField name="Sum of Qiymet" fld="3" baseField="0" baseItem="0"/>
  </dataFields>
  <formats count="9">
    <format dxfId="34">
      <pivotArea outline="0" collapsedLevelsAreSubtotals="1" fieldPosition="0">
        <references count="1">
          <reference field="2" count="1" selected="0">
            <x v="0"/>
          </reference>
        </references>
      </pivotArea>
    </format>
    <format dxfId="33">
      <pivotArea dataOnly="0" labelOnly="1" fieldPosition="0">
        <references count="2">
          <reference field="0" count="0"/>
          <reference field="1" count="1" selected="0">
            <x v="0"/>
          </reference>
        </references>
      </pivotArea>
    </format>
    <format dxfId="32">
      <pivotArea dataOnly="0" labelOnly="1" fieldPosition="0">
        <references count="2">
          <reference field="0" count="4">
            <x v="0"/>
            <x v="1"/>
            <x v="2"/>
            <x v="3"/>
          </reference>
          <reference field="1" count="1" selected="0">
            <x v="1"/>
          </reference>
        </references>
      </pivotArea>
    </format>
    <format dxfId="31">
      <pivotArea outline="0" collapsedLevelsAreSubtotals="1" fieldPosition="0"/>
    </format>
    <format dxfId="30">
      <pivotArea outline="0" collapsedLevelsAreSubtotals="1" fieldPosition="0"/>
    </format>
    <format dxfId="29">
      <pivotArea dataOnly="0" labelOnly="1" fieldPosition="0">
        <references count="2">
          <reference field="0" count="0"/>
          <reference field="1" count="1" selected="0">
            <x v="0"/>
          </reference>
        </references>
      </pivotArea>
    </format>
    <format dxfId="28">
      <pivotArea dataOnly="0" labelOnly="1" fieldPosition="0">
        <references count="2">
          <reference field="0" count="4">
            <x v="0"/>
            <x v="1"/>
            <x v="2"/>
            <x v="3"/>
          </reference>
          <reference field="1" count="1" selected="0">
            <x v="1"/>
          </reference>
        </references>
      </pivotArea>
    </format>
    <format dxfId="27">
      <pivotArea dataOnly="0" labelOnly="1" fieldPosition="0">
        <references count="2">
          <reference field="0" count="0"/>
          <reference field="1" count="1" selected="0">
            <x v="0"/>
          </reference>
        </references>
      </pivotArea>
    </format>
    <format dxfId="26">
      <pivotArea dataOnly="0" labelOnly="1" fieldPosition="0">
        <references count="2">
          <reference field="0" count="4">
            <x v="0"/>
            <x v="1"/>
            <x v="2"/>
            <x v="3"/>
          </reference>
          <reference field="1" count="1" selected="0">
            <x v="1"/>
          </reference>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4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id_custom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17"/>
  </rowHierarchiesUsage>
  <colHierarchiesUsage count="2">
    <colHierarchyUsage hierarchyUsage="18"/>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mpaig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A4176F-F2AE-43C7-BED5-B819C28BB980}" name="PivotTable2" cacheId="3" applyNumberFormats="0" applyBorderFormats="0" applyFontFormats="0" applyPatternFormats="0" applyAlignmentFormats="0" applyWidthHeightFormats="1" dataCaption="Values" showError="1" tag="3e92a78c-35bf-4546-9849-8fd1d008dd17" updatedVersion="8" minRefreshableVersion="3" rowGrandTotals="0" colGrandTotals="0" itemPrintTitles="1" createdVersion="8" indent="0" outline="1" outlineData="1" multipleFieldFilters="0" chartFormat="10">
  <location ref="A25:Q44" firstHeaderRow="1" firstDataRow="3" firstDataCol="1"/>
  <pivotFields count="4">
    <pivotField axis="axisCol"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7">
        <item n="YeniMusteriSayi" x="0"/>
        <item x="1"/>
        <item x="2"/>
        <item x="3"/>
        <item x="4"/>
        <item x="5"/>
        <item x="6"/>
        <item x="7"/>
        <item x="8"/>
        <item x="9"/>
        <item x="10"/>
        <item x="11"/>
        <item x="12"/>
        <item x="13"/>
        <item x="14"/>
        <item x="15"/>
        <item x="16"/>
      </items>
    </pivotField>
    <pivotField dataField="1" subtotalTop="0" showAll="0" defaultSubtotal="0"/>
  </pivotFields>
  <rowFields count="1">
    <field x="2"/>
  </rowFields>
  <rowItems count="17">
    <i>
      <x/>
    </i>
    <i>
      <x v="1"/>
    </i>
    <i>
      <x v="2"/>
    </i>
    <i>
      <x v="3"/>
    </i>
    <i>
      <x v="4"/>
    </i>
    <i>
      <x v="5"/>
    </i>
    <i>
      <x v="6"/>
    </i>
    <i>
      <x v="7"/>
    </i>
    <i>
      <x v="8"/>
    </i>
    <i>
      <x v="9"/>
    </i>
    <i>
      <x v="10"/>
    </i>
    <i>
      <x v="11"/>
    </i>
    <i>
      <x v="12"/>
    </i>
    <i>
      <x v="13"/>
    </i>
    <i>
      <x v="14"/>
    </i>
    <i>
      <x v="15"/>
    </i>
    <i>
      <x v="16"/>
    </i>
  </rowItems>
  <colFields count="2">
    <field x="1"/>
    <field x="0"/>
  </colFields>
  <colItems count="16">
    <i>
      <x/>
      <x/>
    </i>
    <i r="1">
      <x v="1"/>
    </i>
    <i r="1">
      <x v="2"/>
    </i>
    <i r="1">
      <x v="3"/>
    </i>
    <i r="1">
      <x v="4"/>
    </i>
    <i r="1">
      <x v="5"/>
    </i>
    <i r="1">
      <x v="6"/>
    </i>
    <i r="1">
      <x v="7"/>
    </i>
    <i r="1">
      <x v="8"/>
    </i>
    <i r="1">
      <x v="9"/>
    </i>
    <i r="1">
      <x v="10"/>
    </i>
    <i r="1">
      <x v="11"/>
    </i>
    <i>
      <x v="1"/>
      <x/>
    </i>
    <i r="1">
      <x v="1"/>
    </i>
    <i r="1">
      <x v="2"/>
    </i>
    <i r="1">
      <x v="3"/>
    </i>
  </colItems>
  <dataFields count="1">
    <dataField name="Distinct Count of id_customer" fld="3" subtotal="count" showDataAs="percent" baseField="2" baseItem="0" numFmtId="9">
      <extLst>
        <ext xmlns:x15="http://schemas.microsoft.com/office/spreadsheetml/2010/11/main" uri="{FABC7310-3BB5-11E1-824E-6D434824019B}">
          <x15:dataField isCountDistinct="1"/>
        </ext>
      </extLst>
    </dataField>
  </dataFields>
  <formats count="7">
    <format dxfId="41">
      <pivotArea outline="0" collapsedLevelsAreSubtotals="1" fieldPosition="0">
        <references count="1">
          <reference field="2" count="1" selected="0">
            <x v="0"/>
          </reference>
        </references>
      </pivotArea>
    </format>
    <format dxfId="40">
      <pivotArea dataOnly="0" labelOnly="1" fieldPosition="0">
        <references count="2">
          <reference field="0" count="0"/>
          <reference field="1" count="1" selected="0">
            <x v="0"/>
          </reference>
        </references>
      </pivotArea>
    </format>
    <format dxfId="39">
      <pivotArea dataOnly="0" labelOnly="1" fieldPosition="0">
        <references count="2">
          <reference field="0" count="4">
            <x v="0"/>
            <x v="1"/>
            <x v="2"/>
            <x v="3"/>
          </reference>
          <reference field="1" count="1" selected="0">
            <x v="1"/>
          </reference>
        </references>
      </pivotArea>
    </format>
    <format dxfId="38">
      <pivotArea dataOnly="0" labelOnly="1" fieldPosition="0">
        <references count="2">
          <reference field="0" count="0"/>
          <reference field="1" count="1" selected="0">
            <x v="0"/>
          </reference>
        </references>
      </pivotArea>
    </format>
    <format dxfId="37">
      <pivotArea dataOnly="0" labelOnly="1" fieldPosition="0">
        <references count="2">
          <reference field="0" count="4">
            <x v="0"/>
            <x v="1"/>
            <x v="2"/>
            <x v="3"/>
          </reference>
          <reference field="1" count="1" selected="0">
            <x v="1"/>
          </reference>
        </references>
      </pivotArea>
    </format>
    <format dxfId="36">
      <pivotArea outline="0" fieldPosition="0">
        <references count="1">
          <reference field="4294967294" count="1">
            <x v="0"/>
          </reference>
        </references>
      </pivotArea>
    </format>
    <format dxfId="35">
      <pivotArea outline="0" collapsedLevelsAreSubtotals="1" fieldPosition="0"/>
    </format>
  </formats>
  <conditionalFormats count="1">
    <conditionalFormat priority="4">
      <pivotAreas count="1">
        <pivotArea type="data" outline="0" collapsedLevelsAreSubtotals="1" fieldPosition="0">
          <references count="1">
            <reference field="4294967294" count="1" selected="0">
              <x v="0"/>
            </reference>
          </references>
        </pivotArea>
      </pivotAreas>
    </conditionalFormat>
  </conditionalFormats>
  <pivotHierarchies count="4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id_custom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17"/>
  </rowHierarchiesUsage>
  <colHierarchiesUsage count="2">
    <colHierarchyUsage hierarchyUsage="18"/>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mpaig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D3DED7-397D-45D5-A1E0-2B5A4530E349}" name="PivotTable1" cacheId="1" applyNumberFormats="0" applyBorderFormats="0" applyFontFormats="0" applyPatternFormats="0" applyAlignmentFormats="0" applyWidthHeightFormats="1" dataCaption="Values" tag="40d929c5-c28c-4993-bbac-fa80d616fef3" updatedVersion="8" minRefreshableVersion="3" useAutoFormatting="1" rowGrandTotals="0" colGrandTotals="0" itemPrintTitles="1" createdVersion="8" indent="0" outline="1" outlineData="1" multipleFieldFilters="0">
  <location ref="A1:Q20" firstHeaderRow="1" firstDataRow="3" firstDataCol="1"/>
  <pivotFields count="5">
    <pivotField axis="axisCol"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7">
        <item n="YeniMusteriSayi"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1">
    <field x="2"/>
  </rowFields>
  <rowItems count="17">
    <i>
      <x/>
    </i>
    <i>
      <x v="1"/>
    </i>
    <i>
      <x v="2"/>
    </i>
    <i>
      <x v="3"/>
    </i>
    <i>
      <x v="4"/>
    </i>
    <i>
      <x v="5"/>
    </i>
    <i>
      <x v="6"/>
    </i>
    <i>
      <x v="7"/>
    </i>
    <i>
      <x v="8"/>
    </i>
    <i>
      <x v="9"/>
    </i>
    <i>
      <x v="10"/>
    </i>
    <i>
      <x v="11"/>
    </i>
    <i>
      <x v="12"/>
    </i>
    <i>
      <x v="13"/>
    </i>
    <i>
      <x v="14"/>
    </i>
    <i>
      <x v="15"/>
    </i>
    <i>
      <x v="16"/>
    </i>
  </rowItems>
  <colFields count="2">
    <field x="1"/>
    <field x="0"/>
  </colFields>
  <colItems count="16">
    <i>
      <x/>
      <x/>
    </i>
    <i r="1">
      <x v="1"/>
    </i>
    <i r="1">
      <x v="2"/>
    </i>
    <i r="1">
      <x v="3"/>
    </i>
    <i r="1">
      <x v="4"/>
    </i>
    <i r="1">
      <x v="5"/>
    </i>
    <i r="1">
      <x v="6"/>
    </i>
    <i r="1">
      <x v="7"/>
    </i>
    <i r="1">
      <x v="8"/>
    </i>
    <i r="1">
      <x v="9"/>
    </i>
    <i r="1">
      <x v="10"/>
    </i>
    <i r="1">
      <x v="11"/>
    </i>
    <i>
      <x v="1"/>
      <x/>
    </i>
    <i r="1">
      <x v="1"/>
    </i>
    <i r="1">
      <x v="2"/>
    </i>
    <i r="1">
      <x v="3"/>
    </i>
  </colItems>
  <dataFields count="1">
    <dataField name="Distinct Count of id_customer" fld="3" subtotal="count" baseField="0" baseItem="11">
      <extLst>
        <ext xmlns:x15="http://schemas.microsoft.com/office/spreadsheetml/2010/11/main" uri="{FABC7310-3BB5-11E1-824E-6D434824019B}">
          <x15:dataField isCountDistinct="1"/>
        </ext>
      </extLst>
    </dataField>
  </dataFields>
  <formats count="9">
    <format dxfId="50">
      <pivotArea outline="0" collapsedLevelsAreSubtotals="1" fieldPosition="0">
        <references count="1">
          <reference field="2" count="1" selected="0">
            <x v="0"/>
          </reference>
        </references>
      </pivotArea>
    </format>
    <format dxfId="49">
      <pivotArea dataOnly="0" labelOnly="1" fieldPosition="0">
        <references count="2">
          <reference field="0" count="0"/>
          <reference field="1" count="1" selected="0">
            <x v="0"/>
          </reference>
        </references>
      </pivotArea>
    </format>
    <format dxfId="48">
      <pivotArea dataOnly="0" labelOnly="1" fieldPosition="0">
        <references count="2">
          <reference field="0" count="4">
            <x v="0"/>
            <x v="1"/>
            <x v="2"/>
            <x v="3"/>
          </reference>
          <reference field="1" count="1" selected="0">
            <x v="1"/>
          </reference>
        </references>
      </pivotArea>
    </format>
    <format dxfId="47">
      <pivotArea outline="0" collapsedLevelsAreSubtotals="1" fieldPosition="0"/>
    </format>
    <format dxfId="46">
      <pivotArea outline="0" collapsedLevelsAreSubtotals="1" fieldPosition="0"/>
    </format>
    <format dxfId="45">
      <pivotArea dataOnly="0" labelOnly="1" fieldPosition="0">
        <references count="2">
          <reference field="0" count="0"/>
          <reference field="1" count="1" selected="0">
            <x v="0"/>
          </reference>
        </references>
      </pivotArea>
    </format>
    <format dxfId="44">
      <pivotArea dataOnly="0" labelOnly="1" fieldPosition="0">
        <references count="2">
          <reference field="0" count="4">
            <x v="0"/>
            <x v="1"/>
            <x v="2"/>
            <x v="3"/>
          </reference>
          <reference field="1" count="1" selected="0">
            <x v="1"/>
          </reference>
        </references>
      </pivotArea>
    </format>
    <format dxfId="43">
      <pivotArea dataOnly="0" labelOnly="1" fieldPosition="0">
        <references count="2">
          <reference field="0" count="0"/>
          <reference field="1" count="1" selected="0">
            <x v="0"/>
          </reference>
        </references>
      </pivotArea>
    </format>
    <format dxfId="42">
      <pivotArea dataOnly="0" labelOnly="1" fieldPosition="0">
        <references count="2">
          <reference field="0" count="4">
            <x v="0"/>
            <x v="1"/>
            <x v="2"/>
            <x v="3"/>
          </reference>
          <reference field="1" count="1" selected="0">
            <x v="1"/>
          </reference>
        </references>
      </pivotArea>
    </format>
  </formats>
  <conditionalFormats count="1">
    <conditionalFormat priority="5">
      <pivotAreas count="1">
        <pivotArea type="data" outline="0" collapsedLevelsAreSubtotals="1" fieldPosition="0">
          <references count="1">
            <reference field="4294967294" count="1" selected="0">
              <x v="0"/>
            </reference>
          </references>
        </pivotArea>
      </pivotAreas>
    </conditionalFormat>
  </conditionalFormats>
  <pivotHierarchies count="4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id_custom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17"/>
  </rowHierarchiesUsage>
  <colHierarchiesUsage count="2">
    <colHierarchyUsage hierarchyUsage="18"/>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mpaig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F13B0F-2646-4C4B-B4DD-8317156B3E28}" name="PivotTable5" cacheId="2" applyNumberFormats="0" applyBorderFormats="0" applyFontFormats="0" applyPatternFormats="0" applyAlignmentFormats="0" applyWidthHeightFormats="1" dataCaption="Values" tag="112c81f1-054d-4b23-8c92-2335b26a52e3" updatedVersion="8" minRefreshableVersion="3" useAutoFormatting="1" rowGrandTotals="0" colGrandTotals="0" itemPrintTitles="1" createdVersion="8" indent="0" outline="1" outlineData="1" multipleFieldFilters="0" chartFormat="3">
  <location ref="A1:C18" firstHeaderRow="0" firstDataRow="1" firstDataCol="1"/>
  <pivotFields count="3">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7">
    <i>
      <x v="9"/>
    </i>
    <i>
      <x v="8"/>
    </i>
    <i>
      <x v="11"/>
    </i>
    <i>
      <x v="10"/>
    </i>
    <i>
      <x v="2"/>
    </i>
    <i>
      <x v="13"/>
    </i>
    <i>
      <x v="12"/>
    </i>
    <i>
      <x v="4"/>
    </i>
    <i>
      <x v="1"/>
    </i>
    <i>
      <x v="16"/>
    </i>
    <i>
      <x v="3"/>
    </i>
    <i>
      <x v="6"/>
    </i>
    <i>
      <x v="7"/>
    </i>
    <i>
      <x v="15"/>
    </i>
    <i>
      <x v="14"/>
    </i>
    <i>
      <x v="5"/>
    </i>
    <i>
      <x/>
    </i>
  </rowItems>
  <colFields count="1">
    <field x="-2"/>
  </colFields>
  <colItems count="2">
    <i>
      <x/>
    </i>
    <i i="1">
      <x v="1"/>
    </i>
  </colItems>
  <dataFields count="2">
    <dataField name="Total" fld="1" baseField="0" baseItem="0"/>
    <dataField name="%" fld="2" baseField="0" baseItem="0" numFmtId="10">
      <extLst>
        <ext xmlns:x14="http://schemas.microsoft.com/office/spreadsheetml/2009/9/main" uri="{E15A36E0-9728-4e99-A89B-3F7291B0FE68}">
          <x14:dataField pivotShowAs="percentOfRunningTotal" sourceField="1" uniqueName="[__Xl2].[Measures].[Sum of Qiymet]"/>
        </ext>
      </extLst>
    </dataField>
  </dataFields>
  <formats count="15">
    <format dxfId="16">
      <pivotArea type="all" dataOnly="0" outline="0" fieldPosition="0"/>
    </format>
    <format dxfId="15">
      <pivotArea outline="0" collapsedLevelsAreSubtotals="1" fieldPosition="0"/>
    </format>
    <format dxfId="14">
      <pivotArea field="0" type="button" dataOnly="0" labelOnly="1" outline="0" axis="axisRow" fieldPosition="0"/>
    </format>
    <format dxfId="13">
      <pivotArea dataOnly="0" labelOnly="1" fieldPosition="0">
        <references count="1">
          <reference field="0" count="0"/>
        </references>
      </pivotArea>
    </format>
    <format dxfId="12">
      <pivotArea dataOnly="0" labelOnly="1" outline="0" fieldPosition="0">
        <references count="1">
          <reference field="4294967294" count="2">
            <x v="0"/>
            <x v="1"/>
          </reference>
        </references>
      </pivotArea>
    </format>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outline="0" fieldPosition="0">
        <references count="1">
          <reference field="4294967294" count="2">
            <x v="0"/>
            <x v="1"/>
          </reference>
        </references>
      </pivotArea>
    </format>
    <format dxfId="6">
      <pivotArea type="all" dataOnly="0" outline="0" fieldPosition="0"/>
    </format>
    <format dxfId="5">
      <pivotArea outline="0" collapsedLevelsAreSubtotals="1" fieldPosition="0"/>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3F7023-01EE-4060-AA2E-492E26D06AB8}" name="PivotTable8" cacheId="4" applyNumberFormats="0" applyBorderFormats="0" applyFontFormats="0" applyPatternFormats="0" applyAlignmentFormats="0" applyWidthHeightFormats="1" dataCaption="Values" tag="86359c08-43a2-4e8b-8524-83a7db239460" updatedVersion="8" minRefreshableVersion="3" useAutoFormatting="1" subtotalHiddenItems="1" rowGrandTotals="0" colGrandTotals="0" itemPrintTitles="1" createdVersion="8" indent="0" compact="0" compactData="0" multipleFieldFilters="0">
  <location ref="A1:D1946" firstHeaderRow="0" firstDataRow="1" firstDataCol="2"/>
  <pivotFields count="4">
    <pivotField axis="axisRow" compact="0" allDrilled="1" outline="0" subtotalTop="0" showAll="0" dataSourceSort="1" defaultSubtotal="0" defaultAttributeDrillState="1">
      <items count="9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2">
    <field x="0"/>
    <field x="2"/>
  </rowFields>
  <rowItems count="1945">
    <i>
      <x/>
      <x/>
    </i>
    <i r="1">
      <x v="1"/>
    </i>
    <i>
      <x v="1"/>
      <x v="2"/>
    </i>
    <i r="1">
      <x v="3"/>
    </i>
    <i>
      <x v="2"/>
      <x v="4"/>
    </i>
    <i r="1">
      <x v="5"/>
    </i>
    <i>
      <x v="3"/>
      <x v="7"/>
    </i>
    <i r="1">
      <x v="6"/>
    </i>
    <i>
      <x v="4"/>
      <x v="7"/>
    </i>
    <i r="1">
      <x v="2"/>
    </i>
    <i>
      <x v="5"/>
      <x v="8"/>
    </i>
    <i>
      <x v="6"/>
      <x v="2"/>
    </i>
    <i r="1">
      <x v="9"/>
    </i>
    <i>
      <x v="7"/>
      <x v="10"/>
    </i>
    <i>
      <x v="8"/>
      <x v="12"/>
    </i>
    <i r="1">
      <x v="11"/>
    </i>
    <i>
      <x v="9"/>
      <x v="13"/>
    </i>
    <i r="1">
      <x/>
    </i>
    <i>
      <x v="10"/>
      <x v="14"/>
    </i>
    <i r="1">
      <x v="5"/>
    </i>
    <i>
      <x v="11"/>
      <x v="7"/>
    </i>
    <i r="1">
      <x v="2"/>
    </i>
    <i>
      <x v="12"/>
      <x/>
    </i>
    <i r="1">
      <x v="4"/>
    </i>
    <i>
      <x v="13"/>
      <x v="7"/>
    </i>
    <i r="1">
      <x v="4"/>
    </i>
    <i r="1">
      <x v="3"/>
    </i>
    <i>
      <x v="14"/>
      <x v="12"/>
    </i>
    <i r="1">
      <x v="1"/>
    </i>
    <i r="1">
      <x v="8"/>
    </i>
    <i>
      <x v="15"/>
      <x v="9"/>
    </i>
    <i r="1">
      <x v="10"/>
    </i>
    <i>
      <x v="16"/>
      <x v="7"/>
    </i>
    <i r="1">
      <x v="3"/>
    </i>
    <i>
      <x v="17"/>
      <x v="12"/>
    </i>
    <i r="1">
      <x v="9"/>
    </i>
    <i>
      <x v="18"/>
      <x/>
    </i>
    <i r="1">
      <x v="11"/>
    </i>
    <i>
      <x v="19"/>
      <x v="15"/>
    </i>
    <i r="1">
      <x v="8"/>
    </i>
    <i>
      <x v="20"/>
      <x v="7"/>
    </i>
    <i r="1">
      <x v="4"/>
    </i>
    <i>
      <x v="21"/>
      <x v="12"/>
    </i>
    <i r="1">
      <x v="11"/>
    </i>
    <i>
      <x v="22"/>
      <x v="13"/>
    </i>
    <i r="1">
      <x v="11"/>
    </i>
    <i r="1">
      <x v="6"/>
    </i>
    <i>
      <x v="23"/>
      <x v="5"/>
    </i>
    <i r="1">
      <x v="8"/>
    </i>
    <i>
      <x v="24"/>
      <x v="16"/>
    </i>
    <i r="1">
      <x v="10"/>
    </i>
    <i>
      <x v="25"/>
      <x v="13"/>
    </i>
    <i r="1">
      <x v="6"/>
    </i>
    <i>
      <x v="26"/>
      <x v="13"/>
    </i>
    <i r="1">
      <x v="2"/>
    </i>
    <i r="1">
      <x v="16"/>
    </i>
    <i>
      <x v="27"/>
      <x v="2"/>
    </i>
    <i>
      <x v="28"/>
      <x v="9"/>
    </i>
    <i r="1">
      <x v="8"/>
    </i>
    <i>
      <x v="29"/>
      <x v="7"/>
    </i>
    <i r="1">
      <x v="12"/>
    </i>
    <i>
      <x v="30"/>
      <x v="11"/>
    </i>
    <i r="1">
      <x v="16"/>
    </i>
    <i>
      <x v="31"/>
      <x v="2"/>
    </i>
    <i r="1">
      <x v="3"/>
    </i>
    <i>
      <x v="32"/>
      <x v="14"/>
    </i>
    <i r="1">
      <x v="6"/>
    </i>
    <i>
      <x v="33"/>
      <x v="5"/>
    </i>
    <i r="1">
      <x v="1"/>
    </i>
    <i>
      <x v="34"/>
      <x v="14"/>
    </i>
    <i r="1">
      <x/>
    </i>
    <i>
      <x v="35"/>
      <x v="16"/>
    </i>
    <i r="1">
      <x v="10"/>
    </i>
    <i>
      <x v="36"/>
      <x v="7"/>
    </i>
    <i r="1">
      <x v="6"/>
    </i>
    <i>
      <x v="37"/>
      <x v="2"/>
    </i>
    <i r="1">
      <x v="9"/>
    </i>
    <i>
      <x v="38"/>
      <x/>
    </i>
    <i r="1">
      <x v="5"/>
    </i>
    <i>
      <x v="39"/>
      <x v="12"/>
    </i>
    <i r="1">
      <x v="10"/>
    </i>
    <i>
      <x v="40"/>
      <x v="14"/>
    </i>
    <i r="1">
      <x v="1"/>
    </i>
    <i>
      <x v="41"/>
      <x v="5"/>
    </i>
    <i r="1">
      <x v="10"/>
    </i>
    <i>
      <x v="42"/>
      <x v="13"/>
    </i>
    <i r="1">
      <x v="4"/>
    </i>
    <i>
      <x v="43"/>
      <x v="5"/>
    </i>
    <i r="1">
      <x v="2"/>
    </i>
    <i>
      <x v="44"/>
      <x/>
    </i>
    <i r="1">
      <x v="8"/>
    </i>
    <i>
      <x v="45"/>
      <x v="11"/>
    </i>
    <i>
      <x v="46"/>
      <x/>
    </i>
    <i r="1">
      <x v="11"/>
    </i>
    <i>
      <x v="47"/>
      <x v="5"/>
    </i>
    <i r="1">
      <x v="16"/>
    </i>
    <i>
      <x v="48"/>
      <x v="12"/>
    </i>
    <i r="1">
      <x v="11"/>
    </i>
    <i>
      <x v="49"/>
      <x v="5"/>
    </i>
    <i r="1">
      <x v="16"/>
    </i>
    <i>
      <x v="50"/>
      <x v="7"/>
    </i>
    <i r="1">
      <x v="1"/>
    </i>
    <i>
      <x v="51"/>
      <x v="5"/>
    </i>
    <i r="1">
      <x v="9"/>
    </i>
    <i>
      <x v="52"/>
      <x v="15"/>
    </i>
    <i r="1">
      <x v="6"/>
    </i>
    <i>
      <x v="53"/>
      <x v="16"/>
    </i>
    <i r="1">
      <x v="10"/>
    </i>
    <i>
      <x v="54"/>
      <x v="13"/>
    </i>
    <i r="1">
      <x v="3"/>
    </i>
    <i>
      <x v="55"/>
      <x v="15"/>
    </i>
    <i r="1">
      <x v="8"/>
    </i>
    <i>
      <x v="56"/>
      <x v="4"/>
    </i>
    <i r="1">
      <x v="3"/>
    </i>
    <i>
      <x v="57"/>
      <x v="4"/>
    </i>
    <i>
      <x v="58"/>
      <x v="14"/>
    </i>
    <i r="1">
      <x v="10"/>
    </i>
    <i>
      <x v="59"/>
      <x v="12"/>
    </i>
    <i r="1">
      <x v="8"/>
    </i>
    <i>
      <x v="60"/>
      <x v="9"/>
    </i>
    <i r="1">
      <x v="16"/>
    </i>
    <i>
      <x v="61"/>
      <x v="4"/>
    </i>
    <i r="1">
      <x v="5"/>
    </i>
    <i>
      <x v="62"/>
      <x v="1"/>
    </i>
    <i r="1">
      <x v="8"/>
    </i>
    <i>
      <x v="63"/>
      <x v="11"/>
    </i>
    <i r="1">
      <x v="6"/>
    </i>
    <i>
      <x v="64"/>
      <x v="1"/>
    </i>
    <i r="1">
      <x v="16"/>
    </i>
    <i>
      <x v="65"/>
      <x v="6"/>
    </i>
    <i r="1">
      <x v="2"/>
    </i>
    <i>
      <x v="66"/>
      <x v="9"/>
    </i>
    <i>
      <x v="67"/>
      <x v="16"/>
    </i>
    <i r="1">
      <x v="10"/>
    </i>
    <i>
      <x v="68"/>
      <x v="16"/>
    </i>
    <i>
      <x v="69"/>
      <x v="12"/>
    </i>
    <i r="1">
      <x v="5"/>
    </i>
    <i>
      <x v="70"/>
      <x v="12"/>
    </i>
    <i r="1">
      <x v="6"/>
    </i>
    <i r="1">
      <x v="3"/>
    </i>
    <i>
      <x v="71"/>
      <x v="9"/>
    </i>
    <i>
      <x v="72"/>
      <x v="14"/>
    </i>
    <i r="1">
      <x v="1"/>
    </i>
    <i r="1">
      <x v="8"/>
    </i>
    <i>
      <x v="73"/>
      <x v="13"/>
    </i>
    <i r="1">
      <x v="5"/>
    </i>
    <i>
      <x v="74"/>
      <x v="14"/>
    </i>
    <i r="1">
      <x v="9"/>
    </i>
    <i>
      <x v="75"/>
      <x v="3"/>
    </i>
    <i r="1">
      <x v="10"/>
    </i>
    <i>
      <x v="76"/>
      <x v="4"/>
    </i>
    <i>
      <x v="77"/>
      <x v="9"/>
    </i>
    <i>
      <x v="78"/>
      <x v="6"/>
    </i>
    <i>
      <x v="79"/>
      <x v="7"/>
    </i>
    <i>
      <x v="80"/>
      <x v="4"/>
    </i>
    <i>
      <x v="81"/>
      <x v="11"/>
    </i>
    <i>
      <x v="82"/>
      <x v="4"/>
    </i>
    <i r="1">
      <x v="5"/>
    </i>
    <i>
      <x v="83"/>
      <x v="13"/>
    </i>
    <i r="1">
      <x v="4"/>
    </i>
    <i r="1">
      <x v="11"/>
    </i>
    <i>
      <x v="84"/>
      <x v="15"/>
    </i>
    <i r="1">
      <x v="2"/>
    </i>
    <i>
      <x v="85"/>
      <x v="12"/>
    </i>
    <i r="1">
      <x v="11"/>
    </i>
    <i r="1">
      <x v="16"/>
    </i>
    <i>
      <x v="86"/>
      <x v="12"/>
    </i>
    <i r="1">
      <x v="3"/>
    </i>
    <i>
      <x v="87"/>
      <x v="5"/>
    </i>
    <i r="1">
      <x v="6"/>
    </i>
    <i>
      <x v="88"/>
      <x v="12"/>
    </i>
    <i r="1">
      <x v="4"/>
    </i>
    <i>
      <x v="89"/>
      <x v="7"/>
    </i>
    <i r="1">
      <x v="11"/>
    </i>
    <i>
      <x v="90"/>
      <x v="15"/>
    </i>
    <i r="1">
      <x v="9"/>
    </i>
    <i>
      <x v="91"/>
      <x v="6"/>
    </i>
    <i r="1">
      <x v="1"/>
    </i>
    <i r="1">
      <x v="10"/>
    </i>
    <i>
      <x v="92"/>
      <x v="7"/>
    </i>
    <i r="1">
      <x/>
    </i>
    <i>
      <x v="93"/>
      <x v="5"/>
    </i>
    <i r="1">
      <x v="2"/>
    </i>
    <i>
      <x v="94"/>
      <x v="1"/>
    </i>
    <i r="1">
      <x v="2"/>
    </i>
    <i>
      <x v="95"/>
      <x v="12"/>
    </i>
    <i r="1">
      <x v="2"/>
    </i>
    <i>
      <x v="96"/>
      <x v="7"/>
    </i>
    <i r="1">
      <x v="13"/>
    </i>
    <i>
      <x v="97"/>
      <x v="9"/>
    </i>
    <i r="1">
      <x v="10"/>
    </i>
    <i>
      <x v="98"/>
      <x v="11"/>
    </i>
    <i r="1">
      <x v="8"/>
    </i>
    <i>
      <x v="99"/>
      <x v="13"/>
    </i>
    <i r="1">
      <x v="2"/>
    </i>
    <i>
      <x v="100"/>
      <x/>
    </i>
    <i r="1">
      <x v="3"/>
    </i>
    <i>
      <x v="101"/>
      <x v="9"/>
    </i>
    <i r="1">
      <x v="8"/>
    </i>
    <i>
      <x v="102"/>
      <x v="14"/>
    </i>
    <i r="1">
      <x v="1"/>
    </i>
    <i r="1">
      <x v="9"/>
    </i>
    <i>
      <x v="103"/>
      <x v="14"/>
    </i>
    <i r="1">
      <x v="1"/>
    </i>
    <i r="1">
      <x v="16"/>
    </i>
    <i>
      <x v="104"/>
      <x v="13"/>
    </i>
    <i r="1">
      <x v="5"/>
    </i>
    <i>
      <x v="105"/>
      <x v="16"/>
    </i>
    <i>
      <x v="106"/>
      <x v="7"/>
    </i>
    <i r="1">
      <x v="13"/>
    </i>
    <i r="1">
      <x v="1"/>
    </i>
    <i>
      <x v="107"/>
      <x v="6"/>
    </i>
    <i>
      <x v="108"/>
      <x v="13"/>
    </i>
    <i r="1">
      <x/>
    </i>
    <i r="1">
      <x v="4"/>
    </i>
    <i>
      <x v="109"/>
      <x v="11"/>
    </i>
    <i r="1">
      <x v="6"/>
    </i>
    <i>
      <x v="110"/>
      <x v="10"/>
    </i>
    <i>
      <x v="111"/>
      <x v="15"/>
    </i>
    <i r="1">
      <x v="10"/>
    </i>
    <i>
      <x v="112"/>
      <x v="12"/>
    </i>
    <i r="1">
      <x v="2"/>
    </i>
    <i>
      <x v="113"/>
      <x v="7"/>
    </i>
    <i r="1">
      <x v="4"/>
    </i>
    <i>
      <x v="114"/>
      <x v="5"/>
    </i>
    <i r="1">
      <x v="6"/>
    </i>
    <i>
      <x v="115"/>
      <x v="10"/>
    </i>
    <i>
      <x v="116"/>
      <x v="13"/>
    </i>
    <i r="1">
      <x/>
    </i>
    <i>
      <x v="117"/>
      <x v="5"/>
    </i>
    <i r="1">
      <x v="15"/>
    </i>
    <i r="1">
      <x v="16"/>
    </i>
    <i>
      <x v="118"/>
      <x v="2"/>
    </i>
    <i r="1">
      <x v="3"/>
    </i>
    <i>
      <x v="119"/>
      <x v="11"/>
    </i>
    <i r="1">
      <x v="15"/>
    </i>
    <i>
      <x v="120"/>
      <x v="11"/>
    </i>
    <i r="1">
      <x v="9"/>
    </i>
    <i>
      <x v="121"/>
      <x v="6"/>
    </i>
    <i r="1">
      <x v="16"/>
    </i>
    <i>
      <x v="122"/>
      <x v="14"/>
    </i>
    <i r="1">
      <x v="2"/>
    </i>
    <i r="1">
      <x v="9"/>
    </i>
    <i>
      <x v="123"/>
      <x v="12"/>
    </i>
    <i r="1">
      <x v="11"/>
    </i>
    <i>
      <x v="124"/>
      <x v="12"/>
    </i>
    <i r="1">
      <x v="9"/>
    </i>
    <i>
      <x v="125"/>
      <x v="13"/>
    </i>
    <i r="1">
      <x v="4"/>
    </i>
    <i r="1">
      <x v="10"/>
    </i>
    <i>
      <x v="126"/>
      <x v="5"/>
    </i>
    <i r="1">
      <x v="3"/>
    </i>
    <i>
      <x v="127"/>
      <x v="13"/>
    </i>
    <i r="1">
      <x v="5"/>
    </i>
    <i>
      <x v="128"/>
      <x v="5"/>
    </i>
    <i r="1">
      <x v="9"/>
    </i>
    <i>
      <x v="129"/>
      <x v="2"/>
    </i>
    <i>
      <x v="130"/>
      <x v="12"/>
    </i>
    <i>
      <x v="131"/>
      <x v="4"/>
    </i>
    <i r="1">
      <x v="16"/>
    </i>
    <i>
      <x v="132"/>
      <x v="4"/>
    </i>
    <i r="1">
      <x v="3"/>
    </i>
    <i>
      <x v="133"/>
      <x v="11"/>
    </i>
    <i r="1">
      <x v="6"/>
    </i>
    <i>
      <x v="134"/>
      <x v="5"/>
    </i>
    <i r="1">
      <x v="2"/>
    </i>
    <i>
      <x v="135"/>
      <x v="1"/>
    </i>
    <i r="1">
      <x v="16"/>
    </i>
    <i>
      <x v="136"/>
      <x v="14"/>
    </i>
    <i r="1">
      <x v="4"/>
    </i>
    <i>
      <x v="137"/>
      <x v="14"/>
    </i>
    <i r="1">
      <x v="13"/>
    </i>
    <i>
      <x v="138"/>
      <x v="14"/>
    </i>
    <i r="1">
      <x v="7"/>
    </i>
    <i>
      <x v="139"/>
      <x v="1"/>
    </i>
    <i r="1">
      <x v="2"/>
    </i>
    <i>
      <x v="140"/>
      <x v="9"/>
    </i>
    <i>
      <x v="141"/>
      <x/>
    </i>
    <i r="1">
      <x v="16"/>
    </i>
    <i>
      <x v="142"/>
      <x v="14"/>
    </i>
    <i r="1">
      <x v="7"/>
    </i>
    <i>
      <x v="143"/>
      <x v="4"/>
    </i>
    <i r="1">
      <x v="11"/>
    </i>
    <i>
      <x v="144"/>
      <x v="4"/>
    </i>
    <i r="1">
      <x v="8"/>
    </i>
    <i>
      <x v="145"/>
      <x/>
    </i>
    <i r="1">
      <x v="1"/>
    </i>
    <i>
      <x v="146"/>
      <x v="6"/>
    </i>
    <i r="1">
      <x v="2"/>
    </i>
    <i>
      <x v="147"/>
      <x v="11"/>
    </i>
    <i r="1">
      <x v="16"/>
    </i>
    <i>
      <x v="148"/>
      <x/>
    </i>
    <i r="1">
      <x v="16"/>
    </i>
    <i>
      <x v="149"/>
      <x v="14"/>
    </i>
    <i r="1">
      <x v="12"/>
    </i>
    <i r="1">
      <x v="5"/>
    </i>
    <i>
      <x v="150"/>
      <x v="15"/>
    </i>
    <i r="1">
      <x v="1"/>
    </i>
    <i>
      <x v="151"/>
      <x v="3"/>
    </i>
    <i>
      <x v="152"/>
      <x v="12"/>
    </i>
    <i r="1">
      <x v="8"/>
    </i>
    <i>
      <x v="153"/>
      <x v="11"/>
    </i>
    <i r="1">
      <x v="16"/>
    </i>
    <i>
      <x v="154"/>
      <x v="5"/>
    </i>
    <i>
      <x v="155"/>
      <x v="1"/>
    </i>
    <i r="1">
      <x v="3"/>
    </i>
    <i>
      <x v="156"/>
      <x v="11"/>
    </i>
    <i r="1">
      <x v="15"/>
    </i>
    <i>
      <x v="157"/>
      <x v="7"/>
    </i>
    <i r="1">
      <x v="1"/>
    </i>
    <i>
      <x v="158"/>
      <x v="8"/>
    </i>
    <i r="1">
      <x v="10"/>
    </i>
    <i>
      <x v="159"/>
      <x/>
    </i>
    <i r="1">
      <x v="16"/>
    </i>
    <i>
      <x v="160"/>
      <x v="5"/>
    </i>
    <i r="1">
      <x v="8"/>
    </i>
    <i>
      <x v="161"/>
      <x v="1"/>
    </i>
    <i r="1">
      <x v="9"/>
    </i>
    <i>
      <x v="162"/>
      <x v="12"/>
    </i>
    <i r="1">
      <x/>
    </i>
    <i>
      <x v="163"/>
      <x v="3"/>
    </i>
    <i>
      <x v="164"/>
      <x v="7"/>
    </i>
    <i r="1">
      <x v="4"/>
    </i>
    <i>
      <x v="165"/>
      <x v="6"/>
    </i>
    <i>
      <x v="166"/>
      <x v="10"/>
    </i>
    <i>
      <x v="167"/>
      <x v="5"/>
    </i>
    <i>
      <x v="168"/>
      <x v="6"/>
    </i>
    <i>
      <x v="169"/>
      <x v="7"/>
    </i>
    <i r="1">
      <x v="12"/>
    </i>
    <i r="1">
      <x v="8"/>
    </i>
    <i>
      <x v="170"/>
      <x v="12"/>
    </i>
    <i r="1">
      <x/>
    </i>
    <i>
      <x v="171"/>
      <x v="9"/>
    </i>
    <i r="1">
      <x v="10"/>
    </i>
    <i>
      <x v="172"/>
      <x v="1"/>
    </i>
    <i r="1">
      <x v="2"/>
    </i>
    <i>
      <x v="173"/>
      <x v="12"/>
    </i>
    <i r="1">
      <x v="10"/>
    </i>
    <i>
      <x v="174"/>
      <x/>
    </i>
    <i r="1">
      <x v="15"/>
    </i>
    <i>
      <x v="175"/>
      <x v="14"/>
    </i>
    <i r="1">
      <x v="2"/>
    </i>
    <i>
      <x v="176"/>
      <x v="3"/>
    </i>
    <i r="1">
      <x v="16"/>
    </i>
    <i>
      <x v="177"/>
      <x v="5"/>
    </i>
    <i r="1">
      <x v="16"/>
    </i>
    <i>
      <x v="178"/>
      <x v="4"/>
    </i>
    <i r="1">
      <x v="8"/>
    </i>
    <i>
      <x v="179"/>
      <x v="7"/>
    </i>
    <i r="1">
      <x/>
    </i>
    <i>
      <x v="180"/>
      <x v="14"/>
    </i>
    <i r="1">
      <x v="5"/>
    </i>
    <i>
      <x v="181"/>
      <x v="15"/>
    </i>
    <i r="1">
      <x v="16"/>
    </i>
    <i>
      <x v="182"/>
      <x v="14"/>
    </i>
    <i r="1">
      <x v="10"/>
    </i>
    <i>
      <x v="183"/>
      <x v="6"/>
    </i>
    <i r="1">
      <x v="10"/>
    </i>
    <i>
      <x v="184"/>
      <x v="14"/>
    </i>
    <i r="1">
      <x v="12"/>
    </i>
    <i>
      <x v="185"/>
      <x v="5"/>
    </i>
    <i r="1">
      <x v="2"/>
    </i>
    <i>
      <x v="186"/>
      <x v="13"/>
    </i>
    <i r="1">
      <x v="1"/>
    </i>
    <i>
      <x v="187"/>
      <x v="8"/>
    </i>
    <i r="1">
      <x v="16"/>
    </i>
    <i>
      <x v="188"/>
      <x v="4"/>
    </i>
    <i r="1">
      <x v="6"/>
    </i>
    <i>
      <x v="189"/>
      <x v="13"/>
    </i>
    <i r="1">
      <x v="6"/>
    </i>
    <i r="1">
      <x v="9"/>
    </i>
    <i>
      <x v="190"/>
      <x/>
    </i>
    <i r="1">
      <x v="15"/>
    </i>
    <i>
      <x v="191"/>
      <x/>
    </i>
    <i r="1">
      <x v="1"/>
    </i>
    <i>
      <x v="192"/>
      <x v="9"/>
    </i>
    <i r="1">
      <x v="10"/>
    </i>
    <i>
      <x v="193"/>
      <x v="13"/>
    </i>
    <i r="1">
      <x v="4"/>
    </i>
    <i>
      <x v="194"/>
      <x v="12"/>
    </i>
    <i r="1">
      <x v="15"/>
    </i>
    <i>
      <x v="195"/>
      <x v="14"/>
    </i>
    <i r="1">
      <x v="16"/>
    </i>
    <i>
      <x v="196"/>
      <x v="1"/>
    </i>
    <i r="1">
      <x v="9"/>
    </i>
    <i r="1">
      <x v="10"/>
    </i>
    <i>
      <x v="197"/>
      <x v="15"/>
    </i>
    <i r="1">
      <x v="8"/>
    </i>
    <i>
      <x v="198"/>
      <x v="14"/>
    </i>
    <i r="1">
      <x v="12"/>
    </i>
    <i r="1">
      <x v="3"/>
    </i>
    <i>
      <x v="199"/>
      <x v="4"/>
    </i>
    <i r="1">
      <x v="9"/>
    </i>
    <i>
      <x v="200"/>
      <x v="7"/>
    </i>
    <i r="1">
      <x v="1"/>
    </i>
    <i>
      <x v="201"/>
      <x v="7"/>
    </i>
    <i r="1">
      <x v="15"/>
    </i>
    <i>
      <x v="202"/>
      <x/>
    </i>
    <i>
      <x v="203"/>
      <x v="2"/>
    </i>
    <i r="1">
      <x v="3"/>
    </i>
    <i>
      <x v="204"/>
      <x v="4"/>
    </i>
    <i>
      <x v="205"/>
      <x v="12"/>
    </i>
    <i>
      <x v="206"/>
      <x v="14"/>
    </i>
    <i r="1">
      <x v="3"/>
    </i>
    <i>
      <x v="207"/>
      <x v="13"/>
    </i>
    <i r="1">
      <x v="9"/>
    </i>
    <i>
      <x v="208"/>
      <x v="7"/>
    </i>
    <i r="1">
      <x v="9"/>
    </i>
    <i>
      <x v="209"/>
      <x v="12"/>
    </i>
    <i r="1">
      <x/>
    </i>
    <i>
      <x v="210"/>
      <x v="1"/>
    </i>
    <i r="1">
      <x v="10"/>
    </i>
    <i>
      <x v="211"/>
      <x v="9"/>
    </i>
    <i>
      <x v="212"/>
      <x v="5"/>
    </i>
    <i r="1">
      <x v="6"/>
    </i>
    <i>
      <x v="213"/>
      <x v="13"/>
    </i>
    <i r="1">
      <x v="15"/>
    </i>
    <i>
      <x v="214"/>
      <x v="16"/>
    </i>
    <i r="1">
      <x v="10"/>
    </i>
    <i>
      <x v="215"/>
      <x v="11"/>
    </i>
    <i r="1">
      <x v="5"/>
    </i>
    <i>
      <x v="216"/>
      <x v="12"/>
    </i>
    <i>
      <x v="217"/>
      <x v="14"/>
    </i>
    <i r="1">
      <x v="4"/>
    </i>
    <i r="1">
      <x v="5"/>
    </i>
    <i>
      <x v="218"/>
      <x v="13"/>
    </i>
    <i r="1">
      <x v="15"/>
    </i>
    <i r="1">
      <x v="1"/>
    </i>
    <i>
      <x v="219"/>
      <x v="7"/>
    </i>
    <i r="1">
      <x v="8"/>
    </i>
    <i>
      <x v="220"/>
      <x v="13"/>
    </i>
    <i r="1">
      <x v="15"/>
    </i>
    <i>
      <x v="221"/>
      <x v="7"/>
    </i>
    <i r="1">
      <x v="11"/>
    </i>
    <i>
      <x v="222"/>
      <x v="14"/>
    </i>
    <i r="1">
      <x v="13"/>
    </i>
    <i>
      <x v="223"/>
      <x v="13"/>
    </i>
    <i r="1">
      <x v="4"/>
    </i>
    <i r="1">
      <x v="2"/>
    </i>
    <i>
      <x v="224"/>
      <x v="1"/>
    </i>
    <i r="1">
      <x v="16"/>
    </i>
    <i>
      <x v="225"/>
      <x v="4"/>
    </i>
    <i r="1">
      <x v="3"/>
    </i>
    <i>
      <x v="226"/>
      <x v="2"/>
    </i>
    <i r="1">
      <x v="9"/>
    </i>
    <i>
      <x v="227"/>
      <x v="8"/>
    </i>
    <i r="1">
      <x v="16"/>
    </i>
    <i>
      <x v="228"/>
      <x v="15"/>
    </i>
    <i>
      <x v="229"/>
      <x v="14"/>
    </i>
    <i r="1">
      <x v="6"/>
    </i>
    <i>
      <x v="230"/>
      <x v="11"/>
    </i>
    <i r="1">
      <x v="15"/>
    </i>
    <i>
      <x v="231"/>
      <x/>
    </i>
    <i r="1">
      <x v="2"/>
    </i>
    <i>
      <x v="232"/>
      <x v="6"/>
    </i>
    <i>
      <x v="233"/>
      <x v="11"/>
    </i>
    <i r="1">
      <x v="2"/>
    </i>
    <i>
      <x v="234"/>
      <x v="4"/>
    </i>
    <i r="1">
      <x v="6"/>
    </i>
    <i>
      <x v="235"/>
      <x v="4"/>
    </i>
    <i r="1">
      <x v="8"/>
    </i>
    <i>
      <x v="236"/>
      <x v="7"/>
    </i>
    <i r="1">
      <x/>
    </i>
    <i>
      <x v="237"/>
      <x/>
    </i>
    <i r="1">
      <x v="11"/>
    </i>
    <i>
      <x v="238"/>
      <x/>
    </i>
    <i r="1">
      <x v="3"/>
    </i>
    <i>
      <x v="239"/>
      <x/>
    </i>
    <i r="1">
      <x v="11"/>
    </i>
    <i r="1">
      <x v="3"/>
    </i>
    <i>
      <x v="240"/>
      <x v="5"/>
    </i>
    <i r="1">
      <x v="9"/>
    </i>
    <i>
      <x v="241"/>
      <x v="7"/>
    </i>
    <i r="1">
      <x v="4"/>
    </i>
    <i>
      <x v="242"/>
      <x v="13"/>
    </i>
    <i r="1">
      <x v="10"/>
    </i>
    <i>
      <x v="243"/>
      <x v="8"/>
    </i>
    <i r="1">
      <x v="16"/>
    </i>
    <i>
      <x v="244"/>
      <x v="14"/>
    </i>
    <i r="1">
      <x v="9"/>
    </i>
    <i>
      <x v="245"/>
      <x v="11"/>
    </i>
    <i r="1">
      <x v="1"/>
    </i>
    <i r="1">
      <x v="8"/>
    </i>
    <i>
      <x v="246"/>
      <x v="13"/>
    </i>
    <i r="1">
      <x v="6"/>
    </i>
    <i>
      <x v="247"/>
      <x v="2"/>
    </i>
    <i r="1">
      <x v="9"/>
    </i>
    <i>
      <x v="248"/>
      <x/>
    </i>
    <i r="1">
      <x v="10"/>
    </i>
    <i>
      <x v="249"/>
      <x v="14"/>
    </i>
    <i r="1">
      <x v="6"/>
    </i>
    <i>
      <x v="250"/>
      <x v="5"/>
    </i>
    <i r="1">
      <x v="15"/>
    </i>
    <i>
      <x v="251"/>
      <x v="2"/>
    </i>
    <i r="1">
      <x v="8"/>
    </i>
    <i>
      <x v="252"/>
      <x v="1"/>
    </i>
    <i r="1">
      <x v="3"/>
    </i>
    <i>
      <x v="253"/>
      <x v="11"/>
    </i>
    <i r="1">
      <x v="2"/>
    </i>
    <i>
      <x v="254"/>
      <x v="5"/>
    </i>
    <i r="1">
      <x v="9"/>
    </i>
    <i>
      <x v="255"/>
      <x v="4"/>
    </i>
    <i r="1">
      <x v="11"/>
    </i>
    <i>
      <x v="256"/>
      <x v="14"/>
    </i>
    <i r="1">
      <x v="2"/>
    </i>
    <i>
      <x v="257"/>
      <x v="13"/>
    </i>
    <i>
      <x v="258"/>
      <x v="14"/>
    </i>
    <i r="1">
      <x v="4"/>
    </i>
    <i r="1">
      <x v="6"/>
    </i>
    <i>
      <x v="259"/>
      <x v="13"/>
    </i>
    <i r="1">
      <x v="8"/>
    </i>
    <i r="1">
      <x v="16"/>
    </i>
    <i>
      <x v="260"/>
      <x v="2"/>
    </i>
    <i r="1">
      <x v="8"/>
    </i>
    <i>
      <x v="261"/>
      <x v="2"/>
    </i>
    <i r="1">
      <x v="9"/>
    </i>
    <i>
      <x v="262"/>
      <x v="2"/>
    </i>
    <i r="1">
      <x v="8"/>
    </i>
    <i>
      <x v="263"/>
      <x v="6"/>
    </i>
    <i>
      <x v="264"/>
      <x/>
    </i>
    <i r="1">
      <x v="5"/>
    </i>
    <i>
      <x v="265"/>
      <x v="3"/>
    </i>
    <i r="1">
      <x v="16"/>
    </i>
    <i r="1">
      <x v="10"/>
    </i>
    <i>
      <x v="266"/>
      <x v="16"/>
    </i>
    <i>
      <x v="267"/>
      <x v="12"/>
    </i>
    <i r="1">
      <x v="9"/>
    </i>
    <i>
      <x v="268"/>
      <x v="13"/>
    </i>
    <i>
      <x v="269"/>
      <x v="7"/>
    </i>
    <i r="1">
      <x v="8"/>
    </i>
    <i>
      <x v="270"/>
      <x v="7"/>
    </i>
    <i r="1">
      <x v="13"/>
    </i>
    <i r="1">
      <x v="10"/>
    </i>
    <i>
      <x v="271"/>
      <x v="12"/>
    </i>
    <i r="1">
      <x v="11"/>
    </i>
    <i r="1">
      <x v="1"/>
    </i>
    <i>
      <x v="272"/>
      <x v="10"/>
    </i>
    <i>
      <x v="273"/>
      <x/>
    </i>
    <i>
      <x v="274"/>
      <x v="15"/>
    </i>
    <i r="1">
      <x v="6"/>
    </i>
    <i>
      <x v="275"/>
      <x v="12"/>
    </i>
    <i r="1">
      <x/>
    </i>
    <i r="1">
      <x v="6"/>
    </i>
    <i>
      <x v="276"/>
      <x v="14"/>
    </i>
    <i r="1">
      <x v="3"/>
    </i>
    <i>
      <x v="277"/>
      <x/>
    </i>
    <i r="1">
      <x v="6"/>
    </i>
    <i>
      <x v="278"/>
      <x v="1"/>
    </i>
    <i r="1">
      <x v="10"/>
    </i>
    <i>
      <x v="279"/>
      <x v="13"/>
    </i>
    <i r="1">
      <x v="4"/>
    </i>
    <i>
      <x v="280"/>
      <x v="7"/>
    </i>
    <i r="1">
      <x v="3"/>
    </i>
    <i>
      <x v="281"/>
      <x v="15"/>
    </i>
    <i r="1">
      <x v="3"/>
    </i>
    <i r="1">
      <x v="10"/>
    </i>
    <i>
      <x v="282"/>
      <x v="7"/>
    </i>
    <i r="1">
      <x/>
    </i>
    <i r="1">
      <x v="1"/>
    </i>
    <i>
      <x v="283"/>
      <x v="13"/>
    </i>
    <i r="1">
      <x v="1"/>
    </i>
    <i>
      <x v="284"/>
      <x v="15"/>
    </i>
    <i r="1">
      <x v="10"/>
    </i>
    <i>
      <x v="285"/>
      <x v="6"/>
    </i>
    <i>
      <x v="286"/>
      <x v="7"/>
    </i>
    <i r="1">
      <x v="15"/>
    </i>
    <i>
      <x v="287"/>
      <x v="8"/>
    </i>
    <i r="1">
      <x v="16"/>
    </i>
    <i>
      <x v="288"/>
      <x/>
    </i>
    <i r="1">
      <x v="9"/>
    </i>
    <i>
      <x v="289"/>
      <x v="12"/>
    </i>
    <i r="1">
      <x v="2"/>
    </i>
    <i r="1">
      <x v="10"/>
    </i>
    <i>
      <x v="290"/>
      <x v="7"/>
    </i>
    <i r="1">
      <x v="5"/>
    </i>
    <i>
      <x v="291"/>
      <x v="5"/>
    </i>
    <i r="1">
      <x v="6"/>
    </i>
    <i>
      <x v="292"/>
      <x/>
    </i>
    <i r="1">
      <x v="1"/>
    </i>
    <i>
      <x v="293"/>
      <x v="13"/>
    </i>
    <i r="1">
      <x v="1"/>
    </i>
    <i>
      <x v="294"/>
      <x v="14"/>
    </i>
    <i r="1">
      <x v="3"/>
    </i>
    <i>
      <x v="295"/>
      <x v="1"/>
    </i>
    <i r="1">
      <x v="9"/>
    </i>
    <i>
      <x v="296"/>
      <x v="2"/>
    </i>
    <i>
      <x v="297"/>
      <x v="13"/>
    </i>
    <i r="1">
      <x v="12"/>
    </i>
    <i>
      <x v="298"/>
      <x/>
    </i>
    <i r="1">
      <x v="8"/>
    </i>
    <i>
      <x v="299"/>
      <x v="14"/>
    </i>
    <i>
      <x v="300"/>
      <x v="5"/>
    </i>
    <i>
      <x v="301"/>
      <x v="7"/>
    </i>
    <i r="1">
      <x v="6"/>
    </i>
    <i>
      <x v="302"/>
      <x v="13"/>
    </i>
    <i>
      <x v="303"/>
      <x v="4"/>
    </i>
    <i r="1">
      <x v="1"/>
    </i>
    <i>
      <x v="304"/>
      <x/>
    </i>
    <i r="1">
      <x v="1"/>
    </i>
    <i>
      <x v="305"/>
      <x v="1"/>
    </i>
    <i r="1">
      <x v="3"/>
    </i>
    <i>
      <x v="306"/>
      <x v="7"/>
    </i>
    <i r="1">
      <x v="13"/>
    </i>
    <i r="1">
      <x v="11"/>
    </i>
    <i>
      <x v="307"/>
      <x v="12"/>
    </i>
    <i r="1">
      <x v="5"/>
    </i>
    <i>
      <x v="308"/>
      <x v="1"/>
    </i>
    <i r="1">
      <x v="8"/>
    </i>
    <i>
      <x v="309"/>
      <x v="11"/>
    </i>
    <i r="1">
      <x v="9"/>
    </i>
    <i>
      <x v="310"/>
      <x v="15"/>
    </i>
    <i r="1">
      <x v="8"/>
    </i>
    <i>
      <x v="311"/>
      <x v="11"/>
    </i>
    <i r="1">
      <x v="8"/>
    </i>
    <i>
      <x v="312"/>
      <x/>
    </i>
    <i r="1">
      <x v="12"/>
    </i>
    <i r="1">
      <x v="15"/>
    </i>
    <i>
      <x v="313"/>
      <x v="5"/>
    </i>
    <i r="1">
      <x v="1"/>
    </i>
    <i>
      <x v="314"/>
      <x v="14"/>
    </i>
    <i r="1">
      <x v="2"/>
    </i>
    <i>
      <x v="315"/>
      <x v="6"/>
    </i>
    <i>
      <x v="316"/>
      <x v="11"/>
    </i>
    <i r="1">
      <x v="16"/>
    </i>
    <i>
      <x v="317"/>
      <x v="7"/>
    </i>
    <i r="1">
      <x v="6"/>
    </i>
    <i r="1">
      <x v="8"/>
    </i>
    <i>
      <x v="318"/>
      <x v="13"/>
    </i>
    <i r="1">
      <x v="15"/>
    </i>
    <i r="1">
      <x v="9"/>
    </i>
    <i>
      <x v="319"/>
      <x v="14"/>
    </i>
    <i r="1">
      <x v="12"/>
    </i>
    <i>
      <x v="320"/>
      <x v="14"/>
    </i>
    <i r="1">
      <x v="13"/>
    </i>
    <i>
      <x v="321"/>
      <x/>
    </i>
    <i r="1">
      <x v="11"/>
    </i>
    <i>
      <x v="322"/>
      <x v="13"/>
    </i>
    <i r="1">
      <x v="3"/>
    </i>
    <i>
      <x v="323"/>
      <x v="14"/>
    </i>
    <i>
      <x v="324"/>
      <x v="8"/>
    </i>
    <i r="1">
      <x v="10"/>
    </i>
    <i>
      <x v="325"/>
      <x v="2"/>
    </i>
    <i r="1">
      <x v="16"/>
    </i>
    <i>
      <x v="326"/>
      <x v="7"/>
    </i>
    <i r="1">
      <x v="12"/>
    </i>
    <i>
      <x v="327"/>
      <x v="11"/>
    </i>
    <i r="1">
      <x v="16"/>
    </i>
    <i>
      <x v="328"/>
      <x v="13"/>
    </i>
    <i r="1">
      <x v="9"/>
    </i>
    <i>
      <x v="329"/>
      <x v="12"/>
    </i>
    <i r="1">
      <x v="16"/>
    </i>
    <i>
      <x v="330"/>
      <x v="11"/>
    </i>
    <i r="1">
      <x v="15"/>
    </i>
    <i>
      <x v="331"/>
      <x v="12"/>
    </i>
    <i>
      <x v="332"/>
      <x v="3"/>
    </i>
    <i r="1">
      <x v="8"/>
    </i>
    <i>
      <x v="333"/>
      <x v="12"/>
    </i>
    <i r="1">
      <x v="6"/>
    </i>
    <i>
      <x v="334"/>
      <x v="16"/>
    </i>
    <i>
      <x v="335"/>
      <x v="12"/>
    </i>
    <i r="1">
      <x v="10"/>
    </i>
    <i>
      <x v="336"/>
      <x v="12"/>
    </i>
    <i r="1">
      <x/>
    </i>
    <i>
      <x v="337"/>
      <x v="14"/>
    </i>
    <i r="1">
      <x v="8"/>
    </i>
    <i>
      <x v="338"/>
      <x v="4"/>
    </i>
    <i>
      <x v="339"/>
      <x v="4"/>
    </i>
    <i r="1">
      <x v="5"/>
    </i>
    <i>
      <x v="340"/>
      <x v="7"/>
    </i>
    <i r="1">
      <x v="8"/>
    </i>
    <i>
      <x v="341"/>
      <x v="13"/>
    </i>
    <i r="1">
      <x v="11"/>
    </i>
    <i r="1">
      <x v="9"/>
    </i>
    <i>
      <x v="342"/>
      <x v="14"/>
    </i>
    <i r="1">
      <x v="9"/>
    </i>
    <i>
      <x v="343"/>
      <x v="12"/>
    </i>
    <i r="1">
      <x v="11"/>
    </i>
    <i>
      <x v="344"/>
      <x v="13"/>
    </i>
    <i r="1">
      <x v="2"/>
    </i>
    <i r="1">
      <x v="9"/>
    </i>
    <i>
      <x v="345"/>
      <x v="3"/>
    </i>
    <i>
      <x v="346"/>
      <x v="14"/>
    </i>
    <i r="1">
      <x v="11"/>
    </i>
    <i>
      <x v="347"/>
      <x v="15"/>
    </i>
    <i r="1">
      <x v="3"/>
    </i>
    <i>
      <x v="348"/>
      <x v="11"/>
    </i>
    <i r="1">
      <x v="3"/>
    </i>
    <i>
      <x v="349"/>
      <x v="15"/>
    </i>
    <i r="1">
      <x v="16"/>
    </i>
    <i>
      <x v="350"/>
      <x v="11"/>
    </i>
    <i r="1">
      <x v="15"/>
    </i>
    <i>
      <x v="351"/>
      <x v="14"/>
    </i>
    <i r="1">
      <x v="13"/>
    </i>
    <i>
      <x v="352"/>
      <x v="5"/>
    </i>
    <i r="1">
      <x v="16"/>
    </i>
    <i r="1">
      <x v="10"/>
    </i>
    <i>
      <x v="353"/>
      <x/>
    </i>
    <i>
      <x v="354"/>
      <x v="11"/>
    </i>
    <i r="1">
      <x v="10"/>
    </i>
    <i>
      <x v="355"/>
      <x v="8"/>
    </i>
    <i r="1">
      <x v="16"/>
    </i>
    <i>
      <x v="356"/>
      <x v="7"/>
    </i>
    <i r="1">
      <x v="11"/>
    </i>
    <i>
      <x v="357"/>
      <x v="15"/>
    </i>
    <i r="1">
      <x v="8"/>
    </i>
    <i>
      <x v="358"/>
      <x v="4"/>
    </i>
    <i r="1">
      <x v="3"/>
    </i>
    <i r="1">
      <x v="16"/>
    </i>
    <i>
      <x v="359"/>
      <x v="7"/>
    </i>
    <i r="1">
      <x v="12"/>
    </i>
    <i>
      <x v="360"/>
      <x v="9"/>
    </i>
    <i r="1">
      <x v="10"/>
    </i>
    <i>
      <x v="361"/>
      <x v="3"/>
    </i>
    <i r="1">
      <x v="16"/>
    </i>
    <i>
      <x v="362"/>
      <x v="8"/>
    </i>
    <i>
      <x v="363"/>
      <x v="12"/>
    </i>
    <i r="1">
      <x v="4"/>
    </i>
    <i r="1">
      <x v="8"/>
    </i>
    <i>
      <x v="364"/>
      <x v="13"/>
    </i>
    <i>
      <x v="365"/>
      <x v="12"/>
    </i>
    <i r="1">
      <x v="6"/>
    </i>
    <i>
      <x v="366"/>
      <x v="4"/>
    </i>
    <i r="1">
      <x v="11"/>
    </i>
    <i r="1">
      <x v="1"/>
    </i>
    <i>
      <x v="367"/>
      <x v="7"/>
    </i>
    <i r="1">
      <x v="3"/>
    </i>
    <i>
      <x v="368"/>
      <x v="6"/>
    </i>
    <i r="1">
      <x v="9"/>
    </i>
    <i>
      <x v="369"/>
      <x v="4"/>
    </i>
    <i r="1">
      <x v="9"/>
    </i>
    <i>
      <x v="370"/>
      <x v="15"/>
    </i>
    <i r="1">
      <x v="8"/>
    </i>
    <i>
      <x v="371"/>
      <x/>
    </i>
    <i r="1">
      <x v="11"/>
    </i>
    <i>
      <x v="372"/>
      <x v="8"/>
    </i>
    <i r="1">
      <x v="16"/>
    </i>
    <i>
      <x v="373"/>
      <x v="9"/>
    </i>
    <i r="1">
      <x v="8"/>
    </i>
    <i>
      <x v="374"/>
      <x v="3"/>
    </i>
    <i>
      <x v="375"/>
      <x v="12"/>
    </i>
    <i r="1">
      <x v="3"/>
    </i>
    <i>
      <x v="376"/>
      <x v="15"/>
    </i>
    <i r="1">
      <x v="3"/>
    </i>
    <i>
      <x v="377"/>
      <x v="9"/>
    </i>
    <i r="1">
      <x v="16"/>
    </i>
    <i>
      <x v="378"/>
      <x v="14"/>
    </i>
    <i r="1">
      <x v="16"/>
    </i>
    <i>
      <x v="379"/>
      <x v="7"/>
    </i>
    <i r="1">
      <x/>
    </i>
    <i>
      <x v="380"/>
      <x/>
    </i>
    <i r="1">
      <x v="2"/>
    </i>
    <i>
      <x v="381"/>
      <x v="3"/>
    </i>
    <i r="1">
      <x v="16"/>
    </i>
    <i>
      <x v="382"/>
      <x v="4"/>
    </i>
    <i r="1">
      <x v="1"/>
    </i>
    <i>
      <x v="383"/>
      <x v="3"/>
    </i>
    <i>
      <x v="384"/>
      <x v="5"/>
    </i>
    <i r="1">
      <x v="15"/>
    </i>
    <i>
      <x v="385"/>
      <x v="13"/>
    </i>
    <i r="1">
      <x v="3"/>
    </i>
    <i>
      <x v="386"/>
      <x v="5"/>
    </i>
    <i r="1">
      <x v="16"/>
    </i>
    <i>
      <x v="387"/>
      <x v="4"/>
    </i>
    <i r="1">
      <x v="5"/>
    </i>
    <i>
      <x v="388"/>
      <x v="14"/>
    </i>
    <i r="1">
      <x v="2"/>
    </i>
    <i>
      <x v="389"/>
      <x v="6"/>
    </i>
    <i>
      <x v="390"/>
      <x v="15"/>
    </i>
    <i r="1">
      <x v="8"/>
    </i>
    <i>
      <x v="391"/>
      <x v="1"/>
    </i>
    <i r="1">
      <x v="10"/>
    </i>
    <i>
      <x v="392"/>
      <x v="5"/>
    </i>
    <i r="1">
      <x v="1"/>
    </i>
    <i>
      <x v="393"/>
      <x v="4"/>
    </i>
    <i r="1">
      <x v="10"/>
    </i>
    <i>
      <x v="394"/>
      <x v="14"/>
    </i>
    <i r="1">
      <x/>
    </i>
    <i>
      <x v="395"/>
      <x v="12"/>
    </i>
    <i r="1">
      <x/>
    </i>
    <i>
      <x v="396"/>
      <x v="15"/>
    </i>
    <i r="1">
      <x v="1"/>
    </i>
    <i>
      <x v="397"/>
      <x v="11"/>
    </i>
    <i r="1">
      <x v="10"/>
    </i>
    <i>
      <x v="398"/>
      <x v="5"/>
    </i>
    <i r="1">
      <x v="15"/>
    </i>
    <i>
      <x v="399"/>
      <x v="6"/>
    </i>
    <i r="1">
      <x v="9"/>
    </i>
    <i>
      <x v="400"/>
      <x v="3"/>
    </i>
    <i>
      <x v="401"/>
      <x v="6"/>
    </i>
    <i r="1">
      <x v="9"/>
    </i>
    <i r="1">
      <x v="3"/>
    </i>
    <i>
      <x v="402"/>
      <x v="1"/>
    </i>
    <i r="1">
      <x v="9"/>
    </i>
    <i r="1">
      <x v="8"/>
    </i>
    <i>
      <x v="403"/>
      <x v="1"/>
    </i>
    <i>
      <x v="404"/>
      <x v="6"/>
    </i>
    <i r="1">
      <x v="3"/>
    </i>
    <i>
      <x v="405"/>
      <x v="8"/>
    </i>
    <i>
      <x v="406"/>
      <x v="7"/>
    </i>
    <i>
      <x v="407"/>
      <x v="13"/>
    </i>
    <i>
      <x v="408"/>
      <x v="4"/>
    </i>
    <i r="1">
      <x v="10"/>
    </i>
    <i>
      <x v="409"/>
      <x v="3"/>
    </i>
    <i r="1">
      <x v="8"/>
    </i>
    <i>
      <x v="410"/>
      <x v="5"/>
    </i>
    <i r="1">
      <x v="10"/>
    </i>
    <i>
      <x v="411"/>
      <x v="5"/>
    </i>
    <i r="1">
      <x v="3"/>
    </i>
    <i r="1">
      <x v="16"/>
    </i>
    <i>
      <x v="412"/>
      <x v="5"/>
    </i>
    <i r="1">
      <x v="2"/>
    </i>
    <i r="1">
      <x v="10"/>
    </i>
    <i>
      <x v="413"/>
      <x v="7"/>
    </i>
    <i r="1">
      <x v="2"/>
    </i>
    <i>
      <x v="414"/>
      <x v="5"/>
    </i>
    <i r="1">
      <x v="8"/>
    </i>
    <i>
      <x v="415"/>
      <x v="9"/>
    </i>
    <i r="1">
      <x v="16"/>
    </i>
    <i>
      <x v="416"/>
      <x v="5"/>
    </i>
    <i r="1">
      <x v="2"/>
    </i>
    <i>
      <x v="417"/>
      <x v="7"/>
    </i>
    <i r="1">
      <x v="1"/>
    </i>
    <i>
      <x v="418"/>
      <x v="5"/>
    </i>
    <i r="1">
      <x v="9"/>
    </i>
    <i>
      <x v="419"/>
      <x v="13"/>
    </i>
    <i r="1">
      <x v="1"/>
    </i>
    <i>
      <x v="420"/>
      <x v="5"/>
    </i>
    <i>
      <x v="421"/>
      <x v="13"/>
    </i>
    <i>
      <x v="422"/>
      <x v="11"/>
    </i>
    <i r="1">
      <x v="3"/>
    </i>
    <i>
      <x v="423"/>
      <x/>
    </i>
    <i r="1">
      <x v="5"/>
    </i>
    <i>
      <x v="424"/>
      <x v="6"/>
    </i>
    <i r="1">
      <x v="8"/>
    </i>
    <i>
      <x v="425"/>
      <x v="5"/>
    </i>
    <i r="1">
      <x v="3"/>
    </i>
    <i>
      <x v="426"/>
      <x v="12"/>
    </i>
    <i r="1">
      <x v="5"/>
    </i>
    <i>
      <x v="427"/>
      <x v="7"/>
    </i>
    <i r="1">
      <x v="13"/>
    </i>
    <i>
      <x v="428"/>
      <x v="4"/>
    </i>
    <i r="1">
      <x v="9"/>
    </i>
    <i r="1">
      <x v="3"/>
    </i>
    <i>
      <x v="429"/>
      <x v="1"/>
    </i>
    <i r="1">
      <x v="9"/>
    </i>
    <i>
      <x v="430"/>
      <x v="13"/>
    </i>
    <i r="1">
      <x/>
    </i>
    <i>
      <x v="431"/>
      <x v="6"/>
    </i>
    <i>
      <x v="432"/>
      <x v="13"/>
    </i>
    <i r="1">
      <x/>
    </i>
    <i r="1">
      <x v="5"/>
    </i>
    <i>
      <x v="433"/>
      <x v="7"/>
    </i>
    <i r="1">
      <x v="4"/>
    </i>
    <i>
      <x v="434"/>
      <x v="4"/>
    </i>
    <i r="1">
      <x v="9"/>
    </i>
    <i>
      <x v="435"/>
      <x v="7"/>
    </i>
    <i r="1">
      <x v="9"/>
    </i>
    <i>
      <x v="436"/>
      <x v="14"/>
    </i>
    <i r="1">
      <x v="7"/>
    </i>
    <i r="1">
      <x v="10"/>
    </i>
    <i>
      <x v="437"/>
      <x v="5"/>
    </i>
    <i>
      <x v="438"/>
      <x v="7"/>
    </i>
    <i r="1">
      <x v="15"/>
    </i>
    <i>
      <x v="439"/>
      <x v="4"/>
    </i>
    <i r="1">
      <x v="11"/>
    </i>
    <i>
      <x v="440"/>
      <x v="2"/>
    </i>
    <i r="1">
      <x v="10"/>
    </i>
    <i>
      <x v="441"/>
      <x v="5"/>
    </i>
    <i r="1">
      <x v="15"/>
    </i>
    <i>
      <x v="442"/>
      <x/>
    </i>
    <i r="1">
      <x v="2"/>
    </i>
    <i>
      <x v="443"/>
      <x v="6"/>
    </i>
    <i r="1">
      <x v="10"/>
    </i>
    <i>
      <x v="444"/>
      <x v="1"/>
    </i>
    <i r="1">
      <x v="9"/>
    </i>
    <i>
      <x v="445"/>
      <x v="4"/>
    </i>
    <i r="1">
      <x v="9"/>
    </i>
    <i>
      <x v="446"/>
      <x v="9"/>
    </i>
    <i>
      <x v="447"/>
      <x/>
    </i>
    <i r="1">
      <x v="6"/>
    </i>
    <i>
      <x v="448"/>
      <x v="15"/>
    </i>
    <i r="1">
      <x v="9"/>
    </i>
    <i>
      <x v="449"/>
      <x v="9"/>
    </i>
    <i r="1">
      <x v="3"/>
    </i>
    <i>
      <x v="450"/>
      <x/>
    </i>
    <i>
      <x v="451"/>
      <x v="14"/>
    </i>
    <i r="1">
      <x v="15"/>
    </i>
    <i>
      <x v="452"/>
      <x v="15"/>
    </i>
    <i r="1">
      <x v="1"/>
    </i>
    <i>
      <x v="453"/>
      <x v="1"/>
    </i>
    <i r="1">
      <x v="16"/>
    </i>
    <i>
      <x v="454"/>
      <x v="7"/>
    </i>
    <i r="1">
      <x v="5"/>
    </i>
    <i>
      <x v="455"/>
      <x v="11"/>
    </i>
    <i r="1">
      <x v="5"/>
    </i>
    <i>
      <x v="456"/>
      <x v="4"/>
    </i>
    <i r="1">
      <x v="8"/>
    </i>
    <i>
      <x v="457"/>
      <x v="15"/>
    </i>
    <i r="1">
      <x v="9"/>
    </i>
    <i>
      <x v="458"/>
      <x v="16"/>
    </i>
    <i>
      <x v="459"/>
      <x v="5"/>
    </i>
    <i r="1">
      <x v="15"/>
    </i>
    <i>
      <x v="460"/>
      <x v="11"/>
    </i>
    <i r="1">
      <x v="8"/>
    </i>
    <i>
      <x v="461"/>
      <x v="11"/>
    </i>
    <i r="1">
      <x v="6"/>
    </i>
    <i>
      <x v="462"/>
      <x v="4"/>
    </i>
    <i r="1">
      <x v="2"/>
    </i>
    <i>
      <x v="463"/>
      <x v="9"/>
    </i>
    <i r="1">
      <x v="8"/>
    </i>
    <i>
      <x v="464"/>
      <x v="14"/>
    </i>
    <i r="1">
      <x v="15"/>
    </i>
    <i>
      <x v="465"/>
      <x v="13"/>
    </i>
    <i r="1">
      <x v="11"/>
    </i>
    <i>
      <x v="466"/>
      <x v="14"/>
    </i>
    <i r="1">
      <x v="11"/>
    </i>
    <i>
      <x v="467"/>
      <x v="14"/>
    </i>
    <i r="1">
      <x v="8"/>
    </i>
    <i>
      <x v="468"/>
      <x v="11"/>
    </i>
    <i r="1">
      <x v="5"/>
    </i>
    <i>
      <x v="469"/>
      <x v="8"/>
    </i>
    <i r="1">
      <x v="10"/>
    </i>
    <i>
      <x v="470"/>
      <x/>
    </i>
    <i r="1">
      <x v="11"/>
    </i>
    <i>
      <x v="471"/>
      <x v="12"/>
    </i>
    <i r="1">
      <x v="2"/>
    </i>
    <i r="1">
      <x v="8"/>
    </i>
    <i>
      <x v="472"/>
      <x v="13"/>
    </i>
    <i r="1">
      <x v="3"/>
    </i>
    <i>
      <x v="473"/>
      <x v="14"/>
    </i>
    <i r="1">
      <x v="3"/>
    </i>
    <i>
      <x v="474"/>
      <x v="16"/>
    </i>
    <i>
      <x v="475"/>
      <x v="5"/>
    </i>
    <i>
      <x v="476"/>
      <x v="1"/>
    </i>
    <i r="1">
      <x v="8"/>
    </i>
    <i>
      <x v="477"/>
      <x v="7"/>
    </i>
    <i r="1">
      <x v="15"/>
    </i>
    <i r="1">
      <x v="9"/>
    </i>
    <i>
      <x v="478"/>
      <x v="12"/>
    </i>
    <i r="1">
      <x v="4"/>
    </i>
    <i r="1">
      <x v="3"/>
    </i>
    <i>
      <x v="479"/>
      <x/>
    </i>
    <i r="1">
      <x v="8"/>
    </i>
    <i>
      <x v="480"/>
      <x v="13"/>
    </i>
    <i r="1">
      <x v="1"/>
    </i>
    <i>
      <x v="481"/>
      <x v="7"/>
    </i>
    <i r="1">
      <x v="11"/>
    </i>
    <i>
      <x v="482"/>
      <x v="7"/>
    </i>
    <i r="1">
      <x v="1"/>
    </i>
    <i r="1">
      <x v="16"/>
    </i>
    <i>
      <x v="483"/>
      <x v="5"/>
    </i>
    <i r="1">
      <x v="9"/>
    </i>
    <i>
      <x v="484"/>
      <x v="4"/>
    </i>
    <i r="1">
      <x v="15"/>
    </i>
    <i>
      <x v="485"/>
      <x v="13"/>
    </i>
    <i r="1">
      <x v="9"/>
    </i>
    <i>
      <x v="486"/>
      <x v="11"/>
    </i>
    <i r="1">
      <x v="15"/>
    </i>
    <i>
      <x v="487"/>
      <x v="13"/>
    </i>
    <i r="1">
      <x/>
    </i>
    <i r="1">
      <x v="15"/>
    </i>
    <i>
      <x v="488"/>
      <x v="15"/>
    </i>
    <i r="1">
      <x v="9"/>
    </i>
    <i>
      <x v="489"/>
      <x v="4"/>
    </i>
    <i r="1">
      <x v="10"/>
    </i>
    <i>
      <x v="490"/>
      <x v="15"/>
    </i>
    <i r="1">
      <x v="2"/>
    </i>
    <i>
      <x v="491"/>
      <x v="14"/>
    </i>
    <i r="1">
      <x v="13"/>
    </i>
    <i r="1">
      <x v="16"/>
    </i>
    <i>
      <x v="492"/>
      <x v="12"/>
    </i>
    <i r="1">
      <x v="4"/>
    </i>
    <i>
      <x v="493"/>
      <x v="11"/>
    </i>
    <i r="1">
      <x v="15"/>
    </i>
    <i>
      <x v="494"/>
      <x v="16"/>
    </i>
    <i>
      <x v="495"/>
      <x v="16"/>
    </i>
    <i r="1">
      <x v="10"/>
    </i>
    <i>
      <x v="496"/>
      <x v="12"/>
    </i>
    <i r="1">
      <x v="11"/>
    </i>
    <i r="1">
      <x v="16"/>
    </i>
    <i>
      <x v="497"/>
      <x v="11"/>
    </i>
    <i r="1">
      <x v="5"/>
    </i>
    <i r="1">
      <x v="3"/>
    </i>
    <i>
      <x v="498"/>
      <x v="13"/>
    </i>
    <i r="1">
      <x v="11"/>
    </i>
    <i>
      <x v="499"/>
      <x v="12"/>
    </i>
    <i r="1">
      <x v="1"/>
    </i>
    <i r="1">
      <x v="16"/>
    </i>
    <i>
      <x v="500"/>
      <x v="14"/>
    </i>
    <i r="1">
      <x v="13"/>
    </i>
    <i>
      <x v="501"/>
      <x/>
    </i>
    <i r="1">
      <x v="12"/>
    </i>
    <i r="1">
      <x v="11"/>
    </i>
    <i>
      <x v="502"/>
      <x v="5"/>
    </i>
    <i r="1">
      <x v="3"/>
    </i>
    <i>
      <x v="503"/>
      <x v="8"/>
    </i>
    <i>
      <x v="504"/>
      <x v="7"/>
    </i>
    <i r="1">
      <x/>
    </i>
    <i>
      <x v="505"/>
      <x v="15"/>
    </i>
    <i r="1">
      <x v="8"/>
    </i>
    <i>
      <x v="506"/>
      <x v="13"/>
    </i>
    <i r="1">
      <x v="2"/>
    </i>
    <i>
      <x v="507"/>
      <x v="12"/>
    </i>
    <i r="1">
      <x/>
    </i>
    <i>
      <x v="508"/>
      <x/>
    </i>
    <i r="1">
      <x v="16"/>
    </i>
    <i>
      <x v="509"/>
      <x v="13"/>
    </i>
    <i r="1">
      <x v="9"/>
    </i>
    <i>
      <x v="510"/>
      <x v="11"/>
    </i>
    <i r="1">
      <x v="16"/>
    </i>
    <i>
      <x v="511"/>
      <x v="4"/>
    </i>
    <i r="1">
      <x v="11"/>
    </i>
    <i>
      <x v="512"/>
      <x/>
    </i>
    <i>
      <x v="513"/>
      <x v="15"/>
    </i>
    <i r="1">
      <x v="6"/>
    </i>
    <i>
      <x v="514"/>
      <x v="5"/>
    </i>
    <i r="1">
      <x v="9"/>
    </i>
    <i>
      <x v="515"/>
      <x v="11"/>
    </i>
    <i r="1">
      <x v="2"/>
    </i>
    <i>
      <x v="516"/>
      <x v="14"/>
    </i>
    <i>
      <x v="517"/>
      <x v="6"/>
    </i>
    <i r="1">
      <x v="1"/>
    </i>
    <i r="1">
      <x v="8"/>
    </i>
    <i>
      <x v="518"/>
      <x v="8"/>
    </i>
    <i>
      <x v="519"/>
      <x v="7"/>
    </i>
    <i r="1">
      <x v="1"/>
    </i>
    <i r="1">
      <x v="10"/>
    </i>
    <i>
      <x v="520"/>
      <x v="6"/>
    </i>
    <i r="1">
      <x v="3"/>
    </i>
    <i>
      <x v="521"/>
      <x/>
    </i>
    <i r="1">
      <x v="9"/>
    </i>
    <i>
      <x v="522"/>
      <x v="6"/>
    </i>
    <i r="1">
      <x v="16"/>
    </i>
    <i>
      <x v="523"/>
      <x v="8"/>
    </i>
    <i r="1">
      <x v="10"/>
    </i>
    <i>
      <x v="524"/>
      <x v="7"/>
    </i>
    <i>
      <x v="525"/>
      <x v="12"/>
    </i>
    <i r="1">
      <x v="4"/>
    </i>
    <i>
      <x v="526"/>
      <x v="12"/>
    </i>
    <i r="1">
      <x v="10"/>
    </i>
    <i>
      <x v="527"/>
      <x/>
    </i>
    <i r="1">
      <x v="5"/>
    </i>
    <i>
      <x v="528"/>
      <x v="3"/>
    </i>
    <i r="1">
      <x v="8"/>
    </i>
    <i>
      <x v="529"/>
      <x v="14"/>
    </i>
    <i r="1">
      <x v="1"/>
    </i>
    <i>
      <x v="530"/>
      <x v="14"/>
    </i>
    <i r="1">
      <x v="11"/>
    </i>
    <i r="1">
      <x v="6"/>
    </i>
    <i>
      <x v="531"/>
      <x v="13"/>
    </i>
    <i r="1">
      <x v="9"/>
    </i>
    <i>
      <x v="532"/>
      <x v="12"/>
    </i>
    <i r="1">
      <x v="5"/>
    </i>
    <i r="1">
      <x v="3"/>
    </i>
    <i>
      <x v="533"/>
      <x v="14"/>
    </i>
    <i r="1">
      <x v="12"/>
    </i>
    <i r="1">
      <x v="15"/>
    </i>
    <i>
      <x v="534"/>
      <x v="13"/>
    </i>
    <i r="1">
      <x v="8"/>
    </i>
    <i>
      <x v="535"/>
      <x v="7"/>
    </i>
    <i r="1">
      <x v="8"/>
    </i>
    <i>
      <x v="536"/>
      <x v="5"/>
    </i>
    <i r="1">
      <x v="2"/>
    </i>
    <i r="1">
      <x v="10"/>
    </i>
    <i>
      <x v="537"/>
      <x v="12"/>
    </i>
    <i>
      <x v="538"/>
      <x v="15"/>
    </i>
    <i r="1">
      <x v="6"/>
    </i>
    <i>
      <x v="539"/>
      <x v="14"/>
    </i>
    <i r="1">
      <x v="10"/>
    </i>
    <i>
      <x v="540"/>
      <x v="7"/>
    </i>
    <i r="1">
      <x v="11"/>
    </i>
    <i>
      <x v="541"/>
      <x v="16"/>
    </i>
    <i r="1">
      <x v="10"/>
    </i>
    <i>
      <x v="542"/>
      <x v="13"/>
    </i>
    <i r="1">
      <x v="16"/>
    </i>
    <i>
      <x v="543"/>
      <x v="14"/>
    </i>
    <i r="1">
      <x v="3"/>
    </i>
    <i>
      <x v="544"/>
      <x v="14"/>
    </i>
    <i r="1">
      <x v="11"/>
    </i>
    <i r="1">
      <x v="15"/>
    </i>
    <i>
      <x v="545"/>
      <x v="7"/>
    </i>
    <i r="1">
      <x v="11"/>
    </i>
    <i>
      <x v="546"/>
      <x/>
    </i>
    <i r="1">
      <x v="4"/>
    </i>
    <i>
      <x v="547"/>
      <x v="4"/>
    </i>
    <i>
      <x v="548"/>
      <x v="7"/>
    </i>
    <i r="1">
      <x v="9"/>
    </i>
    <i>
      <x v="549"/>
      <x v="5"/>
    </i>
    <i r="1">
      <x v="15"/>
    </i>
    <i>
      <x v="550"/>
      <x v="12"/>
    </i>
    <i r="1">
      <x v="11"/>
    </i>
    <i>
      <x v="551"/>
      <x v="15"/>
    </i>
    <i r="1">
      <x v="8"/>
    </i>
    <i>
      <x v="552"/>
      <x v="7"/>
    </i>
    <i r="1">
      <x v="2"/>
    </i>
    <i>
      <x v="553"/>
      <x v="14"/>
    </i>
    <i r="1">
      <x v="10"/>
    </i>
    <i>
      <x v="554"/>
      <x v="13"/>
    </i>
    <i r="1">
      <x v="5"/>
    </i>
    <i r="1">
      <x v="3"/>
    </i>
    <i>
      <x v="555"/>
      <x v="12"/>
    </i>
    <i r="1">
      <x v="4"/>
    </i>
    <i>
      <x v="556"/>
      <x v="7"/>
    </i>
    <i r="1">
      <x v="1"/>
    </i>
    <i>
      <x v="557"/>
      <x v="13"/>
    </i>
    <i r="1">
      <x v="11"/>
    </i>
    <i>
      <x v="558"/>
      <x v="5"/>
    </i>
    <i r="1">
      <x v="16"/>
    </i>
    <i>
      <x v="559"/>
      <x v="5"/>
    </i>
    <i r="1">
      <x v="1"/>
    </i>
    <i>
      <x v="560"/>
      <x v="9"/>
    </i>
    <i r="1">
      <x v="8"/>
    </i>
    <i>
      <x v="561"/>
      <x v="6"/>
    </i>
    <i r="1">
      <x v="1"/>
    </i>
    <i>
      <x v="562"/>
      <x v="7"/>
    </i>
    <i r="1">
      <x/>
    </i>
    <i r="1">
      <x v="9"/>
    </i>
    <i>
      <x v="563"/>
      <x v="12"/>
    </i>
    <i r="1">
      <x v="2"/>
    </i>
    <i r="1">
      <x v="10"/>
    </i>
    <i>
      <x v="564"/>
      <x v="13"/>
    </i>
    <i r="1">
      <x v="3"/>
    </i>
    <i>
      <x v="565"/>
      <x/>
    </i>
    <i r="1">
      <x v="4"/>
    </i>
    <i>
      <x v="566"/>
      <x v="12"/>
    </i>
    <i r="1">
      <x v="16"/>
    </i>
    <i>
      <x v="567"/>
      <x v="1"/>
    </i>
    <i r="1">
      <x v="2"/>
    </i>
    <i>
      <x v="568"/>
      <x v="5"/>
    </i>
    <i>
      <x v="569"/>
      <x v="5"/>
    </i>
    <i r="1">
      <x v="1"/>
    </i>
    <i>
      <x v="570"/>
      <x v="14"/>
    </i>
    <i r="1">
      <x v="15"/>
    </i>
    <i>
      <x v="571"/>
      <x v="15"/>
    </i>
    <i r="1">
      <x v="3"/>
    </i>
    <i>
      <x v="572"/>
      <x v="14"/>
    </i>
    <i r="1">
      <x v="10"/>
    </i>
    <i>
      <x v="573"/>
      <x/>
    </i>
    <i r="1">
      <x v="2"/>
    </i>
    <i>
      <x v="574"/>
      <x v="15"/>
    </i>
    <i>
      <x v="575"/>
      <x v="5"/>
    </i>
    <i r="1">
      <x v="10"/>
    </i>
    <i>
      <x v="576"/>
      <x v="7"/>
    </i>
    <i r="1">
      <x v="3"/>
    </i>
    <i>
      <x v="577"/>
      <x v="15"/>
    </i>
    <i>
      <x v="578"/>
      <x v="3"/>
    </i>
    <i r="1">
      <x v="16"/>
    </i>
    <i>
      <x v="579"/>
      <x/>
    </i>
    <i r="1">
      <x v="12"/>
    </i>
    <i r="1">
      <x v="9"/>
    </i>
    <i>
      <x v="580"/>
      <x v="12"/>
    </i>
    <i r="1">
      <x v="2"/>
    </i>
    <i>
      <x v="581"/>
      <x v="1"/>
    </i>
    <i r="1">
      <x v="9"/>
    </i>
    <i r="1">
      <x v="3"/>
    </i>
    <i>
      <x v="582"/>
      <x v="7"/>
    </i>
    <i r="1">
      <x v="11"/>
    </i>
    <i r="1">
      <x v="9"/>
    </i>
    <i>
      <x v="583"/>
      <x v="7"/>
    </i>
    <i r="1">
      <x v="13"/>
    </i>
    <i r="1">
      <x v="10"/>
    </i>
    <i>
      <x v="584"/>
      <x v="5"/>
    </i>
    <i r="1">
      <x v="10"/>
    </i>
    <i>
      <x v="585"/>
      <x v="7"/>
    </i>
    <i>
      <x v="586"/>
      <x v="9"/>
    </i>
    <i r="1">
      <x v="3"/>
    </i>
    <i>
      <x v="587"/>
      <x v="3"/>
    </i>
    <i r="1">
      <x v="10"/>
    </i>
    <i>
      <x v="588"/>
      <x v="1"/>
    </i>
    <i r="1">
      <x v="9"/>
    </i>
    <i>
      <x v="589"/>
      <x v="1"/>
    </i>
    <i r="1">
      <x v="3"/>
    </i>
    <i>
      <x v="590"/>
      <x v="12"/>
    </i>
    <i r="1">
      <x v="16"/>
    </i>
    <i>
      <x v="591"/>
      <x/>
    </i>
    <i r="1">
      <x v="11"/>
    </i>
    <i>
      <x v="592"/>
      <x v="4"/>
    </i>
    <i r="1">
      <x v="16"/>
    </i>
    <i>
      <x v="593"/>
      <x v="15"/>
    </i>
    <i r="1">
      <x v="3"/>
    </i>
    <i>
      <x v="594"/>
      <x/>
    </i>
    <i r="1">
      <x v="2"/>
    </i>
    <i>
      <x v="595"/>
      <x v="9"/>
    </i>
    <i r="1">
      <x v="16"/>
    </i>
    <i>
      <x v="596"/>
      <x v="4"/>
    </i>
    <i r="1">
      <x v="15"/>
    </i>
    <i>
      <x v="597"/>
      <x v="3"/>
    </i>
    <i>
      <x v="598"/>
      <x/>
    </i>
    <i r="1">
      <x v="4"/>
    </i>
    <i>
      <x v="599"/>
      <x/>
    </i>
    <i r="1">
      <x v="12"/>
    </i>
    <i r="1">
      <x v="5"/>
    </i>
    <i>
      <x v="600"/>
      <x v="4"/>
    </i>
    <i r="1">
      <x v="1"/>
    </i>
    <i>
      <x v="601"/>
      <x v="14"/>
    </i>
    <i r="1">
      <x v="4"/>
    </i>
    <i r="1">
      <x v="1"/>
    </i>
    <i>
      <x v="602"/>
      <x/>
    </i>
    <i r="1">
      <x v="10"/>
    </i>
    <i>
      <x v="603"/>
      <x v="12"/>
    </i>
    <i r="1">
      <x/>
    </i>
    <i>
      <x v="604"/>
      <x v="9"/>
    </i>
    <i>
      <x v="605"/>
      <x v="7"/>
    </i>
    <i r="1">
      <x v="13"/>
    </i>
    <i r="1">
      <x v="9"/>
    </i>
    <i>
      <x v="606"/>
      <x v="7"/>
    </i>
    <i r="1">
      <x v="4"/>
    </i>
    <i>
      <x v="607"/>
      <x v="14"/>
    </i>
    <i r="1">
      <x v="5"/>
    </i>
    <i>
      <x v="608"/>
      <x v="14"/>
    </i>
    <i r="1">
      <x v="9"/>
    </i>
    <i>
      <x v="609"/>
      <x v="7"/>
    </i>
    <i r="1">
      <x v="11"/>
    </i>
    <i>
      <x v="610"/>
      <x v="3"/>
    </i>
    <i>
      <x v="611"/>
      <x v="14"/>
    </i>
    <i r="1">
      <x v="11"/>
    </i>
    <i>
      <x v="612"/>
      <x v="12"/>
    </i>
    <i r="1">
      <x v="3"/>
    </i>
    <i>
      <x v="613"/>
      <x v="13"/>
    </i>
    <i r="1">
      <x v="4"/>
    </i>
    <i>
      <x v="614"/>
      <x v="7"/>
    </i>
    <i r="1">
      <x v="16"/>
    </i>
    <i>
      <x v="615"/>
      <x v="11"/>
    </i>
    <i r="1">
      <x v="9"/>
    </i>
    <i>
      <x v="616"/>
      <x/>
    </i>
    <i r="1">
      <x v="5"/>
    </i>
    <i>
      <x v="617"/>
      <x v="15"/>
    </i>
    <i r="1">
      <x v="1"/>
    </i>
    <i r="1">
      <x v="8"/>
    </i>
    <i>
      <x v="618"/>
      <x v="10"/>
    </i>
    <i>
      <x v="619"/>
      <x v="5"/>
    </i>
    <i r="1">
      <x v="16"/>
    </i>
    <i r="1">
      <x v="10"/>
    </i>
    <i>
      <x v="620"/>
      <x v="13"/>
    </i>
    <i r="1">
      <x v="11"/>
    </i>
    <i>
      <x v="621"/>
      <x v="6"/>
    </i>
    <i r="1">
      <x v="16"/>
    </i>
    <i>
      <x v="622"/>
      <x v="2"/>
    </i>
    <i r="1">
      <x v="10"/>
    </i>
    <i>
      <x v="623"/>
      <x v="12"/>
    </i>
    <i r="1">
      <x v="10"/>
    </i>
    <i>
      <x v="624"/>
      <x v="5"/>
    </i>
    <i r="1">
      <x v="16"/>
    </i>
    <i>
      <x v="625"/>
      <x v="2"/>
    </i>
    <i r="1">
      <x v="1"/>
    </i>
    <i r="1">
      <x v="16"/>
    </i>
    <i>
      <x v="626"/>
      <x v="8"/>
    </i>
    <i>
      <x v="627"/>
      <x v="11"/>
    </i>
    <i>
      <x v="628"/>
      <x v="4"/>
    </i>
    <i r="1">
      <x v="11"/>
    </i>
    <i>
      <x v="629"/>
      <x v="6"/>
    </i>
    <i>
      <x v="630"/>
      <x v="7"/>
    </i>
    <i r="1">
      <x v="1"/>
    </i>
    <i r="1">
      <x v="16"/>
    </i>
    <i>
      <x v="631"/>
      <x v="8"/>
    </i>
    <i r="1">
      <x v="16"/>
    </i>
    <i>
      <x v="632"/>
      <x v="12"/>
    </i>
    <i r="1">
      <x v="5"/>
    </i>
    <i>
      <x v="633"/>
      <x v="15"/>
    </i>
    <i r="1">
      <x v="9"/>
    </i>
    <i>
      <x v="634"/>
      <x v="7"/>
    </i>
    <i r="1">
      <x v="5"/>
    </i>
    <i r="1">
      <x v="16"/>
    </i>
    <i>
      <x v="635"/>
      <x v="4"/>
    </i>
    <i r="1">
      <x v="5"/>
    </i>
    <i>
      <x v="636"/>
      <x v="7"/>
    </i>
    <i r="1">
      <x v="2"/>
    </i>
    <i>
      <x v="637"/>
      <x v="13"/>
    </i>
    <i r="1">
      <x v="15"/>
    </i>
    <i>
      <x v="638"/>
      <x v="12"/>
    </i>
    <i r="1">
      <x v="10"/>
    </i>
    <i>
      <x v="639"/>
      <x v="7"/>
    </i>
    <i r="1">
      <x/>
    </i>
    <i>
      <x v="640"/>
      <x v="14"/>
    </i>
    <i r="1">
      <x v="15"/>
    </i>
    <i>
      <x v="641"/>
      <x v="9"/>
    </i>
    <i r="1">
      <x v="16"/>
    </i>
    <i>
      <x v="642"/>
      <x v="4"/>
    </i>
    <i r="1">
      <x v="10"/>
    </i>
    <i>
      <x v="643"/>
      <x v="2"/>
    </i>
    <i r="1">
      <x v="8"/>
    </i>
    <i>
      <x v="644"/>
      <x v="13"/>
    </i>
    <i r="1">
      <x v="4"/>
    </i>
    <i>
      <x v="645"/>
      <x/>
    </i>
    <i r="1">
      <x v="3"/>
    </i>
    <i>
      <x v="646"/>
      <x v="13"/>
    </i>
    <i r="1">
      <x v="12"/>
    </i>
    <i>
      <x v="647"/>
      <x v="6"/>
    </i>
    <i r="1">
      <x v="1"/>
    </i>
    <i>
      <x v="648"/>
      <x v="14"/>
    </i>
    <i r="1">
      <x/>
    </i>
    <i>
      <x v="649"/>
      <x v="6"/>
    </i>
    <i r="1">
      <x v="16"/>
    </i>
    <i>
      <x v="650"/>
      <x v="13"/>
    </i>
    <i r="1">
      <x v="12"/>
    </i>
    <i>
      <x v="651"/>
      <x/>
    </i>
    <i r="1">
      <x v="9"/>
    </i>
    <i>
      <x v="652"/>
      <x v="14"/>
    </i>
    <i r="1">
      <x v="7"/>
    </i>
    <i r="1">
      <x v="3"/>
    </i>
    <i>
      <x v="653"/>
      <x v="4"/>
    </i>
    <i r="1">
      <x v="11"/>
    </i>
    <i>
      <x v="654"/>
      <x v="7"/>
    </i>
    <i r="1">
      <x/>
    </i>
    <i r="1">
      <x v="11"/>
    </i>
    <i>
      <x v="655"/>
      <x v="14"/>
    </i>
    <i r="1">
      <x v="7"/>
    </i>
    <i>
      <x v="656"/>
      <x v="1"/>
    </i>
    <i>
      <x v="657"/>
      <x v="7"/>
    </i>
    <i r="1">
      <x v="15"/>
    </i>
    <i>
      <x v="658"/>
      <x v="13"/>
    </i>
    <i>
      <x v="659"/>
      <x v="4"/>
    </i>
    <i>
      <x v="660"/>
      <x v="1"/>
    </i>
    <i r="1">
      <x v="9"/>
    </i>
    <i>
      <x v="661"/>
      <x v="12"/>
    </i>
    <i r="1">
      <x v="1"/>
    </i>
    <i>
      <x v="662"/>
      <x v="7"/>
    </i>
    <i r="1">
      <x v="1"/>
    </i>
    <i>
      <x v="663"/>
      <x v="12"/>
    </i>
    <i r="1">
      <x v="11"/>
    </i>
    <i>
      <x v="664"/>
      <x/>
    </i>
    <i r="1">
      <x v="2"/>
    </i>
    <i>
      <x v="665"/>
      <x v="15"/>
    </i>
    <i r="1">
      <x v="10"/>
    </i>
    <i>
      <x v="666"/>
      <x v="15"/>
    </i>
    <i r="1">
      <x v="3"/>
    </i>
    <i>
      <x v="667"/>
      <x v="11"/>
    </i>
    <i r="1">
      <x v="3"/>
    </i>
    <i>
      <x v="668"/>
      <x v="4"/>
    </i>
    <i r="1">
      <x v="10"/>
    </i>
    <i>
      <x v="669"/>
      <x v="3"/>
    </i>
    <i r="1">
      <x v="16"/>
    </i>
    <i>
      <x v="670"/>
      <x v="7"/>
    </i>
    <i r="1">
      <x v="5"/>
    </i>
    <i r="1">
      <x v="1"/>
    </i>
    <i>
      <x v="671"/>
      <x v="4"/>
    </i>
    <i r="1">
      <x v="9"/>
    </i>
    <i>
      <x v="672"/>
      <x/>
    </i>
    <i r="1">
      <x v="11"/>
    </i>
    <i>
      <x v="673"/>
      <x v="2"/>
    </i>
    <i r="1">
      <x v="9"/>
    </i>
    <i>
      <x v="674"/>
      <x v="7"/>
    </i>
    <i r="1">
      <x v="4"/>
    </i>
    <i>
      <x v="675"/>
      <x/>
    </i>
    <i r="1">
      <x v="11"/>
    </i>
    <i>
      <x v="676"/>
      <x v="7"/>
    </i>
    <i r="1">
      <x/>
    </i>
    <i>
      <x v="677"/>
      <x/>
    </i>
    <i r="1">
      <x v="1"/>
    </i>
    <i>
      <x v="678"/>
      <x/>
    </i>
    <i r="1">
      <x v="5"/>
    </i>
    <i r="1">
      <x v="10"/>
    </i>
    <i>
      <x v="679"/>
      <x v="12"/>
    </i>
    <i r="1">
      <x v="4"/>
    </i>
    <i>
      <x v="680"/>
      <x v="14"/>
    </i>
    <i r="1">
      <x v="11"/>
    </i>
    <i>
      <x v="681"/>
      <x v="5"/>
    </i>
    <i>
      <x v="682"/>
      <x v="13"/>
    </i>
    <i r="1">
      <x v="3"/>
    </i>
    <i>
      <x v="683"/>
      <x v="15"/>
    </i>
    <i>
      <x v="684"/>
      <x v="13"/>
    </i>
    <i r="1">
      <x v="4"/>
    </i>
    <i>
      <x v="685"/>
      <x v="1"/>
    </i>
    <i r="1">
      <x v="3"/>
    </i>
    <i>
      <x v="686"/>
      <x v="7"/>
    </i>
    <i r="1">
      <x v="13"/>
    </i>
    <i>
      <x v="687"/>
      <x v="14"/>
    </i>
    <i r="1">
      <x v="12"/>
    </i>
    <i r="1">
      <x v="16"/>
    </i>
    <i>
      <x v="688"/>
      <x v="15"/>
    </i>
    <i r="1">
      <x v="8"/>
    </i>
    <i>
      <x v="689"/>
      <x v="7"/>
    </i>
    <i r="1">
      <x v="15"/>
    </i>
    <i r="1">
      <x v="10"/>
    </i>
    <i>
      <x v="690"/>
      <x v="12"/>
    </i>
    <i r="1">
      <x v="2"/>
    </i>
    <i>
      <x v="691"/>
      <x/>
    </i>
    <i r="1">
      <x v="6"/>
    </i>
    <i>
      <x v="692"/>
      <x v="3"/>
    </i>
    <i r="1">
      <x v="10"/>
    </i>
    <i>
      <x v="693"/>
      <x v="11"/>
    </i>
    <i r="1">
      <x v="10"/>
    </i>
    <i>
      <x v="694"/>
      <x v="14"/>
    </i>
    <i r="1">
      <x v="7"/>
    </i>
    <i r="1">
      <x v="3"/>
    </i>
    <i>
      <x v="695"/>
      <x v="14"/>
    </i>
    <i r="1">
      <x v="16"/>
    </i>
    <i>
      <x v="696"/>
      <x v="5"/>
    </i>
    <i r="1">
      <x v="2"/>
    </i>
    <i>
      <x v="697"/>
      <x v="4"/>
    </i>
    <i r="1">
      <x v="11"/>
    </i>
    <i r="1">
      <x v="6"/>
    </i>
    <i>
      <x v="698"/>
      <x v="11"/>
    </i>
    <i r="1">
      <x v="6"/>
    </i>
    <i>
      <x v="699"/>
      <x v="11"/>
    </i>
    <i r="1">
      <x v="6"/>
    </i>
    <i r="1">
      <x v="9"/>
    </i>
    <i>
      <x v="700"/>
      <x v="1"/>
    </i>
    <i r="1">
      <x v="9"/>
    </i>
    <i>
      <x v="701"/>
      <x v="12"/>
    </i>
    <i r="1">
      <x v="9"/>
    </i>
    <i>
      <x v="702"/>
      <x v="13"/>
    </i>
    <i r="1">
      <x v="10"/>
    </i>
    <i>
      <x v="703"/>
      <x v="14"/>
    </i>
    <i r="1">
      <x v="5"/>
    </i>
    <i>
      <x v="704"/>
      <x v="6"/>
    </i>
    <i>
      <x v="705"/>
      <x v="6"/>
    </i>
    <i r="1">
      <x v="10"/>
    </i>
    <i>
      <x v="706"/>
      <x v="6"/>
    </i>
    <i r="1">
      <x v="9"/>
    </i>
    <i>
      <x v="707"/>
      <x v="2"/>
    </i>
    <i>
      <x v="708"/>
      <x v="14"/>
    </i>
    <i r="1">
      <x v="11"/>
    </i>
    <i r="1">
      <x v="5"/>
    </i>
    <i>
      <x v="709"/>
      <x v="2"/>
    </i>
    <i r="1">
      <x v="3"/>
    </i>
    <i>
      <x v="710"/>
      <x v="7"/>
    </i>
    <i r="1">
      <x v="11"/>
    </i>
    <i r="1">
      <x v="3"/>
    </i>
    <i>
      <x v="711"/>
      <x v="11"/>
    </i>
    <i r="1">
      <x v="2"/>
    </i>
    <i>
      <x v="712"/>
      <x v="11"/>
    </i>
    <i r="1">
      <x v="3"/>
    </i>
    <i>
      <x v="713"/>
      <x v="4"/>
    </i>
    <i r="1">
      <x v="2"/>
    </i>
    <i>
      <x v="714"/>
      <x v="12"/>
    </i>
    <i r="1">
      <x v="5"/>
    </i>
    <i>
      <x v="715"/>
      <x v="9"/>
    </i>
    <i r="1">
      <x v="16"/>
    </i>
    <i>
      <x v="716"/>
      <x v="4"/>
    </i>
    <i r="1">
      <x v="9"/>
    </i>
    <i>
      <x v="717"/>
      <x v="7"/>
    </i>
    <i>
      <x v="718"/>
      <x v="7"/>
    </i>
    <i r="1">
      <x v="10"/>
    </i>
    <i>
      <x v="719"/>
      <x v="1"/>
    </i>
    <i r="1">
      <x v="16"/>
    </i>
    <i>
      <x v="720"/>
      <x v="15"/>
    </i>
    <i r="1">
      <x v="9"/>
    </i>
    <i>
      <x v="721"/>
      <x v="9"/>
    </i>
    <i r="1">
      <x v="16"/>
    </i>
    <i>
      <x v="722"/>
      <x v="2"/>
    </i>
    <i r="1">
      <x v="3"/>
    </i>
    <i>
      <x v="723"/>
      <x v="13"/>
    </i>
    <i r="1">
      <x/>
    </i>
    <i>
      <x v="724"/>
      <x v="5"/>
    </i>
    <i r="1">
      <x v="3"/>
    </i>
    <i>
      <x v="725"/>
      <x v="7"/>
    </i>
    <i r="1">
      <x v="2"/>
    </i>
    <i r="1">
      <x v="9"/>
    </i>
    <i>
      <x v="726"/>
      <x v="11"/>
    </i>
    <i r="1">
      <x v="6"/>
    </i>
    <i>
      <x v="727"/>
      <x v="5"/>
    </i>
    <i r="1">
      <x v="9"/>
    </i>
    <i>
      <x v="728"/>
      <x v="7"/>
    </i>
    <i r="1">
      <x v="1"/>
    </i>
    <i>
      <x v="729"/>
      <x v="4"/>
    </i>
    <i r="1">
      <x v="15"/>
    </i>
    <i>
      <x v="730"/>
      <x v="7"/>
    </i>
    <i r="1">
      <x v="13"/>
    </i>
    <i r="1">
      <x v="2"/>
    </i>
    <i>
      <x v="731"/>
      <x v="12"/>
    </i>
    <i>
      <x v="732"/>
      <x v="14"/>
    </i>
    <i r="1">
      <x/>
    </i>
    <i>
      <x v="733"/>
      <x v="13"/>
    </i>
    <i r="1">
      <x v="8"/>
    </i>
    <i>
      <x v="734"/>
      <x v="11"/>
    </i>
    <i r="1">
      <x v="8"/>
    </i>
    <i>
      <x v="735"/>
      <x v="5"/>
    </i>
    <i r="1">
      <x v="6"/>
    </i>
    <i>
      <x v="736"/>
      <x v="4"/>
    </i>
    <i>
      <x v="737"/>
      <x v="12"/>
    </i>
    <i r="1">
      <x v="16"/>
    </i>
    <i>
      <x v="738"/>
      <x v="12"/>
    </i>
    <i r="1">
      <x v="9"/>
    </i>
    <i>
      <x v="739"/>
      <x v="14"/>
    </i>
    <i r="1">
      <x v="1"/>
    </i>
    <i r="1">
      <x v="10"/>
    </i>
    <i>
      <x v="740"/>
      <x v="13"/>
    </i>
    <i r="1">
      <x v="16"/>
    </i>
    <i>
      <x v="741"/>
      <x v="12"/>
    </i>
    <i r="1">
      <x v="10"/>
    </i>
    <i>
      <x v="742"/>
      <x v="12"/>
    </i>
    <i r="1">
      <x v="16"/>
    </i>
    <i>
      <x v="743"/>
      <x v="7"/>
    </i>
    <i r="1">
      <x v="11"/>
    </i>
    <i r="1">
      <x v="6"/>
    </i>
    <i>
      <x v="744"/>
      <x v="4"/>
    </i>
    <i r="1">
      <x v="15"/>
    </i>
    <i>
      <x v="745"/>
      <x v="3"/>
    </i>
    <i r="1">
      <x v="16"/>
    </i>
    <i>
      <x v="746"/>
      <x v="15"/>
    </i>
    <i r="1">
      <x v="3"/>
    </i>
    <i>
      <x v="747"/>
      <x v="11"/>
    </i>
    <i r="1">
      <x v="8"/>
    </i>
    <i>
      <x v="748"/>
      <x v="12"/>
    </i>
    <i>
      <x v="749"/>
      <x/>
    </i>
    <i r="1">
      <x v="5"/>
    </i>
    <i>
      <x v="750"/>
      <x v="4"/>
    </i>
    <i r="1">
      <x v="1"/>
    </i>
    <i>
      <x v="751"/>
      <x v="11"/>
    </i>
    <i r="1">
      <x v="9"/>
    </i>
    <i>
      <x v="752"/>
      <x v="14"/>
    </i>
    <i r="1">
      <x v="13"/>
    </i>
    <i>
      <x v="753"/>
      <x v="12"/>
    </i>
    <i r="1">
      <x v="10"/>
    </i>
    <i>
      <x v="754"/>
      <x v="7"/>
    </i>
    <i r="1">
      <x v="12"/>
    </i>
    <i r="1">
      <x/>
    </i>
    <i>
      <x v="755"/>
      <x/>
    </i>
    <i r="1">
      <x v="5"/>
    </i>
    <i>
      <x v="756"/>
      <x v="3"/>
    </i>
    <i>
      <x v="757"/>
      <x v="5"/>
    </i>
    <i r="1">
      <x v="8"/>
    </i>
    <i>
      <x v="758"/>
      <x v="10"/>
    </i>
    <i>
      <x v="759"/>
      <x/>
    </i>
    <i r="1">
      <x v="4"/>
    </i>
    <i>
      <x v="760"/>
      <x v="4"/>
    </i>
    <i r="1">
      <x v="3"/>
    </i>
    <i>
      <x v="761"/>
      <x v="1"/>
    </i>
    <i r="1">
      <x v="9"/>
    </i>
    <i>
      <x v="762"/>
      <x/>
    </i>
    <i r="1">
      <x v="6"/>
    </i>
    <i>
      <x v="763"/>
      <x v="1"/>
    </i>
    <i r="1">
      <x v="16"/>
    </i>
    <i>
      <x v="764"/>
      <x v="3"/>
    </i>
    <i r="1">
      <x v="8"/>
    </i>
    <i>
      <x v="765"/>
      <x v="8"/>
    </i>
    <i r="1">
      <x v="10"/>
    </i>
    <i>
      <x v="766"/>
      <x v="5"/>
    </i>
    <i r="1">
      <x v="2"/>
    </i>
    <i>
      <x v="767"/>
      <x v="6"/>
    </i>
    <i r="1">
      <x v="2"/>
    </i>
    <i>
      <x v="768"/>
      <x v="1"/>
    </i>
    <i r="1">
      <x v="3"/>
    </i>
    <i>
      <x v="769"/>
      <x v="12"/>
    </i>
    <i r="1">
      <x v="8"/>
    </i>
    <i>
      <x v="770"/>
      <x v="14"/>
    </i>
    <i r="1">
      <x v="10"/>
    </i>
    <i>
      <x v="771"/>
      <x v="13"/>
    </i>
    <i r="1">
      <x v="11"/>
    </i>
    <i>
      <x v="772"/>
      <x v="13"/>
    </i>
    <i r="1">
      <x v="15"/>
    </i>
    <i>
      <x v="773"/>
      <x v="13"/>
    </i>
    <i r="1">
      <x v="12"/>
    </i>
    <i r="1">
      <x v="6"/>
    </i>
    <i>
      <x v="774"/>
      <x v="13"/>
    </i>
    <i r="1">
      <x/>
    </i>
    <i>
      <x v="775"/>
      <x v="6"/>
    </i>
    <i r="1">
      <x v="10"/>
    </i>
    <i>
      <x v="776"/>
      <x v="4"/>
    </i>
    <i r="1">
      <x v="15"/>
    </i>
    <i>
      <x v="777"/>
      <x v="7"/>
    </i>
    <i r="1">
      <x v="8"/>
    </i>
    <i>
      <x v="778"/>
      <x/>
    </i>
    <i r="1">
      <x v="6"/>
    </i>
    <i>
      <x v="779"/>
      <x v="14"/>
    </i>
    <i r="1">
      <x v="2"/>
    </i>
    <i>
      <x v="780"/>
      <x v="12"/>
    </i>
    <i r="1">
      <x v="6"/>
    </i>
    <i>
      <x v="781"/>
      <x v="11"/>
    </i>
    <i r="1">
      <x v="2"/>
    </i>
    <i>
      <x v="782"/>
      <x v="4"/>
    </i>
    <i>
      <x v="783"/>
      <x v="7"/>
    </i>
    <i r="1">
      <x v="12"/>
    </i>
    <i>
      <x v="784"/>
      <x/>
    </i>
    <i r="1">
      <x v="1"/>
    </i>
    <i>
      <x v="785"/>
      <x v="12"/>
    </i>
    <i r="1">
      <x v="9"/>
    </i>
    <i>
      <x v="786"/>
      <x v="5"/>
    </i>
    <i r="1">
      <x v="15"/>
    </i>
    <i>
      <x v="787"/>
      <x v="4"/>
    </i>
    <i r="1">
      <x v="9"/>
    </i>
    <i r="1">
      <x v="10"/>
    </i>
    <i>
      <x v="788"/>
      <x v="13"/>
    </i>
    <i r="1">
      <x v="6"/>
    </i>
    <i>
      <x v="789"/>
      <x v="1"/>
    </i>
    <i r="1">
      <x v="10"/>
    </i>
    <i>
      <x v="790"/>
      <x v="12"/>
    </i>
    <i r="1">
      <x v="11"/>
    </i>
    <i>
      <x v="791"/>
      <x v="11"/>
    </i>
    <i>
      <x v="792"/>
      <x v="2"/>
    </i>
    <i r="1">
      <x v="3"/>
    </i>
    <i>
      <x v="793"/>
      <x v="1"/>
    </i>
    <i r="1">
      <x v="16"/>
    </i>
    <i>
      <x v="794"/>
      <x/>
    </i>
    <i r="1">
      <x v="1"/>
    </i>
    <i>
      <x v="795"/>
      <x v="14"/>
    </i>
    <i r="1">
      <x v="7"/>
    </i>
    <i>
      <x v="796"/>
      <x v="11"/>
    </i>
    <i r="1">
      <x v="15"/>
    </i>
    <i>
      <x v="797"/>
      <x v="7"/>
    </i>
    <i r="1">
      <x v="12"/>
    </i>
    <i r="1">
      <x v="5"/>
    </i>
    <i>
      <x v="798"/>
      <x v="2"/>
    </i>
    <i r="1">
      <x v="3"/>
    </i>
    <i>
      <x v="799"/>
      <x/>
    </i>
    <i r="1">
      <x v="4"/>
    </i>
    <i>
      <x v="800"/>
      <x v="10"/>
    </i>
    <i>
      <x v="801"/>
      <x v="4"/>
    </i>
    <i r="1">
      <x v="15"/>
    </i>
    <i>
      <x v="802"/>
      <x v="14"/>
    </i>
    <i r="1">
      <x v="5"/>
    </i>
    <i>
      <x v="803"/>
      <x v="9"/>
    </i>
    <i r="1">
      <x v="10"/>
    </i>
    <i>
      <x v="804"/>
      <x v="15"/>
    </i>
    <i r="1">
      <x v="3"/>
    </i>
    <i>
      <x v="805"/>
      <x v="4"/>
    </i>
    <i r="1">
      <x v="6"/>
    </i>
    <i r="1">
      <x v="2"/>
    </i>
    <i>
      <x v="806"/>
      <x v="12"/>
    </i>
    <i r="1">
      <x v="6"/>
    </i>
    <i>
      <x v="807"/>
      <x v="13"/>
    </i>
    <i r="1">
      <x v="8"/>
    </i>
    <i>
      <x v="808"/>
      <x v="7"/>
    </i>
    <i r="1">
      <x v="3"/>
    </i>
    <i>
      <x v="809"/>
      <x v="7"/>
    </i>
    <i r="1">
      <x v="4"/>
    </i>
    <i>
      <x v="810"/>
      <x v="4"/>
    </i>
    <i r="1">
      <x v="3"/>
    </i>
    <i>
      <x v="811"/>
      <x v="12"/>
    </i>
    <i r="1">
      <x v="6"/>
    </i>
    <i r="1">
      <x v="9"/>
    </i>
    <i>
      <x v="812"/>
      <x v="5"/>
    </i>
    <i r="1">
      <x v="1"/>
    </i>
    <i r="1">
      <x v="16"/>
    </i>
    <i>
      <x v="813"/>
      <x/>
    </i>
    <i r="1">
      <x v="1"/>
    </i>
    <i>
      <x v="814"/>
      <x v="7"/>
    </i>
    <i>
      <x v="815"/>
      <x v="12"/>
    </i>
    <i r="1">
      <x v="3"/>
    </i>
    <i>
      <x v="816"/>
      <x v="3"/>
    </i>
    <i>
      <x v="817"/>
      <x v="15"/>
    </i>
    <i r="1">
      <x v="1"/>
    </i>
    <i r="1">
      <x v="9"/>
    </i>
    <i>
      <x v="818"/>
      <x v="5"/>
    </i>
    <i r="1">
      <x v="15"/>
    </i>
    <i>
      <x v="819"/>
      <x/>
    </i>
    <i r="1">
      <x v="9"/>
    </i>
    <i>
      <x v="820"/>
      <x v="14"/>
    </i>
    <i r="1">
      <x v="1"/>
    </i>
    <i>
      <x v="821"/>
      <x v="13"/>
    </i>
    <i r="1">
      <x v="2"/>
    </i>
    <i>
      <x v="822"/>
      <x/>
    </i>
    <i r="1">
      <x v="1"/>
    </i>
    <i r="1">
      <x v="2"/>
    </i>
    <i>
      <x v="823"/>
      <x v="14"/>
    </i>
    <i r="1">
      <x v="13"/>
    </i>
    <i>
      <x v="824"/>
      <x v="12"/>
    </i>
    <i r="1">
      <x/>
    </i>
    <i>
      <x v="825"/>
      <x v="15"/>
    </i>
    <i>
      <x v="826"/>
      <x v="14"/>
    </i>
    <i r="1">
      <x v="16"/>
    </i>
    <i r="1">
      <x v="10"/>
    </i>
    <i>
      <x v="827"/>
      <x v="6"/>
    </i>
    <i>
      <x v="828"/>
      <x/>
    </i>
    <i r="1">
      <x v="11"/>
    </i>
    <i r="1">
      <x v="6"/>
    </i>
    <i>
      <x v="829"/>
      <x v="7"/>
    </i>
    <i r="1">
      <x v="4"/>
    </i>
    <i>
      <x v="830"/>
      <x/>
    </i>
    <i r="1">
      <x v="9"/>
    </i>
    <i>
      <x v="831"/>
      <x v="7"/>
    </i>
    <i>
      <x v="832"/>
      <x v="9"/>
    </i>
    <i r="1">
      <x v="8"/>
    </i>
    <i>
      <x v="833"/>
      <x v="13"/>
    </i>
    <i r="1">
      <x v="4"/>
    </i>
    <i r="1">
      <x v="6"/>
    </i>
    <i>
      <x v="834"/>
      <x v="7"/>
    </i>
    <i r="1">
      <x v="15"/>
    </i>
    <i>
      <x v="835"/>
      <x v="2"/>
    </i>
    <i r="1">
      <x v="9"/>
    </i>
    <i>
      <x v="836"/>
      <x v="14"/>
    </i>
    <i r="1">
      <x v="3"/>
    </i>
    <i>
      <x v="837"/>
      <x v="12"/>
    </i>
    <i r="1">
      <x/>
    </i>
    <i>
      <x v="838"/>
      <x v="14"/>
    </i>
    <i r="1">
      <x v="13"/>
    </i>
    <i>
      <x v="839"/>
      <x v="2"/>
    </i>
    <i r="1">
      <x v="8"/>
    </i>
    <i>
      <x v="840"/>
      <x/>
    </i>
    <i r="1">
      <x v="16"/>
    </i>
    <i>
      <x v="841"/>
      <x v="7"/>
    </i>
    <i r="1">
      <x v="10"/>
    </i>
    <i>
      <x v="842"/>
      <x v="1"/>
    </i>
    <i r="1">
      <x v="16"/>
    </i>
    <i>
      <x v="843"/>
      <x v="12"/>
    </i>
    <i r="1">
      <x v="16"/>
    </i>
    <i>
      <x v="844"/>
      <x v="11"/>
    </i>
    <i r="1">
      <x v="9"/>
    </i>
    <i>
      <x v="845"/>
      <x v="6"/>
    </i>
    <i r="1">
      <x v="1"/>
    </i>
    <i>
      <x v="846"/>
      <x v="2"/>
    </i>
    <i>
      <x v="847"/>
      <x v="12"/>
    </i>
    <i r="1">
      <x v="10"/>
    </i>
    <i>
      <x v="848"/>
      <x v="3"/>
    </i>
    <i r="1">
      <x v="8"/>
    </i>
    <i>
      <x v="849"/>
      <x v="15"/>
    </i>
    <i r="1">
      <x v="9"/>
    </i>
    <i>
      <x v="850"/>
      <x v="14"/>
    </i>
    <i r="1">
      <x v="11"/>
    </i>
    <i>
      <x v="851"/>
      <x v="7"/>
    </i>
    <i r="1">
      <x v="12"/>
    </i>
    <i r="1">
      <x v="11"/>
    </i>
    <i>
      <x v="852"/>
      <x/>
    </i>
    <i r="1">
      <x v="2"/>
    </i>
    <i>
      <x v="853"/>
      <x v="4"/>
    </i>
    <i r="1">
      <x v="2"/>
    </i>
    <i>
      <x v="854"/>
      <x v="7"/>
    </i>
    <i r="1">
      <x v="10"/>
    </i>
    <i>
      <x v="855"/>
      <x v="11"/>
    </i>
    <i r="1">
      <x v="3"/>
    </i>
    <i r="1">
      <x v="16"/>
    </i>
    <i>
      <x v="856"/>
      <x v="13"/>
    </i>
    <i>
      <x v="857"/>
      <x v="12"/>
    </i>
    <i>
      <x v="858"/>
      <x/>
    </i>
    <i r="1">
      <x v="6"/>
    </i>
    <i>
      <x v="859"/>
      <x v="13"/>
    </i>
    <i r="1">
      <x/>
    </i>
    <i r="1">
      <x v="1"/>
    </i>
    <i>
      <x v="860"/>
      <x v="7"/>
    </i>
    <i r="1">
      <x v="1"/>
    </i>
    <i>
      <x v="861"/>
      <x v="4"/>
    </i>
    <i r="1">
      <x v="16"/>
    </i>
    <i>
      <x v="862"/>
      <x v="7"/>
    </i>
    <i r="1">
      <x v="5"/>
    </i>
    <i>
      <x v="863"/>
      <x v="14"/>
    </i>
    <i r="1">
      <x v="15"/>
    </i>
    <i>
      <x v="864"/>
      <x v="14"/>
    </i>
    <i r="1">
      <x v="9"/>
    </i>
    <i r="1">
      <x v="10"/>
    </i>
    <i>
      <x v="865"/>
      <x/>
    </i>
    <i r="1">
      <x v="9"/>
    </i>
    <i r="1">
      <x v="8"/>
    </i>
    <i>
      <x v="866"/>
      <x/>
    </i>
    <i r="1">
      <x v="2"/>
    </i>
    <i r="1">
      <x v="9"/>
    </i>
    <i>
      <x v="867"/>
      <x v="6"/>
    </i>
    <i>
      <x v="868"/>
      <x v="13"/>
    </i>
    <i r="1">
      <x v="3"/>
    </i>
    <i>
      <x v="869"/>
      <x v="4"/>
    </i>
    <i r="1">
      <x v="3"/>
    </i>
    <i>
      <x v="870"/>
      <x v="13"/>
    </i>
    <i r="1">
      <x/>
    </i>
    <i r="1">
      <x v="1"/>
    </i>
    <i>
      <x v="871"/>
      <x v="5"/>
    </i>
    <i r="1">
      <x v="6"/>
    </i>
    <i>
      <x v="872"/>
      <x v="4"/>
    </i>
    <i r="1">
      <x v="9"/>
    </i>
    <i>
      <x v="873"/>
      <x/>
    </i>
    <i>
      <x v="874"/>
      <x v="12"/>
    </i>
    <i r="1">
      <x/>
    </i>
    <i r="1">
      <x v="2"/>
    </i>
    <i>
      <x v="875"/>
      <x v="6"/>
    </i>
    <i>
      <x v="876"/>
      <x v="13"/>
    </i>
    <i r="1">
      <x v="4"/>
    </i>
    <i>
      <x v="877"/>
      <x v="7"/>
    </i>
    <i r="1">
      <x v="13"/>
    </i>
    <i r="1">
      <x v="2"/>
    </i>
    <i>
      <x v="878"/>
      <x v="13"/>
    </i>
    <i r="1">
      <x v="8"/>
    </i>
    <i>
      <x v="879"/>
      <x v="6"/>
    </i>
    <i r="1">
      <x v="10"/>
    </i>
    <i>
      <x v="880"/>
      <x v="10"/>
    </i>
    <i>
      <x v="881"/>
      <x v="12"/>
    </i>
    <i r="1">
      <x v="2"/>
    </i>
    <i>
      <x v="882"/>
      <x v="8"/>
    </i>
    <i r="1">
      <x v="10"/>
    </i>
    <i>
      <x v="883"/>
      <x v="15"/>
    </i>
    <i r="1">
      <x v="2"/>
    </i>
    <i>
      <x v="884"/>
      <x v="4"/>
    </i>
    <i r="1">
      <x v="11"/>
    </i>
    <i>
      <x v="885"/>
      <x v="2"/>
    </i>
    <i r="1">
      <x v="10"/>
    </i>
    <i>
      <x v="886"/>
      <x v="16"/>
    </i>
    <i>
      <x v="887"/>
      <x v="7"/>
    </i>
    <i r="1">
      <x v="1"/>
    </i>
    <i r="1">
      <x v="10"/>
    </i>
    <i>
      <x v="888"/>
      <x v="9"/>
    </i>
    <i r="1">
      <x v="10"/>
    </i>
    <i>
      <x v="889"/>
      <x v="7"/>
    </i>
    <i r="1">
      <x v="15"/>
    </i>
    <i>
      <x v="890"/>
      <x v="7"/>
    </i>
    <i r="1">
      <x v="1"/>
    </i>
    <i>
      <x v="891"/>
      <x v="13"/>
    </i>
    <i>
      <x v="892"/>
      <x v="4"/>
    </i>
    <i r="1">
      <x v="15"/>
    </i>
    <i r="1">
      <x v="16"/>
    </i>
    <i>
      <x v="893"/>
      <x v="14"/>
    </i>
    <i r="1">
      <x v="13"/>
    </i>
    <i r="1">
      <x v="4"/>
    </i>
    <i>
      <x v="894"/>
      <x v="4"/>
    </i>
    <i r="1">
      <x v="1"/>
    </i>
    <i>
      <x v="895"/>
      <x v="15"/>
    </i>
    <i>
      <x v="896"/>
      <x v="7"/>
    </i>
    <i r="1">
      <x v="11"/>
    </i>
    <i>
      <x v="897"/>
      <x v="5"/>
    </i>
    <i r="1">
      <x v="1"/>
    </i>
    <i>
      <x v="898"/>
      <x v="7"/>
    </i>
    <i r="1">
      <x v="2"/>
    </i>
    <i>
      <x v="899"/>
      <x v="13"/>
    </i>
    <i r="1">
      <x v="1"/>
    </i>
    <i>
      <x v="900"/>
      <x v="2"/>
    </i>
    <i>
      <x v="901"/>
      <x v="12"/>
    </i>
    <i r="1">
      <x v="2"/>
    </i>
    <i r="1">
      <x v="16"/>
    </i>
    <i>
      <x v="902"/>
      <x v="14"/>
    </i>
    <i r="1">
      <x v="7"/>
    </i>
    <i r="1">
      <x v="16"/>
    </i>
    <i>
      <x v="903"/>
      <x v="8"/>
    </i>
    <i r="1">
      <x v="16"/>
    </i>
    <i>
      <x v="904"/>
      <x v="7"/>
    </i>
    <i r="1">
      <x v="9"/>
    </i>
    <i>
      <x v="905"/>
      <x v="4"/>
    </i>
    <i r="1">
      <x v="11"/>
    </i>
    <i>
      <x v="906"/>
      <x v="15"/>
    </i>
    <i r="1">
      <x v="10"/>
    </i>
    <i>
      <x v="907"/>
      <x v="7"/>
    </i>
    <i r="1">
      <x v="5"/>
    </i>
    <i>
      <x v="908"/>
      <x v="11"/>
    </i>
    <i r="1">
      <x v="16"/>
    </i>
    <i>
      <x v="909"/>
      <x v="12"/>
    </i>
    <i r="1">
      <x v="8"/>
    </i>
    <i>
      <x v="910"/>
      <x v="12"/>
    </i>
    <i r="1">
      <x v="9"/>
    </i>
    <i>
      <x v="911"/>
      <x v="14"/>
    </i>
    <i r="1">
      <x/>
    </i>
    <i>
      <x v="912"/>
      <x v="4"/>
    </i>
    <i r="1">
      <x v="11"/>
    </i>
    <i r="1">
      <x v="3"/>
    </i>
    <i>
      <x v="913"/>
      <x/>
    </i>
    <i r="1">
      <x v="3"/>
    </i>
    <i>
      <x v="914"/>
      <x v="5"/>
    </i>
    <i r="1">
      <x v="6"/>
    </i>
    <i>
      <x v="915"/>
      <x v="7"/>
    </i>
    <i r="1">
      <x v="4"/>
    </i>
    <i>
      <x v="916"/>
      <x v="6"/>
    </i>
    <i r="1">
      <x v="3"/>
    </i>
    <i>
      <x v="917"/>
      <x v="12"/>
    </i>
    <i r="1">
      <x v="11"/>
    </i>
    <i>
      <x v="918"/>
      <x v="13"/>
    </i>
    <i r="1">
      <x/>
    </i>
    <i>
      <x v="919"/>
      <x v="4"/>
    </i>
    <i r="1">
      <x v="8"/>
    </i>
    <i>
      <x v="920"/>
      <x v="4"/>
    </i>
    <i r="1">
      <x v="15"/>
    </i>
    <i>
      <x v="921"/>
      <x v="1"/>
    </i>
    <i r="1">
      <x v="3"/>
    </i>
    <i>
      <x v="922"/>
      <x v="13"/>
    </i>
    <i r="1">
      <x v="11"/>
    </i>
    <i>
      <x v="923"/>
      <x v="2"/>
    </i>
    <i r="1">
      <x v="16"/>
    </i>
    <i>
      <x v="924"/>
      <x v="1"/>
    </i>
    <i r="1">
      <x v="9"/>
    </i>
    <i>
      <x v="925"/>
      <x v="14"/>
    </i>
    <i r="1">
      <x/>
    </i>
    <i>
      <x v="926"/>
      <x/>
    </i>
    <i r="1">
      <x v="11"/>
    </i>
    <i>
      <x v="927"/>
      <x v="2"/>
    </i>
    <i r="1">
      <x v="16"/>
    </i>
    <i>
      <x v="928"/>
      <x v="3"/>
    </i>
    <i r="1">
      <x v="10"/>
    </i>
    <i>
      <x v="929"/>
      <x v="13"/>
    </i>
    <i r="1">
      <x v="4"/>
    </i>
    <i r="1">
      <x v="5"/>
    </i>
    <i>
      <x v="930"/>
      <x v="1"/>
    </i>
    <i>
      <x v="931"/>
      <x v="10"/>
    </i>
    <i>
      <x v="932"/>
      <x v="14"/>
    </i>
    <i r="1">
      <x v="6"/>
    </i>
    <i>
      <x v="933"/>
      <x/>
    </i>
    <i r="1">
      <x v="8"/>
    </i>
    <i>
      <x v="934"/>
      <x v="14"/>
    </i>
    <i r="1">
      <x v="8"/>
    </i>
    <i>
      <x v="935"/>
      <x v="15"/>
    </i>
    <i>
      <x v="936"/>
      <x v="11"/>
    </i>
    <i r="1">
      <x v="6"/>
    </i>
    <i>
      <x v="937"/>
      <x v="7"/>
    </i>
    <i r="1">
      <x v="15"/>
    </i>
    <i>
      <x v="938"/>
      <x v="7"/>
    </i>
    <i r="1">
      <x v="4"/>
    </i>
    <i>
      <x v="939"/>
      <x v="2"/>
    </i>
    <i r="1">
      <x v="8"/>
    </i>
    <i>
      <x v="940"/>
      <x v="14"/>
    </i>
    <i r="1">
      <x v="11"/>
    </i>
    <i>
      <x v="941"/>
      <x v="14"/>
    </i>
    <i r="1">
      <x v="11"/>
    </i>
    <i>
      <x v="942"/>
      <x/>
    </i>
    <i r="1">
      <x v="1"/>
    </i>
    <i>
      <x v="943"/>
      <x v="7"/>
    </i>
    <i r="1">
      <x v="1"/>
    </i>
    <i>
      <x v="944"/>
      <x v="16"/>
    </i>
    <i>
      <x v="945"/>
      <x v="1"/>
    </i>
    <i>
      <x v="946"/>
      <x v="15"/>
    </i>
    <i r="1">
      <x v="16"/>
    </i>
    <i>
      <x v="947"/>
      <x v="14"/>
    </i>
    <i r="1">
      <x v="11"/>
    </i>
    <i r="1">
      <x v="8"/>
    </i>
    <i>
      <x v="948"/>
      <x v="11"/>
    </i>
    <i r="1">
      <x v="3"/>
    </i>
    <i>
      <x v="949"/>
      <x v="14"/>
    </i>
    <i r="1">
      <x v="3"/>
    </i>
    <i>
      <x v="950"/>
      <x v="11"/>
    </i>
    <i r="1">
      <x v="9"/>
    </i>
    <i>
      <x v="951"/>
      <x v="13"/>
    </i>
    <i r="1">
      <x v="8"/>
    </i>
    <i r="1">
      <x v="16"/>
    </i>
    <i>
      <x v="952"/>
      <x v="1"/>
    </i>
    <i r="1">
      <x v="3"/>
    </i>
    <i>
      <x v="953"/>
      <x v="13"/>
    </i>
    <i r="1">
      <x v="5"/>
    </i>
    <i r="1">
      <x v="10"/>
    </i>
    <i>
      <x v="954"/>
      <x v="5"/>
    </i>
    <i r="1">
      <x v="3"/>
    </i>
    <i>
      <x v="955"/>
      <x/>
    </i>
    <i r="1">
      <x v="8"/>
    </i>
    <i>
      <x v="956"/>
      <x v="13"/>
    </i>
    <i r="1">
      <x v="6"/>
    </i>
    <i>
      <x v="957"/>
      <x v="4"/>
    </i>
    <i r="1">
      <x v="15"/>
    </i>
    <i>
      <x v="958"/>
      <x v="6"/>
    </i>
    <i r="1">
      <x v="8"/>
    </i>
    <i>
      <x v="959"/>
      <x v="7"/>
    </i>
    <i r="1">
      <x v="10"/>
    </i>
    <i>
      <x v="960"/>
      <x v="9"/>
    </i>
    <i r="1">
      <x v="8"/>
    </i>
    <i>
      <x v="961"/>
      <x v="11"/>
    </i>
    <i r="1">
      <x v="3"/>
    </i>
    <i>
      <x v="962"/>
      <x v="13"/>
    </i>
    <i r="1">
      <x v="4"/>
    </i>
    <i>
      <x v="963"/>
      <x v="8"/>
    </i>
    <i>
      <x v="964"/>
      <x v="14"/>
    </i>
    <i r="1">
      <x v="5"/>
    </i>
    <i r="1">
      <x v="9"/>
    </i>
    <i>
      <x v="965"/>
      <x v="1"/>
    </i>
    <i>
      <x v="966"/>
      <x/>
    </i>
    <i r="1">
      <x v="5"/>
    </i>
    <i>
      <x v="967"/>
      <x v="3"/>
    </i>
    <i r="1">
      <x v="10"/>
    </i>
    <i>
      <x v="968"/>
      <x v="12"/>
    </i>
    <i r="1">
      <x v="3"/>
    </i>
    <i>
      <x v="969"/>
      <x v="15"/>
    </i>
    <i r="1">
      <x v="16"/>
    </i>
    <i>
      <x v="970"/>
      <x v="7"/>
    </i>
    <i r="1">
      <x v="15"/>
    </i>
    <i>
      <x v="971"/>
      <x v="12"/>
    </i>
    <i r="1">
      <x v="1"/>
    </i>
  </rowItems>
  <colFields count="1">
    <field x="-2"/>
  </colFields>
  <colItems count="2">
    <i>
      <x/>
    </i>
    <i i="1">
      <x v="1"/>
    </i>
  </colItems>
  <dataFields count="2">
    <dataField name="Max of join_date" fld="1" subtotal="max" baseField="0" baseItem="0"/>
    <dataField name="Average of Qiymet" fld="3" subtotal="average"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join_date"/>
    <pivotHierarchy dragToData="1"/>
    <pivotHierarchy dragToData="1"/>
    <pivotHierarchy dragToData="1" caption="Average of Qiymet"/>
  </pivotHierarchies>
  <pivotTableStyleInfo name="PivotStyleLight16" showRowHeaders="1" showColHeaders="1" showRowStripes="0" showColStripes="0" showLastColumn="1"/>
  <rowHierarchiesUsage count="2">
    <rowHierarchyUsage hierarchyUsage="8"/>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customer]"/>
        <x15:activeTabTopLevelEntity name="[data]"/>
        <x15:activeTabTopLevelEntity name="[campaig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BD4C4A93-5A1A-4496-B387-BAD2B8463A7F}" sourceName="[campaign].[campaign_name]">
  <pivotTables>
    <pivotTable tabId="1" name="PivotTable1"/>
    <pivotTable tabId="1" name="PivotTable2"/>
    <pivotTable tabId="1" name="PivotTable3"/>
  </pivotTables>
  <data>
    <olap pivotCacheId="1010726094">
      <levels count="2">
        <level uniqueName="[campaign].[campaign_name].[(All)]" sourceCaption="(All)" count="0"/>
        <level uniqueName="[campaign].[campaign_name].[campaign_name]" sourceCaption="campaign_name" count="17">
          <ranges>
            <range startItem="0">
              <i n="[campaign].[campaign_name].&amp;[BuysViaMailOrder]" c="BuysViaMailOrder"/>
              <i n="[campaign].[campaign_name].&amp;[ChildrenInHH]" c="ChildrenInHH"/>
              <i n="[campaign].[campaign_name].&amp;[HandsetRefurbished]" c="HandsetRefurbished"/>
              <i n="[campaign].[campaign_name].&amp;[HandsetWebCapable]" c="HandsetWebCapable"/>
              <i n="[campaign].[campaign_name].&amp;[HasCreditCard]" c="HasCreditCard"/>
              <i n="[campaign].[campaign_name].&amp;[Homeownership]" c="Homeownership"/>
              <i n="[campaign].[campaign_name].&amp;[MadeCallToRetentionTeam]" c="MadeCallToRetentionTeam"/>
              <i n="[campaign].[campaign_name].&amp;[MaritalStatus]" c="MaritalStatus"/>
              <i n="[campaign].[campaign_name].&amp;[NewCellphoneUser]" c="NewCellphoneUser"/>
              <i n="[campaign].[campaign_name].&amp;[NonUSTravel]" c="NonUSTravel"/>
              <i n="[campaign].[campaign_name].&amp;[NotNewCellphoneUser]" c="NotNewCellphoneUser"/>
              <i n="[campaign].[campaign_name].&amp;[OptOutMailings]" c="OptOutMailings"/>
              <i n="[campaign].[campaign_name].&amp;[OwnsComputer]" c="OwnsComputer"/>
              <i n="[campaign].[campaign_name].&amp;[OwnsMotorcycle]" c="OwnsMotorcycle"/>
              <i n="[campaign].[campaign_name].&amp;[RespondsToMailOffers]" c="RespondsToMailOffers"/>
              <i n="[campaign].[campaign_name].&amp;[RVOwner]" c="RVOwner"/>
              <i n="[campaign].[campaign_name].&amp;[TruckOwner]" c="TruckOwner"/>
            </range>
          </ranges>
        </level>
      </levels>
      <selections count="1">
        <selection n="[campaign].[campaign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_name" xr10:uid="{AEE6CA9A-C6E3-4BA8-B432-3B576165599F}" cache="Slicer_campaign_name" caption="campaign_name" columnCount="2"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882DB6-2C27-4A02-A424-90B949F55E66}" name="Table1" displayName="Table1" ref="A2:G19" totalsRowShown="0" headerRowDxfId="25" dataDxfId="24">
  <autoFilter ref="A2:G19" xr:uid="{F1882DB6-2C27-4A02-A424-90B949F55E66}"/>
  <sortState xmlns:xlrd2="http://schemas.microsoft.com/office/spreadsheetml/2017/richdata2" ref="A3:G19">
    <sortCondition descending="1" ref="G2:G19"/>
  </sortState>
  <tableColumns count="7">
    <tableColumn id="1" xr3:uid="{01A19B99-DE2F-4CCB-A93A-60C4C024EF7E}" name="Kompaniyalar" dataDxfId="23"/>
    <tableColumn id="2" xr3:uid="{76F5BFE2-64F4-4AAE-B6BA-D70D9DA5CFA8}" name="yan" dataDxfId="22"/>
    <tableColumn id="3" xr3:uid="{A80FBBDE-973F-4AF6-BB14-4EC8A10CD59F}" name="fev" dataDxfId="21"/>
    <tableColumn id="4" xr3:uid="{16529A14-63C7-40F0-87D4-DAD1AFC9878C}" name="mar" dataDxfId="20"/>
    <tableColumn id="5" xr3:uid="{9DA61B0B-5F89-49BE-A194-45A5E9D7C5F2}" name="apr" dataDxfId="19"/>
    <tableColumn id="6" xr3:uid="{263B3485-4E09-4F13-AA94-C5A8CDC78893}" name="may" dataDxfId="18"/>
    <tableColumn id="7" xr3:uid="{CBE10E38-7D88-408D-876B-872707749ECF}" name="Stabillik" dataDxfId="17"/>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2A661DD-916A-4F91-A838-EDDA738B9608}" name="Table3" displayName="Table3" ref="B3:G975" totalsRowShown="0">
  <autoFilter ref="B3:G975" xr:uid="{42A661DD-916A-4F91-A838-EDDA738B9608}"/>
  <tableColumns count="6">
    <tableColumn id="1" xr3:uid="{65FD76DC-AB7B-4A4C-BAFE-77C82C7D65BB}" name="Müştəri adı"/>
    <tableColumn id="2" xr3:uid="{C6018A96-9440-4251-931A-6B9A5F9589D4}" name="Son kampaniya" dataDxfId="55">
      <calculatedColumnFormula array="1">_xlfn.XLOOKUP(1,(pivot!$A$2:$A$1946=Table3[[#This Row],[Müştəri adı]])*(pivot!$C$2:$C$1946=_xlfn.MAXIFS(pivot!$C$2:$C$1946,pivot!$A$2:$A$1946,Table3[[#This Row],[Müştəri adı]])),pivot!$B$2:$B$1946)</calculatedColumnFormula>
    </tableColumn>
    <tableColumn id="3" xr3:uid="{E7DC286F-7F13-4267-830B-2C7595B8A554}" name="Son kampaniya qiyməti" dataDxfId="54">
      <calculatedColumnFormula array="1">_xlfn.XLOOKUP(1,
  (pivot!$A$2:$A$1946=endirim!B4) * (pivot!$C$2:$C$1946 = _xlfn.MAXIFS(pivot!$C$2:$C$1946, pivot!$A$2:$A$1946, endirim!B4)),
  pivot!$D$2:$D$1946)</calculatedColumnFormula>
    </tableColumn>
    <tableColumn id="4" xr3:uid="{EA9BE989-DBAF-4048-9622-DCEA5D4F613D}" name="Ən baha kompaniya" dataDxfId="53">
      <calculatedColumnFormula array="1">_xlfn.XLOOKUP(1,
    (pivot!$A$2:$A$1946=endirim!B4) * (pivot!$D$2:$D$1946 = _xlfn.MAXIFS(pivot!$D$2:$D$1946, pivot!$A$2:$A$1946, endirim!B4)),
    pivot!$B$2:$B$1946)</calculatedColumnFormula>
    </tableColumn>
    <tableColumn id="5" xr3:uid="{55A107AE-BF4F-48E2-BFF0-D58E705BD912}" name="Ən baha qiymət" dataDxfId="52">
      <calculatedColumnFormula>_xlfn.MAXIFS(pivot!$D$2:$D$1946, pivot!$A$2:$A$1946, endirim!B4)</calculatedColumnFormula>
    </tableColumn>
    <tableColumn id="6" xr3:uid="{EED4F4F6-2F43-4DB5-9324-98B027BBCF5B}" name="Nəticə" dataDxfId="51">
      <calculatedColumnFormula>IF(D4=F4, "Təklif yoxdur", E4&amp;" Kompaniyasını 20% endirimlə təklif et")</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2D493-1716-4F9D-942D-657AA9A020F6}">
  <dimension ref="A1:S88"/>
  <sheetViews>
    <sheetView showGridLines="0" topLeftCell="A27" zoomScale="115" zoomScaleNormal="115" workbookViewId="0">
      <selection activeCell="W40" sqref="W40"/>
    </sheetView>
  </sheetViews>
  <sheetFormatPr defaultRowHeight="14.4" x14ac:dyDescent="0.3"/>
  <cols>
    <col min="1" max="1" width="13.77734375" bestFit="1" customWidth="1"/>
    <col min="2" max="2" width="15" bestFit="1" customWidth="1"/>
    <col min="3" max="18" width="6.109375" customWidth="1"/>
    <col min="19" max="19" width="5.6640625" bestFit="1" customWidth="1"/>
    <col min="20" max="34" width="3" bestFit="1" customWidth="1"/>
    <col min="35" max="35" width="13.77734375" bestFit="1" customWidth="1"/>
    <col min="36" max="49" width="3" bestFit="1" customWidth="1"/>
    <col min="50" max="50" width="13.77734375" bestFit="1" customWidth="1"/>
    <col min="51" max="63" width="3" bestFit="1" customWidth="1"/>
    <col min="64" max="64" width="13.77734375" bestFit="1" customWidth="1"/>
    <col min="65" max="76" width="3" bestFit="1" customWidth="1"/>
    <col min="77" max="77" width="13.77734375" bestFit="1" customWidth="1"/>
    <col min="78" max="80" width="3" bestFit="1" customWidth="1"/>
    <col min="81" max="82" width="4" bestFit="1" customWidth="1"/>
    <col min="83" max="85" width="3" bestFit="1" customWidth="1"/>
    <col min="86" max="86" width="4" bestFit="1" customWidth="1"/>
    <col min="87" max="88" width="3" bestFit="1" customWidth="1"/>
    <col min="89" max="89" width="13.77734375" bestFit="1" customWidth="1"/>
    <col min="90" max="93" width="3" bestFit="1" customWidth="1"/>
    <col min="94" max="94" width="4" bestFit="1" customWidth="1"/>
    <col min="95" max="99" width="3" bestFit="1" customWidth="1"/>
    <col min="100" max="100" width="13.77734375" bestFit="1" customWidth="1"/>
    <col min="101" max="109" width="4" bestFit="1" customWidth="1"/>
    <col min="110" max="110" width="13.77734375" bestFit="1" customWidth="1"/>
    <col min="111" max="111" width="3" bestFit="1" customWidth="1"/>
    <col min="112" max="118" width="4" bestFit="1" customWidth="1"/>
    <col min="119" max="119" width="13.77734375" bestFit="1" customWidth="1"/>
    <col min="120" max="126" width="4" bestFit="1" customWidth="1"/>
    <col min="127" max="127" width="13.77734375" bestFit="1" customWidth="1"/>
    <col min="128" max="133" width="4" bestFit="1" customWidth="1"/>
    <col min="134" max="134" width="13.77734375" bestFit="1" customWidth="1"/>
    <col min="135" max="139" width="4" bestFit="1" customWidth="1"/>
    <col min="140" max="140" width="13.77734375" bestFit="1" customWidth="1"/>
    <col min="141" max="144" width="4" bestFit="1" customWidth="1"/>
    <col min="145" max="145" width="13.77734375" bestFit="1" customWidth="1"/>
    <col min="146" max="148" width="4" bestFit="1" customWidth="1"/>
    <col min="149" max="149" width="13.77734375" bestFit="1" customWidth="1"/>
    <col min="150" max="151" width="4" bestFit="1" customWidth="1"/>
    <col min="152" max="152" width="13.77734375" bestFit="1" customWidth="1"/>
    <col min="153" max="153" width="4" bestFit="1" customWidth="1"/>
  </cols>
  <sheetData>
    <row r="1" spans="1:17" x14ac:dyDescent="0.3">
      <c r="A1" s="1" t="s">
        <v>16</v>
      </c>
      <c r="B1" s="1" t="s">
        <v>15</v>
      </c>
    </row>
    <row r="2" spans="1:17" x14ac:dyDescent="0.3">
      <c r="B2" t="s">
        <v>1</v>
      </c>
      <c r="N2" t="s">
        <v>14</v>
      </c>
    </row>
    <row r="3" spans="1:17" x14ac:dyDescent="0.3">
      <c r="A3" s="1" t="s">
        <v>0</v>
      </c>
      <c r="B3" s="5" t="s">
        <v>2</v>
      </c>
      <c r="C3" s="5" t="s">
        <v>3</v>
      </c>
      <c r="D3" s="5" t="s">
        <v>4</v>
      </c>
      <c r="E3" s="5" t="s">
        <v>5</v>
      </c>
      <c r="F3" s="5" t="s">
        <v>6</v>
      </c>
      <c r="G3" s="5" t="s">
        <v>7</v>
      </c>
      <c r="H3" s="5" t="s">
        <v>8</v>
      </c>
      <c r="I3" s="5" t="s">
        <v>9</v>
      </c>
      <c r="J3" s="5" t="s">
        <v>10</v>
      </c>
      <c r="K3" s="5" t="s">
        <v>11</v>
      </c>
      <c r="L3" s="5" t="s">
        <v>12</v>
      </c>
      <c r="M3" s="5" t="s">
        <v>13</v>
      </c>
      <c r="N3" s="5" t="s">
        <v>2</v>
      </c>
      <c r="O3" s="5" t="s">
        <v>3</v>
      </c>
      <c r="P3" s="5" t="s">
        <v>4</v>
      </c>
      <c r="Q3" s="5" t="s">
        <v>5</v>
      </c>
    </row>
    <row r="4" spans="1:17" x14ac:dyDescent="0.3">
      <c r="A4" s="2" t="s">
        <v>17</v>
      </c>
      <c r="B4" s="5">
        <v>117</v>
      </c>
      <c r="C4" s="5">
        <v>85</v>
      </c>
      <c r="D4" s="5">
        <v>85</v>
      </c>
      <c r="E4" s="5">
        <v>94</v>
      </c>
      <c r="F4" s="5">
        <v>100</v>
      </c>
      <c r="G4" s="5">
        <v>119</v>
      </c>
      <c r="H4" s="5">
        <v>113</v>
      </c>
      <c r="I4" s="5">
        <v>143</v>
      </c>
      <c r="J4" s="5">
        <v>122</v>
      </c>
      <c r="K4" s="5">
        <v>137</v>
      </c>
      <c r="L4" s="5">
        <v>125</v>
      </c>
      <c r="M4" s="5">
        <v>132</v>
      </c>
      <c r="N4" s="5">
        <v>136</v>
      </c>
      <c r="O4" s="5">
        <v>112</v>
      </c>
      <c r="P4" s="5">
        <v>130</v>
      </c>
      <c r="Q4" s="5">
        <v>134</v>
      </c>
    </row>
    <row r="5" spans="1:17" x14ac:dyDescent="0.3">
      <c r="A5" s="2">
        <v>1</v>
      </c>
      <c r="B5" s="5">
        <v>56</v>
      </c>
      <c r="C5" s="5">
        <v>58</v>
      </c>
      <c r="D5" s="5">
        <v>49</v>
      </c>
      <c r="E5" s="5">
        <v>69</v>
      </c>
      <c r="F5" s="5">
        <v>53</v>
      </c>
      <c r="G5" s="5">
        <v>86</v>
      </c>
      <c r="H5" s="5">
        <v>73</v>
      </c>
      <c r="I5" s="5">
        <v>103</v>
      </c>
      <c r="J5" s="5">
        <v>96</v>
      </c>
      <c r="K5" s="5">
        <v>108</v>
      </c>
      <c r="L5" s="5">
        <v>105</v>
      </c>
      <c r="M5" s="5">
        <v>106</v>
      </c>
      <c r="N5" s="5">
        <v>119</v>
      </c>
      <c r="O5" s="5">
        <v>109</v>
      </c>
      <c r="P5" s="5">
        <v>128</v>
      </c>
      <c r="Q5" s="5">
        <v>133</v>
      </c>
    </row>
    <row r="6" spans="1:17" x14ac:dyDescent="0.3">
      <c r="A6" s="2">
        <v>2</v>
      </c>
      <c r="B6" s="5">
        <v>86</v>
      </c>
      <c r="C6" s="5">
        <v>58</v>
      </c>
      <c r="D6" s="5">
        <v>64</v>
      </c>
      <c r="E6" s="5">
        <v>72</v>
      </c>
      <c r="F6" s="5">
        <v>88</v>
      </c>
      <c r="G6" s="5">
        <v>93</v>
      </c>
      <c r="H6" s="5">
        <v>87</v>
      </c>
      <c r="I6" s="5">
        <v>130</v>
      </c>
      <c r="J6" s="5">
        <v>101</v>
      </c>
      <c r="K6" s="5">
        <v>132</v>
      </c>
      <c r="L6" s="5">
        <v>115</v>
      </c>
      <c r="M6" s="5">
        <v>124</v>
      </c>
      <c r="N6" s="5">
        <v>135</v>
      </c>
      <c r="O6" s="5">
        <v>110</v>
      </c>
      <c r="P6" s="5">
        <v>130</v>
      </c>
      <c r="Q6" s="5"/>
    </row>
    <row r="7" spans="1:17" x14ac:dyDescent="0.3">
      <c r="A7" s="2">
        <v>3</v>
      </c>
      <c r="B7" s="5">
        <v>76</v>
      </c>
      <c r="C7" s="5">
        <v>58</v>
      </c>
      <c r="D7" s="5">
        <v>62</v>
      </c>
      <c r="E7" s="5">
        <v>78</v>
      </c>
      <c r="F7" s="5">
        <v>83</v>
      </c>
      <c r="G7" s="5">
        <v>90</v>
      </c>
      <c r="H7" s="5">
        <v>93</v>
      </c>
      <c r="I7" s="5">
        <v>124</v>
      </c>
      <c r="J7" s="5">
        <v>107</v>
      </c>
      <c r="K7" s="5">
        <v>120</v>
      </c>
      <c r="L7" s="5">
        <v>117</v>
      </c>
      <c r="M7" s="5">
        <v>128</v>
      </c>
      <c r="N7" s="5">
        <v>133</v>
      </c>
      <c r="O7" s="5">
        <v>112</v>
      </c>
      <c r="P7" s="5"/>
      <c r="Q7" s="5"/>
    </row>
    <row r="8" spans="1:17" x14ac:dyDescent="0.3">
      <c r="A8" s="2">
        <v>4</v>
      </c>
      <c r="B8" s="5">
        <v>76</v>
      </c>
      <c r="C8" s="5">
        <v>62</v>
      </c>
      <c r="D8" s="5">
        <v>73</v>
      </c>
      <c r="E8" s="5">
        <v>69</v>
      </c>
      <c r="F8" s="5">
        <v>70</v>
      </c>
      <c r="G8" s="5">
        <v>105</v>
      </c>
      <c r="H8" s="5">
        <v>91</v>
      </c>
      <c r="I8" s="5">
        <v>125</v>
      </c>
      <c r="J8" s="5">
        <v>110</v>
      </c>
      <c r="K8" s="5">
        <v>125</v>
      </c>
      <c r="L8" s="5">
        <v>117</v>
      </c>
      <c r="M8" s="5">
        <v>129</v>
      </c>
      <c r="N8" s="5">
        <v>134</v>
      </c>
      <c r="O8" s="5"/>
      <c r="P8" s="5"/>
      <c r="Q8" s="5"/>
    </row>
    <row r="9" spans="1:17" x14ac:dyDescent="0.3">
      <c r="A9" s="2">
        <v>5</v>
      </c>
      <c r="B9" s="5">
        <v>77</v>
      </c>
      <c r="C9" s="5">
        <v>65</v>
      </c>
      <c r="D9" s="5">
        <v>56</v>
      </c>
      <c r="E9" s="5">
        <v>73</v>
      </c>
      <c r="F9" s="5">
        <v>78</v>
      </c>
      <c r="G9" s="5">
        <v>103</v>
      </c>
      <c r="H9" s="5">
        <v>100</v>
      </c>
      <c r="I9" s="5">
        <v>124</v>
      </c>
      <c r="J9" s="5">
        <v>108</v>
      </c>
      <c r="K9" s="5">
        <v>132</v>
      </c>
      <c r="L9" s="5">
        <v>115</v>
      </c>
      <c r="M9" s="5">
        <v>126</v>
      </c>
      <c r="N9" s="5"/>
      <c r="O9" s="5"/>
      <c r="P9" s="5"/>
      <c r="Q9" s="5"/>
    </row>
    <row r="10" spans="1:17" x14ac:dyDescent="0.3">
      <c r="A10" s="2">
        <v>6</v>
      </c>
      <c r="B10" s="5">
        <v>79</v>
      </c>
      <c r="C10" s="5">
        <v>54</v>
      </c>
      <c r="D10" s="5">
        <v>61</v>
      </c>
      <c r="E10" s="5">
        <v>78</v>
      </c>
      <c r="F10" s="5">
        <v>81</v>
      </c>
      <c r="G10" s="5">
        <v>90</v>
      </c>
      <c r="H10" s="5">
        <v>90</v>
      </c>
      <c r="I10" s="5">
        <v>116</v>
      </c>
      <c r="J10" s="5">
        <v>113</v>
      </c>
      <c r="K10" s="5">
        <v>129</v>
      </c>
      <c r="L10" s="5">
        <v>113</v>
      </c>
      <c r="M10" s="5"/>
      <c r="N10" s="5"/>
      <c r="O10" s="5"/>
      <c r="P10" s="5"/>
      <c r="Q10" s="5"/>
    </row>
    <row r="11" spans="1:17" x14ac:dyDescent="0.3">
      <c r="A11" s="2">
        <v>7</v>
      </c>
      <c r="B11" s="5">
        <v>84</v>
      </c>
      <c r="C11" s="5">
        <v>64</v>
      </c>
      <c r="D11" s="5">
        <v>67</v>
      </c>
      <c r="E11" s="5">
        <v>75</v>
      </c>
      <c r="F11" s="5">
        <v>79</v>
      </c>
      <c r="G11" s="5">
        <v>97</v>
      </c>
      <c r="H11" s="5">
        <v>86</v>
      </c>
      <c r="I11" s="5">
        <v>125</v>
      </c>
      <c r="J11" s="5">
        <v>104</v>
      </c>
      <c r="K11" s="5">
        <v>126</v>
      </c>
      <c r="L11" s="5"/>
      <c r="M11" s="5"/>
      <c r="N11" s="5"/>
      <c r="O11" s="5"/>
      <c r="P11" s="5"/>
      <c r="Q11" s="5"/>
    </row>
    <row r="12" spans="1:17" x14ac:dyDescent="0.3">
      <c r="A12" s="2">
        <v>8</v>
      </c>
      <c r="B12" s="5">
        <v>74</v>
      </c>
      <c r="C12" s="5">
        <v>64</v>
      </c>
      <c r="D12" s="5">
        <v>63</v>
      </c>
      <c r="E12" s="5">
        <v>68</v>
      </c>
      <c r="F12" s="5">
        <v>83</v>
      </c>
      <c r="G12" s="5">
        <v>93</v>
      </c>
      <c r="H12" s="5">
        <v>99</v>
      </c>
      <c r="I12" s="5">
        <v>118</v>
      </c>
      <c r="J12" s="5">
        <v>110</v>
      </c>
      <c r="K12" s="5"/>
      <c r="L12" s="5"/>
      <c r="M12" s="5"/>
      <c r="N12" s="5"/>
      <c r="O12" s="5"/>
      <c r="P12" s="5"/>
      <c r="Q12" s="5"/>
    </row>
    <row r="13" spans="1:17" x14ac:dyDescent="0.3">
      <c r="A13" s="2">
        <v>9</v>
      </c>
      <c r="B13" s="5">
        <v>80</v>
      </c>
      <c r="C13" s="5">
        <v>60</v>
      </c>
      <c r="D13" s="5">
        <v>63</v>
      </c>
      <c r="E13" s="5">
        <v>71</v>
      </c>
      <c r="F13" s="5">
        <v>80</v>
      </c>
      <c r="G13" s="5">
        <v>101</v>
      </c>
      <c r="H13" s="5">
        <v>91</v>
      </c>
      <c r="I13" s="5">
        <v>130</v>
      </c>
      <c r="J13" s="5"/>
      <c r="K13" s="5"/>
      <c r="L13" s="5"/>
      <c r="M13" s="5"/>
      <c r="N13" s="5"/>
      <c r="O13" s="5"/>
      <c r="P13" s="5"/>
      <c r="Q13" s="5"/>
    </row>
    <row r="14" spans="1:17" x14ac:dyDescent="0.3">
      <c r="A14" s="2">
        <v>10</v>
      </c>
      <c r="B14" s="5">
        <v>83</v>
      </c>
      <c r="C14" s="5">
        <v>66</v>
      </c>
      <c r="D14" s="5">
        <v>55</v>
      </c>
      <c r="E14" s="5">
        <v>77</v>
      </c>
      <c r="F14" s="5">
        <v>86</v>
      </c>
      <c r="G14" s="5">
        <v>91</v>
      </c>
      <c r="H14" s="5">
        <v>96</v>
      </c>
      <c r="I14" s="5"/>
      <c r="J14" s="5"/>
      <c r="K14" s="5"/>
      <c r="L14" s="5"/>
      <c r="M14" s="5"/>
      <c r="N14" s="5"/>
      <c r="O14" s="5"/>
      <c r="P14" s="5"/>
      <c r="Q14" s="5"/>
    </row>
    <row r="15" spans="1:17" x14ac:dyDescent="0.3">
      <c r="A15" s="2">
        <v>11</v>
      </c>
      <c r="B15" s="5">
        <v>87</v>
      </c>
      <c r="C15" s="5">
        <v>61</v>
      </c>
      <c r="D15" s="5">
        <v>68</v>
      </c>
      <c r="E15" s="5">
        <v>80</v>
      </c>
      <c r="F15" s="5">
        <v>80</v>
      </c>
      <c r="G15" s="5">
        <v>98</v>
      </c>
      <c r="H15" s="5"/>
      <c r="I15" s="5"/>
      <c r="J15" s="5"/>
      <c r="K15" s="5"/>
      <c r="L15" s="5"/>
      <c r="M15" s="5"/>
      <c r="N15" s="5"/>
      <c r="O15" s="5"/>
      <c r="P15" s="5"/>
      <c r="Q15" s="5"/>
    </row>
    <row r="16" spans="1:17" x14ac:dyDescent="0.3">
      <c r="A16" s="2">
        <v>12</v>
      </c>
      <c r="B16" s="5">
        <v>78</v>
      </c>
      <c r="C16" s="5">
        <v>62</v>
      </c>
      <c r="D16" s="5">
        <v>70</v>
      </c>
      <c r="E16" s="5">
        <v>68</v>
      </c>
      <c r="F16" s="5">
        <v>82</v>
      </c>
      <c r="G16" s="5"/>
      <c r="H16" s="5"/>
      <c r="I16" s="5"/>
      <c r="J16" s="5"/>
      <c r="K16" s="5"/>
      <c r="L16" s="5"/>
      <c r="M16" s="5"/>
      <c r="N16" s="5"/>
      <c r="O16" s="5"/>
      <c r="P16" s="5"/>
      <c r="Q16" s="5"/>
    </row>
    <row r="17" spans="1:19" x14ac:dyDescent="0.3">
      <c r="A17" s="2">
        <v>13</v>
      </c>
      <c r="B17" s="5">
        <v>75</v>
      </c>
      <c r="C17" s="5">
        <v>62</v>
      </c>
      <c r="D17" s="5">
        <v>60</v>
      </c>
      <c r="E17" s="5">
        <v>75</v>
      </c>
      <c r="F17" s="5"/>
      <c r="G17" s="5"/>
      <c r="H17" s="5"/>
      <c r="I17" s="5"/>
      <c r="J17" s="5"/>
      <c r="K17" s="5"/>
      <c r="L17" s="5"/>
      <c r="M17" s="5"/>
      <c r="N17" s="5"/>
      <c r="O17" s="5"/>
      <c r="P17" s="5"/>
      <c r="Q17" s="5"/>
    </row>
    <row r="18" spans="1:19" x14ac:dyDescent="0.3">
      <c r="A18" s="2">
        <v>14</v>
      </c>
      <c r="B18" s="5">
        <v>86</v>
      </c>
      <c r="C18" s="5">
        <v>59</v>
      </c>
      <c r="D18" s="5">
        <v>57</v>
      </c>
      <c r="E18" s="5"/>
      <c r="F18" s="5"/>
      <c r="G18" s="5"/>
      <c r="H18" s="5"/>
      <c r="I18" s="5"/>
      <c r="J18" s="5"/>
      <c r="K18" s="5"/>
      <c r="L18" s="5"/>
      <c r="M18" s="5"/>
      <c r="N18" s="5"/>
      <c r="O18" s="5"/>
      <c r="P18" s="5"/>
      <c r="Q18" s="5"/>
    </row>
    <row r="19" spans="1:19" x14ac:dyDescent="0.3">
      <c r="A19" s="2">
        <v>15</v>
      </c>
      <c r="B19" s="5">
        <v>84</v>
      </c>
      <c r="C19" s="5">
        <v>69</v>
      </c>
      <c r="D19" s="5"/>
      <c r="E19" s="5"/>
      <c r="F19" s="5"/>
      <c r="G19" s="5"/>
      <c r="H19" s="5"/>
      <c r="I19" s="5"/>
      <c r="J19" s="5"/>
      <c r="K19" s="5"/>
      <c r="L19" s="5"/>
      <c r="M19" s="5"/>
      <c r="N19" s="5"/>
      <c r="O19" s="5"/>
      <c r="P19" s="5"/>
      <c r="Q19" s="5"/>
    </row>
    <row r="20" spans="1:19" x14ac:dyDescent="0.3">
      <c r="A20" s="2">
        <v>16</v>
      </c>
      <c r="B20" s="5">
        <v>77</v>
      </c>
      <c r="C20" s="5"/>
      <c r="D20" s="5"/>
      <c r="E20" s="5"/>
      <c r="F20" s="5"/>
      <c r="G20" s="5"/>
      <c r="H20" s="5"/>
      <c r="I20" s="5"/>
      <c r="J20" s="5"/>
      <c r="K20" s="5"/>
      <c r="L20" s="5"/>
      <c r="M20" s="5"/>
      <c r="N20" s="5"/>
      <c r="O20" s="5"/>
      <c r="P20" s="5"/>
      <c r="Q20" s="5"/>
    </row>
    <row r="21" spans="1:19" x14ac:dyDescent="0.3">
      <c r="A21" s="2"/>
      <c r="B21" s="5"/>
      <c r="C21" s="5"/>
      <c r="D21" s="5"/>
      <c r="E21" s="5"/>
      <c r="F21" s="5"/>
      <c r="G21" s="5"/>
      <c r="H21" s="5"/>
      <c r="I21" s="5"/>
      <c r="J21" s="5"/>
      <c r="K21" s="5"/>
      <c r="L21" s="5"/>
      <c r="M21" s="5"/>
      <c r="N21" s="5"/>
      <c r="O21" s="5"/>
      <c r="P21" s="5"/>
      <c r="Q21" s="5"/>
      <c r="S21" t="s">
        <v>1041</v>
      </c>
    </row>
    <row r="22" spans="1:19" ht="18" x14ac:dyDescent="0.3">
      <c r="A22" s="2"/>
      <c r="B22" s="6" cm="1">
        <f t="array" ref="B22">INDEX(B4:B20,COUNTA(B4:B20))</f>
        <v>77</v>
      </c>
      <c r="C22" s="6" cm="1">
        <f t="array" ref="C22">INDEX(C4:C20,COUNTA(C4:C20))</f>
        <v>69</v>
      </c>
      <c r="D22" s="6" cm="1">
        <f t="array" ref="D22">INDEX(D4:D20,COUNTA(D4:D20))</f>
        <v>57</v>
      </c>
      <c r="E22" s="6" cm="1">
        <f t="array" ref="E22">INDEX(E4:E20,COUNTA(E4:E20))</f>
        <v>75</v>
      </c>
      <c r="F22" s="6" cm="1">
        <f t="array" ref="F22">INDEX(F4:F20,COUNTA(F4:F20))</f>
        <v>82</v>
      </c>
      <c r="G22" s="6" cm="1">
        <f t="array" ref="G22">INDEX(G4:G20,COUNTA(G4:G20))</f>
        <v>98</v>
      </c>
      <c r="H22" s="6" cm="1">
        <f t="array" ref="H22">INDEX(H4:H20,COUNTA(H4:H20))</f>
        <v>96</v>
      </c>
      <c r="I22" s="6" cm="1">
        <f t="array" ref="I22">INDEX(I4:I20,COUNTA(I4:I20))</f>
        <v>130</v>
      </c>
      <c r="J22" s="6" cm="1">
        <f t="array" ref="J22">INDEX(J4:J20,COUNTA(J4:J20))</f>
        <v>110</v>
      </c>
      <c r="K22" s="6" cm="1">
        <f t="array" ref="K22">INDEX(K4:K20,COUNTA(K4:K20))</f>
        <v>126</v>
      </c>
      <c r="L22" s="6" cm="1">
        <f t="array" ref="L22">INDEX(L4:L20,COUNTA(L4:L20))</f>
        <v>113</v>
      </c>
      <c r="M22" s="6" cm="1">
        <f t="array" ref="M22">INDEX(M4:M20,COUNTA(M4:M20))</f>
        <v>126</v>
      </c>
      <c r="N22" s="6" cm="1">
        <f t="array" ref="N22">INDEX(N4:N20,COUNTA(N4:N20))</f>
        <v>134</v>
      </c>
      <c r="O22" s="6" cm="1">
        <f t="array" ref="O22">INDEX(O4:O20,COUNTA(O4:O20))</f>
        <v>112</v>
      </c>
      <c r="P22" s="6" cm="1">
        <f t="array" ref="P22">INDEX(P4:P20,COUNTA(P4:P20))</f>
        <v>130</v>
      </c>
      <c r="Q22" s="6" cm="1">
        <f t="array" ref="Q22">INDEX(Q4:Q20,COUNTA(Q4:Q20))</f>
        <v>133</v>
      </c>
      <c r="S22" s="15">
        <f>AVERAGE(B22:Q22)</f>
        <v>104.25</v>
      </c>
    </row>
    <row r="25" spans="1:19" x14ac:dyDescent="0.3">
      <c r="A25" s="1" t="s">
        <v>16</v>
      </c>
      <c r="B25" s="1" t="s">
        <v>15</v>
      </c>
    </row>
    <row r="26" spans="1:19" x14ac:dyDescent="0.3">
      <c r="B26" t="s">
        <v>1</v>
      </c>
      <c r="N26" t="s">
        <v>14</v>
      </c>
    </row>
    <row r="27" spans="1:19" x14ac:dyDescent="0.3">
      <c r="A27" s="1" t="s">
        <v>0</v>
      </c>
      <c r="B27" s="4" t="s">
        <v>2</v>
      </c>
      <c r="C27" s="4" t="s">
        <v>3</v>
      </c>
      <c r="D27" s="4" t="s">
        <v>4</v>
      </c>
      <c r="E27" s="4" t="s">
        <v>5</v>
      </c>
      <c r="F27" s="4" t="s">
        <v>6</v>
      </c>
      <c r="G27" s="4" t="s">
        <v>7</v>
      </c>
      <c r="H27" s="4" t="s">
        <v>8</v>
      </c>
      <c r="I27" s="4" t="s">
        <v>9</v>
      </c>
      <c r="J27" s="4" t="s">
        <v>10</v>
      </c>
      <c r="K27" s="4" t="s">
        <v>11</v>
      </c>
      <c r="L27" s="4" t="s">
        <v>12</v>
      </c>
      <c r="M27" s="4" t="s">
        <v>13</v>
      </c>
      <c r="N27" s="4" t="s">
        <v>2</v>
      </c>
      <c r="O27" s="4" t="s">
        <v>3</v>
      </c>
      <c r="P27" s="4" t="s">
        <v>4</v>
      </c>
      <c r="Q27" s="4" t="s">
        <v>5</v>
      </c>
    </row>
    <row r="28" spans="1:19" x14ac:dyDescent="0.3">
      <c r="A28" s="2" t="s">
        <v>17</v>
      </c>
      <c r="B28" s="10">
        <v>1</v>
      </c>
      <c r="C28" s="10">
        <v>1</v>
      </c>
      <c r="D28" s="10">
        <v>1</v>
      </c>
      <c r="E28" s="10">
        <v>1</v>
      </c>
      <c r="F28" s="10">
        <v>1</v>
      </c>
      <c r="G28" s="10">
        <v>1</v>
      </c>
      <c r="H28" s="10">
        <v>1</v>
      </c>
      <c r="I28" s="10">
        <v>1</v>
      </c>
      <c r="J28" s="10">
        <v>1</v>
      </c>
      <c r="K28" s="10">
        <v>1</v>
      </c>
      <c r="L28" s="10">
        <v>1</v>
      </c>
      <c r="M28" s="10">
        <v>1</v>
      </c>
      <c r="N28" s="10">
        <v>1</v>
      </c>
      <c r="O28" s="10">
        <v>1</v>
      </c>
      <c r="P28" s="10">
        <v>1</v>
      </c>
      <c r="Q28" s="10">
        <v>1</v>
      </c>
    </row>
    <row r="29" spans="1:19" x14ac:dyDescent="0.3">
      <c r="A29" s="2">
        <v>1</v>
      </c>
      <c r="B29" s="11">
        <v>0.47863247863247865</v>
      </c>
      <c r="C29" s="11">
        <v>0.68235294117647061</v>
      </c>
      <c r="D29" s="11">
        <v>0.57647058823529407</v>
      </c>
      <c r="E29" s="11">
        <v>0.73404255319148937</v>
      </c>
      <c r="F29" s="11">
        <v>0.53</v>
      </c>
      <c r="G29" s="11">
        <v>0.72268907563025209</v>
      </c>
      <c r="H29" s="11">
        <v>0.64601769911504425</v>
      </c>
      <c r="I29" s="11">
        <v>0.72027972027972031</v>
      </c>
      <c r="J29" s="11">
        <v>0.78688524590163933</v>
      </c>
      <c r="K29" s="11">
        <v>0.78832116788321172</v>
      </c>
      <c r="L29" s="11">
        <v>0.84</v>
      </c>
      <c r="M29" s="11">
        <v>0.80303030303030298</v>
      </c>
      <c r="N29" s="11">
        <v>0.875</v>
      </c>
      <c r="O29" s="11">
        <v>0.9732142857142857</v>
      </c>
      <c r="P29" s="11">
        <v>0.98461538461538467</v>
      </c>
      <c r="Q29" s="11">
        <v>0.9925373134328358</v>
      </c>
    </row>
    <row r="30" spans="1:19" x14ac:dyDescent="0.3">
      <c r="A30" s="2">
        <v>2</v>
      </c>
      <c r="B30" s="11">
        <v>0.7350427350427351</v>
      </c>
      <c r="C30" s="11">
        <v>0.68235294117647061</v>
      </c>
      <c r="D30" s="11">
        <v>0.75294117647058822</v>
      </c>
      <c r="E30" s="11">
        <v>0.76595744680851063</v>
      </c>
      <c r="F30" s="11">
        <v>0.88</v>
      </c>
      <c r="G30" s="11">
        <v>0.78151260504201681</v>
      </c>
      <c r="H30" s="11">
        <v>0.76991150442477874</v>
      </c>
      <c r="I30" s="11">
        <v>0.90909090909090906</v>
      </c>
      <c r="J30" s="11">
        <v>0.82786885245901642</v>
      </c>
      <c r="K30" s="11">
        <v>0.96350364963503654</v>
      </c>
      <c r="L30" s="11">
        <v>0.92</v>
      </c>
      <c r="M30" s="11">
        <v>0.93939393939393945</v>
      </c>
      <c r="N30" s="11">
        <v>0.99264705882352944</v>
      </c>
      <c r="O30" s="11">
        <v>0.9821428571428571</v>
      </c>
      <c r="P30" s="11">
        <v>1</v>
      </c>
      <c r="Q30" s="11"/>
    </row>
    <row r="31" spans="1:19" x14ac:dyDescent="0.3">
      <c r="A31" s="2">
        <v>3</v>
      </c>
      <c r="B31" s="11">
        <v>0.6495726495726496</v>
      </c>
      <c r="C31" s="11">
        <v>0.68235294117647061</v>
      </c>
      <c r="D31" s="11">
        <v>0.72941176470588232</v>
      </c>
      <c r="E31" s="11">
        <v>0.82978723404255317</v>
      </c>
      <c r="F31" s="11">
        <v>0.83</v>
      </c>
      <c r="G31" s="11">
        <v>0.75630252100840334</v>
      </c>
      <c r="H31" s="11">
        <v>0.82300884955752207</v>
      </c>
      <c r="I31" s="11">
        <v>0.86713286713286708</v>
      </c>
      <c r="J31" s="11">
        <v>0.87704918032786883</v>
      </c>
      <c r="K31" s="11">
        <v>0.87591240875912413</v>
      </c>
      <c r="L31" s="11">
        <v>0.93600000000000005</v>
      </c>
      <c r="M31" s="11">
        <v>0.96969696969696972</v>
      </c>
      <c r="N31" s="11">
        <v>0.9779411764705882</v>
      </c>
      <c r="O31" s="11">
        <v>1</v>
      </c>
      <c r="P31" s="11"/>
      <c r="Q31" s="11"/>
    </row>
    <row r="32" spans="1:19" x14ac:dyDescent="0.3">
      <c r="A32" s="2">
        <v>4</v>
      </c>
      <c r="B32" s="11">
        <v>0.6495726495726496</v>
      </c>
      <c r="C32" s="11">
        <v>0.72941176470588232</v>
      </c>
      <c r="D32" s="11">
        <v>0.85882352941176465</v>
      </c>
      <c r="E32" s="11">
        <v>0.73404255319148937</v>
      </c>
      <c r="F32" s="11">
        <v>0.7</v>
      </c>
      <c r="G32" s="11">
        <v>0.88235294117647056</v>
      </c>
      <c r="H32" s="11">
        <v>0.80530973451327437</v>
      </c>
      <c r="I32" s="11">
        <v>0.87412587412587417</v>
      </c>
      <c r="J32" s="11">
        <v>0.90163934426229508</v>
      </c>
      <c r="K32" s="11">
        <v>0.91240875912408759</v>
      </c>
      <c r="L32" s="11">
        <v>0.93600000000000005</v>
      </c>
      <c r="M32" s="11">
        <v>0.97727272727272729</v>
      </c>
      <c r="N32" s="11">
        <v>0.98529411764705888</v>
      </c>
      <c r="O32" s="11"/>
      <c r="P32" s="11"/>
      <c r="Q32" s="11"/>
    </row>
    <row r="33" spans="1:19" x14ac:dyDescent="0.3">
      <c r="A33" s="2">
        <v>5</v>
      </c>
      <c r="B33" s="11">
        <v>0.65811965811965811</v>
      </c>
      <c r="C33" s="11">
        <v>0.76470588235294112</v>
      </c>
      <c r="D33" s="11">
        <v>0.6588235294117647</v>
      </c>
      <c r="E33" s="11">
        <v>0.77659574468085102</v>
      </c>
      <c r="F33" s="11">
        <v>0.78</v>
      </c>
      <c r="G33" s="11">
        <v>0.86554621848739499</v>
      </c>
      <c r="H33" s="11">
        <v>0.88495575221238942</v>
      </c>
      <c r="I33" s="11">
        <v>0.86713286713286708</v>
      </c>
      <c r="J33" s="11">
        <v>0.88524590163934425</v>
      </c>
      <c r="K33" s="11">
        <v>0.96350364963503654</v>
      </c>
      <c r="L33" s="11">
        <v>0.92</v>
      </c>
      <c r="M33" s="11">
        <v>0.95454545454545459</v>
      </c>
      <c r="N33" s="11"/>
      <c r="O33" s="11"/>
      <c r="P33" s="11"/>
      <c r="Q33" s="11"/>
    </row>
    <row r="34" spans="1:19" x14ac:dyDescent="0.3">
      <c r="A34" s="2">
        <v>6</v>
      </c>
      <c r="B34" s="11">
        <v>0.67521367521367526</v>
      </c>
      <c r="C34" s="11">
        <v>0.63529411764705879</v>
      </c>
      <c r="D34" s="11">
        <v>0.71764705882352942</v>
      </c>
      <c r="E34" s="11">
        <v>0.82978723404255317</v>
      </c>
      <c r="F34" s="11">
        <v>0.81</v>
      </c>
      <c r="G34" s="11">
        <v>0.75630252100840334</v>
      </c>
      <c r="H34" s="11">
        <v>0.79646017699115046</v>
      </c>
      <c r="I34" s="11">
        <v>0.81118881118881114</v>
      </c>
      <c r="J34" s="11">
        <v>0.92622950819672134</v>
      </c>
      <c r="K34" s="11">
        <v>0.94160583941605835</v>
      </c>
      <c r="L34" s="11">
        <v>0.90400000000000003</v>
      </c>
      <c r="M34" s="11"/>
      <c r="N34" s="11"/>
      <c r="O34" s="11"/>
      <c r="P34" s="11"/>
      <c r="Q34" s="11"/>
    </row>
    <row r="35" spans="1:19" x14ac:dyDescent="0.3">
      <c r="A35" s="2">
        <v>7</v>
      </c>
      <c r="B35" s="11">
        <v>0.71794871794871795</v>
      </c>
      <c r="C35" s="11">
        <v>0.75294117647058822</v>
      </c>
      <c r="D35" s="11">
        <v>0.78823529411764703</v>
      </c>
      <c r="E35" s="11">
        <v>0.7978723404255319</v>
      </c>
      <c r="F35" s="11">
        <v>0.79</v>
      </c>
      <c r="G35" s="11">
        <v>0.81512605042016806</v>
      </c>
      <c r="H35" s="11">
        <v>0.76106194690265483</v>
      </c>
      <c r="I35" s="11">
        <v>0.87412587412587417</v>
      </c>
      <c r="J35" s="11">
        <v>0.85245901639344257</v>
      </c>
      <c r="K35" s="11">
        <v>0.91970802919708028</v>
      </c>
      <c r="L35" s="11"/>
      <c r="M35" s="11"/>
      <c r="N35" s="11"/>
      <c r="O35" s="11"/>
      <c r="P35" s="11"/>
      <c r="Q35" s="11"/>
    </row>
    <row r="36" spans="1:19" x14ac:dyDescent="0.3">
      <c r="A36" s="2">
        <v>8</v>
      </c>
      <c r="B36" s="11">
        <v>0.63247863247863245</v>
      </c>
      <c r="C36" s="11">
        <v>0.75294117647058822</v>
      </c>
      <c r="D36" s="11">
        <v>0.74117647058823533</v>
      </c>
      <c r="E36" s="11">
        <v>0.72340425531914898</v>
      </c>
      <c r="F36" s="11">
        <v>0.83</v>
      </c>
      <c r="G36" s="11">
        <v>0.78151260504201681</v>
      </c>
      <c r="H36" s="11">
        <v>0.87610619469026552</v>
      </c>
      <c r="I36" s="11">
        <v>0.82517482517482521</v>
      </c>
      <c r="J36" s="11">
        <v>0.90163934426229508</v>
      </c>
      <c r="K36" s="11"/>
      <c r="L36" s="11"/>
      <c r="M36" s="11"/>
      <c r="N36" s="11"/>
      <c r="O36" s="11"/>
      <c r="P36" s="11"/>
      <c r="Q36" s="11"/>
    </row>
    <row r="37" spans="1:19" x14ac:dyDescent="0.3">
      <c r="A37" s="2">
        <v>9</v>
      </c>
      <c r="B37" s="11">
        <v>0.68376068376068377</v>
      </c>
      <c r="C37" s="11">
        <v>0.70588235294117652</v>
      </c>
      <c r="D37" s="11">
        <v>0.74117647058823533</v>
      </c>
      <c r="E37" s="11">
        <v>0.75531914893617025</v>
      </c>
      <c r="F37" s="11">
        <v>0.8</v>
      </c>
      <c r="G37" s="11">
        <v>0.84873949579831931</v>
      </c>
      <c r="H37" s="11">
        <v>0.80530973451327437</v>
      </c>
      <c r="I37" s="11">
        <v>0.90909090909090906</v>
      </c>
      <c r="J37" s="11"/>
      <c r="K37" s="11"/>
      <c r="L37" s="11"/>
      <c r="M37" s="11"/>
      <c r="N37" s="11"/>
      <c r="O37" s="11"/>
      <c r="P37" s="11"/>
      <c r="Q37" s="11"/>
    </row>
    <row r="38" spans="1:19" x14ac:dyDescent="0.3">
      <c r="A38" s="2">
        <v>10</v>
      </c>
      <c r="B38" s="11">
        <v>0.70940170940170943</v>
      </c>
      <c r="C38" s="11">
        <v>0.77647058823529413</v>
      </c>
      <c r="D38" s="11">
        <v>0.6470588235294118</v>
      </c>
      <c r="E38" s="11">
        <v>0.81914893617021278</v>
      </c>
      <c r="F38" s="11">
        <v>0.86</v>
      </c>
      <c r="G38" s="11">
        <v>0.76470588235294112</v>
      </c>
      <c r="H38" s="11">
        <v>0.84955752212389379</v>
      </c>
      <c r="I38" s="11"/>
      <c r="J38" s="11"/>
      <c r="K38" s="11"/>
      <c r="L38" s="11"/>
      <c r="M38" s="11"/>
      <c r="N38" s="11"/>
      <c r="O38" s="11"/>
      <c r="P38" s="11"/>
      <c r="Q38" s="11"/>
    </row>
    <row r="39" spans="1:19" x14ac:dyDescent="0.3">
      <c r="A39" s="2">
        <v>11</v>
      </c>
      <c r="B39" s="11">
        <v>0.74358974358974361</v>
      </c>
      <c r="C39" s="11">
        <v>0.71764705882352942</v>
      </c>
      <c r="D39" s="11">
        <v>0.8</v>
      </c>
      <c r="E39" s="11">
        <v>0.85106382978723405</v>
      </c>
      <c r="F39" s="11">
        <v>0.8</v>
      </c>
      <c r="G39" s="11">
        <v>0.82352941176470584</v>
      </c>
      <c r="H39" s="11"/>
      <c r="I39" s="11"/>
      <c r="J39" s="11"/>
      <c r="K39" s="11"/>
      <c r="L39" s="11"/>
      <c r="M39" s="11"/>
      <c r="N39" s="11"/>
      <c r="O39" s="11"/>
      <c r="P39" s="11"/>
      <c r="Q39" s="11"/>
    </row>
    <row r="40" spans="1:19" x14ac:dyDescent="0.3">
      <c r="A40" s="2">
        <v>12</v>
      </c>
      <c r="B40" s="11">
        <v>0.66666666666666663</v>
      </c>
      <c r="C40" s="11">
        <v>0.72941176470588232</v>
      </c>
      <c r="D40" s="11">
        <v>0.82352941176470584</v>
      </c>
      <c r="E40" s="11">
        <v>0.72340425531914898</v>
      </c>
      <c r="F40" s="11">
        <v>0.82</v>
      </c>
      <c r="G40" s="11"/>
      <c r="H40" s="11"/>
      <c r="I40" s="11"/>
      <c r="J40" s="11"/>
      <c r="K40" s="11"/>
      <c r="L40" s="11"/>
      <c r="M40" s="11"/>
      <c r="N40" s="11"/>
      <c r="O40" s="11"/>
      <c r="P40" s="11"/>
      <c r="Q40" s="11"/>
    </row>
    <row r="41" spans="1:19" x14ac:dyDescent="0.3">
      <c r="A41" s="2">
        <v>13</v>
      </c>
      <c r="B41" s="11">
        <v>0.64102564102564108</v>
      </c>
      <c r="C41" s="11">
        <v>0.72941176470588232</v>
      </c>
      <c r="D41" s="11">
        <v>0.70588235294117652</v>
      </c>
      <c r="E41" s="11">
        <v>0.7978723404255319</v>
      </c>
      <c r="F41" s="11"/>
      <c r="G41" s="11"/>
      <c r="H41" s="11"/>
      <c r="I41" s="11"/>
      <c r="J41" s="11"/>
      <c r="K41" s="11"/>
      <c r="L41" s="11"/>
      <c r="M41" s="11"/>
      <c r="N41" s="11"/>
      <c r="O41" s="11"/>
      <c r="P41" s="11"/>
      <c r="Q41" s="11"/>
    </row>
    <row r="42" spans="1:19" x14ac:dyDescent="0.3">
      <c r="A42" s="2">
        <v>14</v>
      </c>
      <c r="B42" s="11">
        <v>0.7350427350427351</v>
      </c>
      <c r="C42" s="11">
        <v>0.69411764705882351</v>
      </c>
      <c r="D42" s="11">
        <v>0.6705882352941176</v>
      </c>
      <c r="E42" s="11"/>
      <c r="F42" s="11"/>
      <c r="G42" s="11"/>
      <c r="H42" s="11"/>
      <c r="I42" s="11"/>
      <c r="J42" s="11"/>
      <c r="K42" s="11"/>
      <c r="L42" s="11"/>
      <c r="M42" s="11"/>
      <c r="N42" s="11"/>
      <c r="O42" s="11"/>
      <c r="P42" s="11"/>
      <c r="Q42" s="11"/>
    </row>
    <row r="43" spans="1:19" x14ac:dyDescent="0.3">
      <c r="A43" s="2">
        <v>15</v>
      </c>
      <c r="B43" s="11">
        <v>0.71794871794871795</v>
      </c>
      <c r="C43" s="11">
        <v>0.81176470588235294</v>
      </c>
      <c r="D43" s="11"/>
      <c r="E43" s="11"/>
      <c r="F43" s="11"/>
      <c r="G43" s="11"/>
      <c r="H43" s="11"/>
      <c r="I43" s="11"/>
      <c r="J43" s="11"/>
      <c r="K43" s="11"/>
      <c r="L43" s="11"/>
      <c r="M43" s="11"/>
      <c r="N43" s="11"/>
      <c r="O43" s="11"/>
      <c r="P43" s="11"/>
      <c r="Q43" s="11"/>
    </row>
    <row r="44" spans="1:19" x14ac:dyDescent="0.3">
      <c r="A44" s="2">
        <v>16</v>
      </c>
      <c r="B44" s="11">
        <v>0.65811965811965811</v>
      </c>
      <c r="C44" s="11"/>
      <c r="D44" s="11"/>
      <c r="E44" s="11"/>
      <c r="F44" s="11"/>
      <c r="G44" s="11"/>
      <c r="H44" s="11"/>
      <c r="I44" s="11"/>
      <c r="J44" s="11"/>
      <c r="K44" s="11"/>
      <c r="L44" s="11"/>
      <c r="M44" s="11"/>
      <c r="N44" s="11"/>
      <c r="O44" s="11"/>
      <c r="P44" s="11"/>
      <c r="Q44" s="11"/>
    </row>
    <row r="45" spans="1:19" x14ac:dyDescent="0.3">
      <c r="S45" t="s">
        <v>1042</v>
      </c>
    </row>
    <row r="46" spans="1:19" ht="18" x14ac:dyDescent="0.35">
      <c r="B46" s="12" cm="1">
        <f t="array" ref="B46">INDEX(B28:B44,COUNTA(B28:B44))</f>
        <v>0.65811965811965811</v>
      </c>
      <c r="C46" s="12" cm="1">
        <f t="array" ref="C46">INDEX(C28:C44,COUNTA(C28:C44))</f>
        <v>0.81176470588235294</v>
      </c>
      <c r="D46" s="12" cm="1">
        <f t="array" ref="D46">INDEX(D28:D44,COUNTA(D28:D44))</f>
        <v>0.6705882352941176</v>
      </c>
      <c r="E46" s="12" cm="1">
        <f t="array" ref="E46">INDEX(E28:E44,COUNTA(E28:E44))</f>
        <v>0.7978723404255319</v>
      </c>
      <c r="F46" s="12" cm="1">
        <f t="array" ref="F46">INDEX(F28:F44,COUNTA(F28:F44))</f>
        <v>0.82</v>
      </c>
      <c r="G46" s="12" cm="1">
        <f t="array" ref="G46">INDEX(G28:G44,COUNTA(G28:G44))</f>
        <v>0.82352941176470584</v>
      </c>
      <c r="H46" s="12" cm="1">
        <f t="array" ref="H46">INDEX(H28:H44,COUNTA(H28:H44))</f>
        <v>0.84955752212389379</v>
      </c>
      <c r="I46" s="12" cm="1">
        <f t="array" ref="I46">INDEX(I28:I44,COUNTA(I28:I44))</f>
        <v>0.90909090909090906</v>
      </c>
      <c r="J46" s="12" cm="1">
        <f t="array" ref="J46">INDEX(J28:J44,COUNTA(J28:J44))</f>
        <v>0.90163934426229508</v>
      </c>
      <c r="K46" s="12" cm="1">
        <f t="array" ref="K46">INDEX(K28:K44,COUNTA(K28:K44))</f>
        <v>0.91970802919708028</v>
      </c>
      <c r="L46" s="12" cm="1">
        <f t="array" ref="L46">INDEX(L28:L44,COUNTA(L28:L44))</f>
        <v>0.90400000000000003</v>
      </c>
      <c r="M46" s="12" cm="1">
        <f t="array" ref="M46">INDEX(M28:M44,COUNTA(M28:M44))</f>
        <v>0.95454545454545459</v>
      </c>
      <c r="N46" s="12" cm="1">
        <f t="array" ref="N46">INDEX(N28:N44,COUNTA(N28:N44))</f>
        <v>0.98529411764705888</v>
      </c>
      <c r="O46" s="12" cm="1">
        <f t="array" ref="O46">INDEX(O28:O44,COUNTA(O28:O44))</f>
        <v>1</v>
      </c>
      <c r="P46" s="12" cm="1">
        <f t="array" ref="P46">INDEX(P28:P44,COUNTA(P28:P44))</f>
        <v>1</v>
      </c>
      <c r="Q46" s="12" cm="1">
        <f t="array" ref="Q46">INDEX(Q28:Q44,COUNTA(Q28:Q44))</f>
        <v>0.9925373134328358</v>
      </c>
      <c r="S46" s="16">
        <f>AVERAGE(B46:Q46)</f>
        <v>0.87489044011161832</v>
      </c>
    </row>
    <row r="49" spans="1:17" x14ac:dyDescent="0.3">
      <c r="A49" s="1" t="s">
        <v>18</v>
      </c>
      <c r="B49" s="1" t="s">
        <v>15</v>
      </c>
    </row>
    <row r="50" spans="1:17" x14ac:dyDescent="0.3">
      <c r="B50" t="s">
        <v>1</v>
      </c>
      <c r="N50" t="s">
        <v>14</v>
      </c>
    </row>
    <row r="51" spans="1:17" x14ac:dyDescent="0.3">
      <c r="A51" s="1" t="s">
        <v>0</v>
      </c>
      <c r="B51" s="5" t="s">
        <v>2</v>
      </c>
      <c r="C51" s="5" t="s">
        <v>3</v>
      </c>
      <c r="D51" s="5" t="s">
        <v>4</v>
      </c>
      <c r="E51" s="5" t="s">
        <v>5</v>
      </c>
      <c r="F51" s="5" t="s">
        <v>6</v>
      </c>
      <c r="G51" s="5" t="s">
        <v>7</v>
      </c>
      <c r="H51" s="5" t="s">
        <v>8</v>
      </c>
      <c r="I51" s="5" t="s">
        <v>9</v>
      </c>
      <c r="J51" s="5" t="s">
        <v>10</v>
      </c>
      <c r="K51" s="5" t="s">
        <v>11</v>
      </c>
      <c r="L51" s="5" t="s">
        <v>12</v>
      </c>
      <c r="M51" s="5" t="s">
        <v>13</v>
      </c>
      <c r="N51" s="5" t="s">
        <v>2</v>
      </c>
      <c r="O51" s="5" t="s">
        <v>3</v>
      </c>
      <c r="P51" s="5" t="s">
        <v>4</v>
      </c>
      <c r="Q51" s="5" t="s">
        <v>5</v>
      </c>
    </row>
    <row r="52" spans="1:17" x14ac:dyDescent="0.3">
      <c r="A52" s="2" t="s">
        <v>17</v>
      </c>
      <c r="B52" s="5">
        <v>4452</v>
      </c>
      <c r="C52" s="5">
        <v>3375</v>
      </c>
      <c r="D52" s="5">
        <v>3600</v>
      </c>
      <c r="E52" s="5">
        <v>3394</v>
      </c>
      <c r="F52" s="5">
        <v>3586</v>
      </c>
      <c r="G52" s="5">
        <v>4210</v>
      </c>
      <c r="H52" s="5">
        <v>3848</v>
      </c>
      <c r="I52" s="5">
        <v>5373</v>
      </c>
      <c r="J52" s="5">
        <v>4495</v>
      </c>
      <c r="K52" s="5">
        <v>4729</v>
      </c>
      <c r="L52" s="5">
        <v>4586</v>
      </c>
      <c r="M52" s="5">
        <v>4646</v>
      </c>
      <c r="N52" s="5">
        <v>4818</v>
      </c>
      <c r="O52" s="5">
        <v>3646</v>
      </c>
      <c r="P52" s="5">
        <v>4917</v>
      </c>
      <c r="Q52" s="5">
        <v>4393</v>
      </c>
    </row>
    <row r="53" spans="1:17" x14ac:dyDescent="0.3">
      <c r="A53" s="2">
        <v>1</v>
      </c>
      <c r="B53" s="5">
        <v>2087</v>
      </c>
      <c r="C53" s="5">
        <v>2338</v>
      </c>
      <c r="D53" s="5">
        <v>1937</v>
      </c>
      <c r="E53" s="5">
        <v>2297</v>
      </c>
      <c r="F53" s="5">
        <v>2023</v>
      </c>
      <c r="G53" s="5">
        <v>2989</v>
      </c>
      <c r="H53" s="5">
        <v>2247</v>
      </c>
      <c r="I53" s="5">
        <v>3586</v>
      </c>
      <c r="J53" s="5">
        <v>3456</v>
      </c>
      <c r="K53" s="5">
        <v>3703</v>
      </c>
      <c r="L53" s="5">
        <v>3895</v>
      </c>
      <c r="M53" s="5">
        <v>3628</v>
      </c>
      <c r="N53" s="5">
        <v>4123</v>
      </c>
      <c r="O53" s="5">
        <v>3547</v>
      </c>
      <c r="P53" s="5">
        <v>4870</v>
      </c>
      <c r="Q53" s="5">
        <v>4383</v>
      </c>
    </row>
    <row r="54" spans="1:17" x14ac:dyDescent="0.3">
      <c r="A54" s="2">
        <v>2</v>
      </c>
      <c r="B54" s="5">
        <v>3160</v>
      </c>
      <c r="C54" s="5">
        <v>2325</v>
      </c>
      <c r="D54" s="5">
        <v>2742</v>
      </c>
      <c r="E54" s="5">
        <v>2506</v>
      </c>
      <c r="F54" s="5">
        <v>3136</v>
      </c>
      <c r="G54" s="5">
        <v>3132</v>
      </c>
      <c r="H54" s="5">
        <v>2781</v>
      </c>
      <c r="I54" s="5">
        <v>4775</v>
      </c>
      <c r="J54" s="5">
        <v>3767</v>
      </c>
      <c r="K54" s="5">
        <v>4560</v>
      </c>
      <c r="L54" s="5">
        <v>4183</v>
      </c>
      <c r="M54" s="5">
        <v>4390</v>
      </c>
      <c r="N54" s="5">
        <v>4756</v>
      </c>
      <c r="O54" s="5">
        <v>3593</v>
      </c>
      <c r="P54" s="5">
        <v>4917</v>
      </c>
      <c r="Q54" s="5"/>
    </row>
    <row r="55" spans="1:17" x14ac:dyDescent="0.3">
      <c r="A55" s="2">
        <v>3</v>
      </c>
      <c r="B55" s="5">
        <v>2883</v>
      </c>
      <c r="C55" s="5">
        <v>2256</v>
      </c>
      <c r="D55" s="5">
        <v>2570</v>
      </c>
      <c r="E55" s="5">
        <v>2707</v>
      </c>
      <c r="F55" s="5">
        <v>3126</v>
      </c>
      <c r="G55" s="5">
        <v>3157</v>
      </c>
      <c r="H55" s="5">
        <v>3285</v>
      </c>
      <c r="I55" s="5">
        <v>4428</v>
      </c>
      <c r="J55" s="5">
        <v>3954</v>
      </c>
      <c r="K55" s="5">
        <v>4194</v>
      </c>
      <c r="L55" s="5">
        <v>4257</v>
      </c>
      <c r="M55" s="5">
        <v>4512</v>
      </c>
      <c r="N55" s="5">
        <v>4702</v>
      </c>
      <c r="O55" s="5">
        <v>3646</v>
      </c>
      <c r="P55" s="5"/>
      <c r="Q55" s="5"/>
    </row>
    <row r="56" spans="1:17" x14ac:dyDescent="0.3">
      <c r="A56" s="2">
        <v>4</v>
      </c>
      <c r="B56" s="5">
        <v>2776</v>
      </c>
      <c r="C56" s="5">
        <v>2268</v>
      </c>
      <c r="D56" s="5">
        <v>2957</v>
      </c>
      <c r="E56" s="5">
        <v>2494</v>
      </c>
      <c r="F56" s="5">
        <v>2609</v>
      </c>
      <c r="G56" s="5">
        <v>3869</v>
      </c>
      <c r="H56" s="5">
        <v>2996</v>
      </c>
      <c r="I56" s="5">
        <v>4679</v>
      </c>
      <c r="J56" s="5">
        <v>4015</v>
      </c>
      <c r="K56" s="5">
        <v>4317</v>
      </c>
      <c r="L56" s="5">
        <v>4168</v>
      </c>
      <c r="M56" s="5">
        <v>4564</v>
      </c>
      <c r="N56" s="5">
        <v>4736</v>
      </c>
      <c r="O56" s="5"/>
      <c r="P56" s="5"/>
      <c r="Q56" s="5"/>
    </row>
    <row r="57" spans="1:17" x14ac:dyDescent="0.3">
      <c r="A57" s="2">
        <v>5</v>
      </c>
      <c r="B57" s="5">
        <v>3058</v>
      </c>
      <c r="C57" s="5">
        <v>2391</v>
      </c>
      <c r="D57" s="5">
        <v>2314</v>
      </c>
      <c r="E57" s="5">
        <v>2198</v>
      </c>
      <c r="F57" s="5">
        <v>2729</v>
      </c>
      <c r="G57" s="5">
        <v>3672</v>
      </c>
      <c r="H57" s="5">
        <v>3441</v>
      </c>
      <c r="I57" s="5">
        <v>4642</v>
      </c>
      <c r="J57" s="5">
        <v>3940</v>
      </c>
      <c r="K57" s="5">
        <v>4576</v>
      </c>
      <c r="L57" s="5">
        <v>4184</v>
      </c>
      <c r="M57" s="5">
        <v>4464</v>
      </c>
      <c r="N57" s="5"/>
      <c r="O57" s="5"/>
      <c r="P57" s="5"/>
      <c r="Q57" s="5"/>
    </row>
    <row r="58" spans="1:17" x14ac:dyDescent="0.3">
      <c r="A58" s="2">
        <v>6</v>
      </c>
      <c r="B58" s="5">
        <v>2897</v>
      </c>
      <c r="C58" s="5">
        <v>2111</v>
      </c>
      <c r="D58" s="5">
        <v>2462</v>
      </c>
      <c r="E58" s="5">
        <v>2786</v>
      </c>
      <c r="F58" s="5">
        <v>3141</v>
      </c>
      <c r="G58" s="5">
        <v>3049</v>
      </c>
      <c r="H58" s="5">
        <v>2846</v>
      </c>
      <c r="I58" s="5">
        <v>4473</v>
      </c>
      <c r="J58" s="5">
        <v>4092</v>
      </c>
      <c r="K58" s="5">
        <v>4388</v>
      </c>
      <c r="L58" s="5">
        <v>3980</v>
      </c>
      <c r="M58" s="5"/>
      <c r="N58" s="5"/>
      <c r="O58" s="5"/>
      <c r="P58" s="5"/>
      <c r="Q58" s="5"/>
    </row>
    <row r="59" spans="1:17" x14ac:dyDescent="0.3">
      <c r="A59" s="2">
        <v>7</v>
      </c>
      <c r="B59" s="5">
        <v>3141</v>
      </c>
      <c r="C59" s="5">
        <v>2472</v>
      </c>
      <c r="D59" s="5">
        <v>2674</v>
      </c>
      <c r="E59" s="5">
        <v>2610</v>
      </c>
      <c r="F59" s="5">
        <v>3036</v>
      </c>
      <c r="G59" s="5">
        <v>3211</v>
      </c>
      <c r="H59" s="5">
        <v>3048</v>
      </c>
      <c r="I59" s="5">
        <v>4453</v>
      </c>
      <c r="J59" s="5">
        <v>3788</v>
      </c>
      <c r="K59" s="5">
        <v>4169</v>
      </c>
      <c r="L59" s="5"/>
      <c r="M59" s="5"/>
      <c r="N59" s="5"/>
      <c r="O59" s="5"/>
      <c r="P59" s="5"/>
      <c r="Q59" s="5"/>
    </row>
    <row r="60" spans="1:17" x14ac:dyDescent="0.3">
      <c r="A60" s="2">
        <v>8</v>
      </c>
      <c r="B60" s="5">
        <v>2970</v>
      </c>
      <c r="C60" s="5">
        <v>2522</v>
      </c>
      <c r="D60" s="5">
        <v>2558</v>
      </c>
      <c r="E60" s="5">
        <v>2471</v>
      </c>
      <c r="F60" s="5">
        <v>3063</v>
      </c>
      <c r="G60" s="5">
        <v>3211</v>
      </c>
      <c r="H60" s="5">
        <v>3328</v>
      </c>
      <c r="I60" s="5">
        <v>4470</v>
      </c>
      <c r="J60" s="5">
        <v>4092</v>
      </c>
      <c r="K60" s="5"/>
      <c r="L60" s="5"/>
      <c r="M60" s="5"/>
      <c r="N60" s="5"/>
      <c r="O60" s="5"/>
      <c r="P60" s="5"/>
      <c r="Q60" s="5"/>
    </row>
    <row r="61" spans="1:17" x14ac:dyDescent="0.3">
      <c r="A61" s="2">
        <v>9</v>
      </c>
      <c r="B61" s="5">
        <v>3074</v>
      </c>
      <c r="C61" s="5">
        <v>2408</v>
      </c>
      <c r="D61" s="5">
        <v>2574</v>
      </c>
      <c r="E61" s="5">
        <v>2517</v>
      </c>
      <c r="F61" s="5">
        <v>3028</v>
      </c>
      <c r="G61" s="5">
        <v>3619</v>
      </c>
      <c r="H61" s="5">
        <v>3104</v>
      </c>
      <c r="I61" s="5">
        <v>4722</v>
      </c>
      <c r="J61" s="5"/>
      <c r="K61" s="5"/>
      <c r="L61" s="5"/>
      <c r="M61" s="5"/>
      <c r="N61" s="5"/>
      <c r="O61" s="5"/>
      <c r="P61" s="5"/>
      <c r="Q61" s="5"/>
    </row>
    <row r="62" spans="1:17" x14ac:dyDescent="0.3">
      <c r="A62" s="2">
        <v>10</v>
      </c>
      <c r="B62" s="5">
        <v>3156</v>
      </c>
      <c r="C62" s="5">
        <v>2678</v>
      </c>
      <c r="D62" s="5">
        <v>2303</v>
      </c>
      <c r="E62" s="5">
        <v>2631</v>
      </c>
      <c r="F62" s="5">
        <v>3180</v>
      </c>
      <c r="G62" s="5">
        <v>3192</v>
      </c>
      <c r="H62" s="5">
        <v>3199</v>
      </c>
      <c r="I62" s="5"/>
      <c r="J62" s="5"/>
      <c r="K62" s="5"/>
      <c r="L62" s="5"/>
      <c r="M62" s="5"/>
      <c r="N62" s="5"/>
      <c r="O62" s="5"/>
      <c r="P62" s="5"/>
      <c r="Q62" s="5"/>
    </row>
    <row r="63" spans="1:17" x14ac:dyDescent="0.3">
      <c r="A63" s="2">
        <v>11</v>
      </c>
      <c r="B63" s="5">
        <v>3166</v>
      </c>
      <c r="C63" s="5">
        <v>2499</v>
      </c>
      <c r="D63" s="5">
        <v>2903</v>
      </c>
      <c r="E63" s="5">
        <v>2755</v>
      </c>
      <c r="F63" s="5">
        <v>3050</v>
      </c>
      <c r="G63" s="5">
        <v>3422</v>
      </c>
      <c r="H63" s="5"/>
      <c r="I63" s="5"/>
      <c r="J63" s="5"/>
      <c r="K63" s="5"/>
      <c r="L63" s="5"/>
      <c r="M63" s="5"/>
      <c r="N63" s="5"/>
      <c r="O63" s="5"/>
      <c r="P63" s="5"/>
      <c r="Q63" s="5"/>
    </row>
    <row r="64" spans="1:17" x14ac:dyDescent="0.3">
      <c r="A64" s="2">
        <v>12</v>
      </c>
      <c r="B64" s="5">
        <v>3093</v>
      </c>
      <c r="C64" s="5">
        <v>2477</v>
      </c>
      <c r="D64" s="5">
        <v>3044</v>
      </c>
      <c r="E64" s="5">
        <v>2243</v>
      </c>
      <c r="F64" s="5">
        <v>2901</v>
      </c>
      <c r="G64" s="5"/>
      <c r="H64" s="5"/>
      <c r="I64" s="5"/>
      <c r="J64" s="5"/>
      <c r="K64" s="5"/>
      <c r="L64" s="5"/>
      <c r="M64" s="5"/>
      <c r="N64" s="5"/>
      <c r="O64" s="5"/>
      <c r="P64" s="5"/>
      <c r="Q64" s="5"/>
    </row>
    <row r="65" spans="1:17" x14ac:dyDescent="0.3">
      <c r="A65" s="2">
        <v>13</v>
      </c>
      <c r="B65" s="5">
        <v>2867</v>
      </c>
      <c r="C65" s="5">
        <v>2386</v>
      </c>
      <c r="D65" s="5">
        <v>2378</v>
      </c>
      <c r="E65" s="5">
        <v>2657</v>
      </c>
      <c r="F65" s="5"/>
      <c r="G65" s="5"/>
      <c r="H65" s="5"/>
      <c r="I65" s="5"/>
      <c r="J65" s="5"/>
      <c r="K65" s="5"/>
      <c r="L65" s="5"/>
      <c r="M65" s="5"/>
      <c r="N65" s="5"/>
      <c r="O65" s="5"/>
      <c r="P65" s="5"/>
      <c r="Q65" s="5"/>
    </row>
    <row r="66" spans="1:17" x14ac:dyDescent="0.3">
      <c r="A66" s="2">
        <v>14</v>
      </c>
      <c r="B66" s="5">
        <v>3072</v>
      </c>
      <c r="C66" s="5">
        <v>2415</v>
      </c>
      <c r="D66" s="5">
        <v>2279</v>
      </c>
      <c r="E66" s="5"/>
      <c r="F66" s="5"/>
      <c r="G66" s="5"/>
      <c r="H66" s="5"/>
      <c r="I66" s="5"/>
      <c r="J66" s="5"/>
      <c r="K66" s="5"/>
      <c r="L66" s="5"/>
      <c r="M66" s="5"/>
      <c r="N66" s="5"/>
      <c r="O66" s="5"/>
      <c r="P66" s="5"/>
      <c r="Q66" s="5"/>
    </row>
    <row r="67" spans="1:17" x14ac:dyDescent="0.3">
      <c r="A67" s="2">
        <v>15</v>
      </c>
      <c r="B67" s="5">
        <v>3323</v>
      </c>
      <c r="C67" s="5">
        <v>2538</v>
      </c>
      <c r="D67" s="5"/>
      <c r="E67" s="5"/>
      <c r="F67" s="5"/>
      <c r="G67" s="5"/>
      <c r="H67" s="5"/>
      <c r="I67" s="5"/>
      <c r="J67" s="5"/>
      <c r="K67" s="5"/>
      <c r="L67" s="5"/>
      <c r="M67" s="5"/>
      <c r="N67" s="5"/>
      <c r="O67" s="5"/>
      <c r="P67" s="5"/>
      <c r="Q67" s="5"/>
    </row>
    <row r="68" spans="1:17" x14ac:dyDescent="0.3">
      <c r="A68" s="2">
        <v>16</v>
      </c>
      <c r="B68" s="5">
        <v>3115</v>
      </c>
      <c r="C68" s="5"/>
      <c r="D68" s="5"/>
      <c r="E68" s="5"/>
      <c r="F68" s="5"/>
      <c r="G68" s="5"/>
      <c r="H68" s="5"/>
      <c r="I68" s="5"/>
      <c r="J68" s="5"/>
      <c r="K68" s="5"/>
      <c r="L68" s="5"/>
      <c r="M68" s="5"/>
      <c r="N68" s="5"/>
      <c r="O68" s="5"/>
      <c r="P68" s="5"/>
      <c r="Q68" s="5"/>
    </row>
    <row r="72" spans="1:17" x14ac:dyDescent="0.3">
      <c r="A72" s="7"/>
      <c r="B72" s="9"/>
    </row>
    <row r="73" spans="1:17" x14ac:dyDescent="0.3">
      <c r="A73" s="7"/>
      <c r="B73" s="9"/>
    </row>
    <row r="74" spans="1:17" x14ac:dyDescent="0.3">
      <c r="A74" s="7"/>
      <c r="B74" s="9"/>
    </row>
    <row r="75" spans="1:17" x14ac:dyDescent="0.3">
      <c r="A75" s="7"/>
      <c r="B75" s="9"/>
    </row>
    <row r="76" spans="1:17" x14ac:dyDescent="0.3">
      <c r="A76" s="7"/>
      <c r="B76" s="9"/>
    </row>
    <row r="77" spans="1:17" x14ac:dyDescent="0.3">
      <c r="A77" s="7"/>
      <c r="B77" s="9"/>
    </row>
    <row r="78" spans="1:17" x14ac:dyDescent="0.3">
      <c r="A78" s="7"/>
      <c r="B78" s="9"/>
    </row>
    <row r="79" spans="1:17" x14ac:dyDescent="0.3">
      <c r="A79" s="7"/>
      <c r="B79" s="9"/>
    </row>
    <row r="80" spans="1:17" x14ac:dyDescent="0.3">
      <c r="A80" s="7"/>
      <c r="B80" s="9"/>
    </row>
    <row r="81" spans="1:2" x14ac:dyDescent="0.3">
      <c r="A81" s="7"/>
      <c r="B81" s="9"/>
    </row>
    <row r="82" spans="1:2" x14ac:dyDescent="0.3">
      <c r="A82" s="7"/>
      <c r="B82" s="9"/>
    </row>
    <row r="83" spans="1:2" x14ac:dyDescent="0.3">
      <c r="A83" s="7"/>
      <c r="B83" s="9"/>
    </row>
    <row r="84" spans="1:2" x14ac:dyDescent="0.3">
      <c r="A84" s="7"/>
      <c r="B84" s="9"/>
    </row>
    <row r="85" spans="1:2" x14ac:dyDescent="0.3">
      <c r="A85" s="7"/>
      <c r="B85" s="9"/>
    </row>
    <row r="86" spans="1:2" x14ac:dyDescent="0.3">
      <c r="A86" s="7"/>
      <c r="B86" s="9"/>
    </row>
    <row r="87" spans="1:2" x14ac:dyDescent="0.3">
      <c r="A87" s="7"/>
      <c r="B87" s="9"/>
    </row>
    <row r="88" spans="1:2" x14ac:dyDescent="0.3">
      <c r="A88" s="8"/>
      <c r="B88" s="9"/>
    </row>
  </sheetData>
  <conditionalFormatting pivot="1" sqref="B4:Q20">
    <cfRule type="colorScale" priority="5">
      <colorScale>
        <cfvo type="min"/>
        <cfvo type="percentile" val="50"/>
        <cfvo type="max"/>
        <color rgb="FFF8696B"/>
        <color rgb="FFFFEB84"/>
        <color rgb="FF63BE7B"/>
      </colorScale>
    </cfRule>
  </conditionalFormatting>
  <conditionalFormatting pivot="1" sqref="B28:Q44">
    <cfRule type="colorScale" priority="4">
      <colorScale>
        <cfvo type="min"/>
        <cfvo type="percentile" val="50"/>
        <cfvo type="max"/>
        <color rgb="FFF8696B"/>
        <color rgb="FFFFEB84"/>
        <color rgb="FF63BE7B"/>
      </colorScale>
    </cfRule>
  </conditionalFormatting>
  <conditionalFormatting pivot="1" sqref="B52:Q68">
    <cfRule type="colorScale" priority="1">
      <colorScale>
        <cfvo type="min"/>
        <cfvo type="percentile" val="50"/>
        <cfvo type="max"/>
        <color rgb="FFF8696B"/>
        <color rgb="FFFFEB84"/>
        <color rgb="FF63BE7B"/>
      </colorScale>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70D74-50BF-4662-AB8A-0CD9EB6AFB44}">
  <dimension ref="A1:G19"/>
  <sheetViews>
    <sheetView showGridLines="0" workbookViewId="0">
      <selection activeCell="R14" sqref="R14"/>
    </sheetView>
  </sheetViews>
  <sheetFormatPr defaultRowHeight="14.4" x14ac:dyDescent="0.3"/>
  <cols>
    <col min="1" max="1" width="29.33203125" bestFit="1" customWidth="1"/>
    <col min="2" max="7" width="14.5546875" customWidth="1"/>
    <col min="8" max="8" width="5" bestFit="1" customWidth="1"/>
    <col min="9" max="9" width="8" bestFit="1" customWidth="1"/>
    <col min="10" max="12" width="5" bestFit="1" customWidth="1"/>
    <col min="13" max="13" width="6.6640625" bestFit="1" customWidth="1"/>
    <col min="14" max="17" width="5" bestFit="1" customWidth="1"/>
    <col min="18" max="18" width="10.5546875" bestFit="1" customWidth="1"/>
    <col min="19" max="19" width="14.6640625" bestFit="1" customWidth="1"/>
    <col min="20" max="20" width="23.6640625" bestFit="1" customWidth="1"/>
    <col min="21" max="21" width="17" bestFit="1" customWidth="1"/>
    <col min="22" max="22" width="11.6640625" bestFit="1" customWidth="1"/>
    <col min="23" max="23" width="20.109375" bestFit="1" customWidth="1"/>
    <col min="24" max="24" width="14.109375" bestFit="1" customWidth="1"/>
    <col min="25" max="25" width="14" bestFit="1" customWidth="1"/>
    <col min="26" max="26" width="14.88671875" bestFit="1" customWidth="1"/>
    <col min="27" max="27" width="8.5546875" bestFit="1" customWidth="1"/>
    <col min="28" max="28" width="10.88671875" bestFit="1" customWidth="1"/>
    <col min="29" max="29" width="16" bestFit="1" customWidth="1"/>
    <col min="30" max="30" width="18.21875" bestFit="1" customWidth="1"/>
    <col min="31" max="31" width="19" bestFit="1" customWidth="1"/>
    <col min="32" max="32" width="13.5546875" bestFit="1" customWidth="1"/>
    <col min="33" max="33" width="14.6640625" bestFit="1" customWidth="1"/>
    <col min="34" max="34" width="23.6640625" bestFit="1" customWidth="1"/>
    <col min="35" max="35" width="17" bestFit="1" customWidth="1"/>
    <col min="36" max="36" width="11.6640625" bestFit="1" customWidth="1"/>
    <col min="37" max="37" width="20.109375" bestFit="1" customWidth="1"/>
    <col min="38" max="38" width="14.109375" bestFit="1" customWidth="1"/>
    <col min="39" max="39" width="14" bestFit="1" customWidth="1"/>
    <col min="40" max="40" width="14.88671875" bestFit="1" customWidth="1"/>
    <col min="41" max="41" width="8.5546875" bestFit="1" customWidth="1"/>
    <col min="42" max="42" width="10.88671875" bestFit="1" customWidth="1"/>
    <col min="43" max="43" width="16" bestFit="1" customWidth="1"/>
    <col min="44" max="44" width="18.21875" bestFit="1" customWidth="1"/>
    <col min="45" max="45" width="19" bestFit="1" customWidth="1"/>
    <col min="46" max="46" width="13.5546875" bestFit="1" customWidth="1"/>
    <col min="47" max="47" width="14.6640625" bestFit="1" customWidth="1"/>
    <col min="48" max="48" width="23.6640625" bestFit="1" customWidth="1"/>
    <col min="49" max="49" width="17" bestFit="1" customWidth="1"/>
    <col min="50" max="50" width="11.6640625" bestFit="1" customWidth="1"/>
    <col min="51" max="51" width="20.109375" bestFit="1" customWidth="1"/>
    <col min="52" max="52" width="14.109375" bestFit="1" customWidth="1"/>
    <col min="53" max="53" width="14" bestFit="1" customWidth="1"/>
    <col min="54" max="54" width="14.88671875" bestFit="1" customWidth="1"/>
    <col min="55" max="55" width="8.5546875" bestFit="1" customWidth="1"/>
    <col min="56" max="56" width="10.88671875" bestFit="1" customWidth="1"/>
    <col min="57" max="57" width="16" bestFit="1" customWidth="1"/>
    <col min="58" max="58" width="12.33203125" bestFit="1" customWidth="1"/>
    <col min="59" max="59" width="18.21875" bestFit="1" customWidth="1"/>
    <col min="60" max="60" width="19" bestFit="1" customWidth="1"/>
    <col min="61" max="61" width="13.5546875" bestFit="1" customWidth="1"/>
    <col min="62" max="62" width="14.6640625" bestFit="1" customWidth="1"/>
    <col min="63" max="63" width="23.6640625" bestFit="1" customWidth="1"/>
    <col min="64" max="64" width="17" bestFit="1" customWidth="1"/>
    <col min="65" max="65" width="11.6640625" bestFit="1" customWidth="1"/>
    <col min="66" max="66" width="20.109375" bestFit="1" customWidth="1"/>
    <col min="67" max="67" width="14.109375" bestFit="1" customWidth="1"/>
    <col min="68" max="68" width="14" bestFit="1" customWidth="1"/>
    <col min="69" max="69" width="14.88671875" bestFit="1" customWidth="1"/>
    <col min="70" max="70" width="8.5546875" bestFit="1" customWidth="1"/>
    <col min="71" max="71" width="10.88671875" bestFit="1" customWidth="1"/>
    <col min="72" max="72" width="16" bestFit="1" customWidth="1"/>
    <col min="73" max="73" width="12.33203125" bestFit="1" customWidth="1"/>
    <col min="74" max="74" width="18.21875" bestFit="1" customWidth="1"/>
    <col min="75" max="75" width="19" bestFit="1" customWidth="1"/>
    <col min="76" max="76" width="13.5546875" bestFit="1" customWidth="1"/>
    <col min="77" max="77" width="14.6640625" bestFit="1" customWidth="1"/>
    <col min="78" max="78" width="23.6640625" bestFit="1" customWidth="1"/>
    <col min="79" max="79" width="17" bestFit="1" customWidth="1"/>
    <col min="80" max="80" width="11.6640625" bestFit="1" customWidth="1"/>
    <col min="81" max="81" width="20.109375" bestFit="1" customWidth="1"/>
    <col min="82" max="82" width="14.109375" bestFit="1" customWidth="1"/>
    <col min="83" max="83" width="14" bestFit="1" customWidth="1"/>
    <col min="84" max="84" width="14.88671875" bestFit="1" customWidth="1"/>
    <col min="85" max="85" width="19.77734375" bestFit="1" customWidth="1"/>
    <col min="86" max="86" width="8.5546875" bestFit="1" customWidth="1"/>
    <col min="87" max="87" width="10.88671875" bestFit="1" customWidth="1"/>
    <col min="88" max="88" width="16" bestFit="1" customWidth="1"/>
    <col min="89" max="89" width="12.33203125" bestFit="1" customWidth="1"/>
    <col min="90" max="90" width="18.21875" bestFit="1" customWidth="1"/>
    <col min="91" max="91" width="19" bestFit="1" customWidth="1"/>
    <col min="92" max="92" width="13.5546875" bestFit="1" customWidth="1"/>
    <col min="93" max="93" width="14.6640625" bestFit="1" customWidth="1"/>
    <col min="94" max="94" width="23.6640625" bestFit="1" customWidth="1"/>
    <col min="95" max="95" width="12.21875" bestFit="1" customWidth="1"/>
    <col min="96" max="96" width="17" bestFit="1" customWidth="1"/>
    <col min="97" max="97" width="11.6640625" bestFit="1" customWidth="1"/>
    <col min="98" max="98" width="20.109375" bestFit="1" customWidth="1"/>
    <col min="99" max="99" width="14.109375" bestFit="1" customWidth="1"/>
    <col min="100" max="100" width="14" bestFit="1" customWidth="1"/>
    <col min="101" max="101" width="14.88671875" bestFit="1" customWidth="1"/>
    <col min="102" max="102" width="19.77734375" bestFit="1" customWidth="1"/>
    <col min="103" max="103" width="8.5546875" bestFit="1" customWidth="1"/>
    <col min="104" max="104" width="10.88671875" bestFit="1" customWidth="1"/>
    <col min="105" max="105" width="16" bestFit="1" customWidth="1"/>
    <col min="106" max="106" width="12.33203125" bestFit="1" customWidth="1"/>
    <col min="107" max="107" width="18.21875" bestFit="1" customWidth="1"/>
    <col min="108" max="108" width="19" bestFit="1" customWidth="1"/>
    <col min="109" max="109" width="13.5546875" bestFit="1" customWidth="1"/>
    <col min="110" max="110" width="14.6640625" bestFit="1" customWidth="1"/>
    <col min="111" max="111" width="23.6640625" bestFit="1" customWidth="1"/>
    <col min="112" max="112" width="12.21875" bestFit="1" customWidth="1"/>
    <col min="113" max="113" width="17" bestFit="1" customWidth="1"/>
    <col min="114" max="114" width="11.6640625" bestFit="1" customWidth="1"/>
    <col min="115" max="115" width="20.109375" bestFit="1" customWidth="1"/>
    <col min="116" max="116" width="14.109375" bestFit="1" customWidth="1"/>
    <col min="117" max="117" width="14" bestFit="1" customWidth="1"/>
    <col min="118" max="118" width="14.88671875" bestFit="1" customWidth="1"/>
    <col min="119" max="119" width="19.77734375" bestFit="1" customWidth="1"/>
    <col min="120" max="120" width="8.5546875" bestFit="1" customWidth="1"/>
    <col min="121" max="121" width="10.88671875" bestFit="1" customWidth="1"/>
    <col min="122" max="122" width="16" bestFit="1" customWidth="1"/>
    <col min="123" max="123" width="12.33203125" bestFit="1" customWidth="1"/>
    <col min="124" max="124" width="18.21875" bestFit="1" customWidth="1"/>
    <col min="125" max="125" width="19" bestFit="1" customWidth="1"/>
    <col min="126" max="126" width="13.5546875" bestFit="1" customWidth="1"/>
    <col min="127" max="127" width="14.6640625" bestFit="1" customWidth="1"/>
    <col min="128" max="128" width="23.6640625" bestFit="1" customWidth="1"/>
    <col min="129" max="129" width="12.21875" bestFit="1" customWidth="1"/>
    <col min="130" max="130" width="17" bestFit="1" customWidth="1"/>
    <col min="131" max="131" width="11.6640625" bestFit="1" customWidth="1"/>
    <col min="132" max="132" width="20.109375" bestFit="1" customWidth="1"/>
    <col min="133" max="133" width="14.109375" bestFit="1" customWidth="1"/>
    <col min="134" max="134" width="14" bestFit="1" customWidth="1"/>
    <col min="135" max="135" width="14.88671875" bestFit="1" customWidth="1"/>
    <col min="136" max="136" width="19.77734375" bestFit="1" customWidth="1"/>
    <col min="137" max="137" width="8.5546875" bestFit="1" customWidth="1"/>
    <col min="138" max="138" width="10.88671875" bestFit="1" customWidth="1"/>
    <col min="139" max="139" width="16" bestFit="1" customWidth="1"/>
    <col min="140" max="140" width="12.33203125" bestFit="1" customWidth="1"/>
    <col min="141" max="141" width="18.21875" bestFit="1" customWidth="1"/>
    <col min="142" max="142" width="19" bestFit="1" customWidth="1"/>
    <col min="143" max="143" width="13.5546875" bestFit="1" customWidth="1"/>
    <col min="144" max="144" width="14.6640625" bestFit="1" customWidth="1"/>
    <col min="145" max="145" width="23.6640625" bestFit="1" customWidth="1"/>
    <col min="146" max="146" width="12.21875" bestFit="1" customWidth="1"/>
    <col min="147" max="147" width="17" bestFit="1" customWidth="1"/>
    <col min="148" max="148" width="11.6640625" bestFit="1" customWidth="1"/>
    <col min="149" max="149" width="20.109375" bestFit="1" customWidth="1"/>
    <col min="150" max="150" width="14.109375" bestFit="1" customWidth="1"/>
    <col min="151" max="151" width="14" bestFit="1" customWidth="1"/>
    <col min="152" max="152" width="14.88671875" bestFit="1" customWidth="1"/>
    <col min="153" max="153" width="19.77734375" bestFit="1" customWidth="1"/>
    <col min="154" max="154" width="8.5546875" bestFit="1" customWidth="1"/>
    <col min="155" max="155" width="10.88671875" bestFit="1" customWidth="1"/>
    <col min="156" max="156" width="16" bestFit="1" customWidth="1"/>
    <col min="157" max="157" width="12.33203125" bestFit="1" customWidth="1"/>
    <col min="158" max="158" width="18.21875" bestFit="1" customWidth="1"/>
    <col min="159" max="159" width="19" bestFit="1" customWidth="1"/>
    <col min="160" max="160" width="13.5546875" bestFit="1" customWidth="1"/>
    <col min="161" max="161" width="14.6640625" bestFit="1" customWidth="1"/>
    <col min="162" max="162" width="23.6640625" bestFit="1" customWidth="1"/>
    <col min="163" max="163" width="12.21875" bestFit="1" customWidth="1"/>
    <col min="164" max="164" width="17" bestFit="1" customWidth="1"/>
    <col min="165" max="165" width="11.6640625" bestFit="1" customWidth="1"/>
    <col min="166" max="166" width="20.109375" bestFit="1" customWidth="1"/>
    <col min="167" max="167" width="14.109375" bestFit="1" customWidth="1"/>
    <col min="168" max="168" width="14" bestFit="1" customWidth="1"/>
    <col min="169" max="169" width="14.88671875" bestFit="1" customWidth="1"/>
    <col min="170" max="170" width="19.77734375" bestFit="1" customWidth="1"/>
    <col min="171" max="171" width="8.5546875" bestFit="1" customWidth="1"/>
    <col min="172" max="172" width="10.88671875" bestFit="1" customWidth="1"/>
    <col min="173" max="173" width="16" bestFit="1" customWidth="1"/>
    <col min="174" max="174" width="12.33203125" bestFit="1" customWidth="1"/>
    <col min="175" max="175" width="18.21875" bestFit="1" customWidth="1"/>
    <col min="176" max="176" width="19" bestFit="1" customWidth="1"/>
    <col min="177" max="177" width="13.5546875" bestFit="1" customWidth="1"/>
    <col min="178" max="178" width="14.6640625" bestFit="1" customWidth="1"/>
    <col min="179" max="179" width="23.6640625" bestFit="1" customWidth="1"/>
    <col min="180" max="180" width="12.21875" bestFit="1" customWidth="1"/>
    <col min="181" max="181" width="17" bestFit="1" customWidth="1"/>
    <col min="182" max="182" width="11.6640625" bestFit="1" customWidth="1"/>
    <col min="183" max="183" width="20.109375" bestFit="1" customWidth="1"/>
    <col min="184" max="184" width="14.109375" bestFit="1" customWidth="1"/>
    <col min="185" max="185" width="14" bestFit="1" customWidth="1"/>
    <col min="186" max="186" width="14.88671875" bestFit="1" customWidth="1"/>
    <col min="187" max="187" width="19.77734375" bestFit="1" customWidth="1"/>
    <col min="188" max="188" width="8.5546875" bestFit="1" customWidth="1"/>
    <col min="189" max="189" width="10.88671875" bestFit="1" customWidth="1"/>
    <col min="190" max="190" width="16" bestFit="1" customWidth="1"/>
    <col min="191" max="191" width="12.33203125" bestFit="1" customWidth="1"/>
    <col min="192" max="192" width="18.21875" bestFit="1" customWidth="1"/>
    <col min="193" max="193" width="19" bestFit="1" customWidth="1"/>
    <col min="194" max="194" width="13.5546875" bestFit="1" customWidth="1"/>
    <col min="195" max="195" width="14.6640625" bestFit="1" customWidth="1"/>
    <col min="196" max="196" width="23.6640625" bestFit="1" customWidth="1"/>
    <col min="197" max="197" width="12.21875" bestFit="1" customWidth="1"/>
    <col min="198" max="198" width="17" bestFit="1" customWidth="1"/>
    <col min="199" max="199" width="11.6640625" bestFit="1" customWidth="1"/>
    <col min="200" max="200" width="20.109375" bestFit="1" customWidth="1"/>
    <col min="201" max="201" width="14.109375" bestFit="1" customWidth="1"/>
    <col min="202" max="202" width="14" bestFit="1" customWidth="1"/>
    <col min="203" max="203" width="14.88671875" bestFit="1" customWidth="1"/>
    <col min="204" max="204" width="19.77734375" bestFit="1" customWidth="1"/>
    <col min="205" max="205" width="8.5546875" bestFit="1" customWidth="1"/>
    <col min="206" max="206" width="10.88671875" bestFit="1" customWidth="1"/>
    <col min="207" max="207" width="16" bestFit="1" customWidth="1"/>
    <col min="208" max="208" width="12.33203125" bestFit="1" customWidth="1"/>
    <col min="209" max="209" width="18.21875" bestFit="1" customWidth="1"/>
    <col min="210" max="210" width="19" bestFit="1" customWidth="1"/>
    <col min="211" max="211" width="13.5546875" bestFit="1" customWidth="1"/>
    <col min="212" max="212" width="14.6640625" bestFit="1" customWidth="1"/>
    <col min="213" max="213" width="23.6640625" bestFit="1" customWidth="1"/>
    <col min="214" max="214" width="12.21875" bestFit="1" customWidth="1"/>
    <col min="215" max="215" width="17" bestFit="1" customWidth="1"/>
    <col min="216" max="216" width="11.6640625" bestFit="1" customWidth="1"/>
    <col min="217" max="217" width="20.109375" bestFit="1" customWidth="1"/>
    <col min="218" max="218" width="14.109375" bestFit="1" customWidth="1"/>
    <col min="219" max="219" width="14" bestFit="1" customWidth="1"/>
    <col min="220" max="220" width="14.88671875" bestFit="1" customWidth="1"/>
    <col min="221" max="221" width="19.77734375" bestFit="1" customWidth="1"/>
    <col min="222" max="222" width="8.5546875" bestFit="1" customWidth="1"/>
    <col min="223" max="223" width="10.88671875" bestFit="1" customWidth="1"/>
    <col min="224" max="224" width="16" bestFit="1" customWidth="1"/>
    <col min="225" max="225" width="12.33203125" bestFit="1" customWidth="1"/>
    <col min="226" max="226" width="18.21875" bestFit="1" customWidth="1"/>
    <col min="227" max="227" width="19" bestFit="1" customWidth="1"/>
    <col min="228" max="228" width="13.5546875" bestFit="1" customWidth="1"/>
    <col min="229" max="229" width="14.6640625" bestFit="1" customWidth="1"/>
    <col min="230" max="230" width="23.6640625" bestFit="1" customWidth="1"/>
    <col min="231" max="231" width="12.21875" bestFit="1" customWidth="1"/>
    <col min="232" max="232" width="17" bestFit="1" customWidth="1"/>
    <col min="233" max="233" width="11.6640625" bestFit="1" customWidth="1"/>
    <col min="234" max="234" width="20.109375" bestFit="1" customWidth="1"/>
    <col min="235" max="235" width="14.109375" bestFit="1" customWidth="1"/>
    <col min="236" max="236" width="14" bestFit="1" customWidth="1"/>
    <col min="237" max="237" width="14.88671875" bestFit="1" customWidth="1"/>
    <col min="238" max="238" width="19.77734375" bestFit="1" customWidth="1"/>
    <col min="239" max="239" width="8.5546875" bestFit="1" customWidth="1"/>
    <col min="240" max="240" width="10.88671875" bestFit="1" customWidth="1"/>
    <col min="241" max="241" width="16" bestFit="1" customWidth="1"/>
    <col min="242" max="242" width="12.33203125" bestFit="1" customWidth="1"/>
    <col min="243" max="243" width="18.21875" bestFit="1" customWidth="1"/>
    <col min="244" max="244" width="19" bestFit="1" customWidth="1"/>
    <col min="245" max="245" width="13.5546875" bestFit="1" customWidth="1"/>
    <col min="246" max="246" width="14.6640625" bestFit="1" customWidth="1"/>
    <col min="247" max="247" width="23.6640625" bestFit="1" customWidth="1"/>
    <col min="248" max="248" width="12.21875" bestFit="1" customWidth="1"/>
    <col min="249" max="249" width="17" bestFit="1" customWidth="1"/>
    <col min="250" max="250" width="11.6640625" bestFit="1" customWidth="1"/>
    <col min="251" max="251" width="20.109375" bestFit="1" customWidth="1"/>
    <col min="252" max="252" width="14.109375" bestFit="1" customWidth="1"/>
    <col min="253" max="253" width="14" bestFit="1" customWidth="1"/>
    <col min="254" max="254" width="14.88671875" bestFit="1" customWidth="1"/>
    <col min="255" max="255" width="19.77734375" bestFit="1" customWidth="1"/>
    <col min="256" max="256" width="8.5546875" bestFit="1" customWidth="1"/>
    <col min="257" max="257" width="10.88671875" bestFit="1" customWidth="1"/>
    <col min="258" max="258" width="16" bestFit="1" customWidth="1"/>
    <col min="259" max="259" width="12.33203125" bestFit="1" customWidth="1"/>
    <col min="260" max="260" width="18.21875" bestFit="1" customWidth="1"/>
    <col min="261" max="261" width="19" bestFit="1" customWidth="1"/>
    <col min="262" max="262" width="13.5546875" bestFit="1" customWidth="1"/>
    <col min="263" max="263" width="14.6640625" bestFit="1" customWidth="1"/>
    <col min="264" max="264" width="23.6640625" bestFit="1" customWidth="1"/>
    <col min="265" max="265" width="12.21875" bestFit="1" customWidth="1"/>
    <col min="266" max="266" width="17" bestFit="1" customWidth="1"/>
    <col min="267" max="267" width="11.6640625" bestFit="1" customWidth="1"/>
    <col min="268" max="268" width="20.109375" bestFit="1" customWidth="1"/>
    <col min="269" max="269" width="14.109375" bestFit="1" customWidth="1"/>
    <col min="270" max="270" width="14" bestFit="1" customWidth="1"/>
    <col min="271" max="271" width="14.88671875" bestFit="1" customWidth="1"/>
    <col min="272" max="272" width="19.77734375" bestFit="1" customWidth="1"/>
    <col min="273" max="273" width="8.5546875" bestFit="1" customWidth="1"/>
    <col min="274" max="274" width="10.88671875" bestFit="1" customWidth="1"/>
    <col min="275" max="275" width="10.5546875" bestFit="1" customWidth="1"/>
  </cols>
  <sheetData>
    <row r="1" spans="1:7" ht="18" x14ac:dyDescent="0.35">
      <c r="A1" s="13"/>
      <c r="B1" s="23" t="s">
        <v>38</v>
      </c>
      <c r="C1" s="23"/>
      <c r="D1" s="23"/>
      <c r="E1" s="23"/>
      <c r="F1" s="23"/>
      <c r="G1" s="23"/>
    </row>
    <row r="2" spans="1:7" ht="18" x14ac:dyDescent="0.35">
      <c r="A2" s="13" t="s">
        <v>37</v>
      </c>
      <c r="B2" s="13" t="s">
        <v>2</v>
      </c>
      <c r="C2" s="13" t="s">
        <v>3</v>
      </c>
      <c r="D2" s="13" t="s">
        <v>4</v>
      </c>
      <c r="E2" s="13" t="s">
        <v>5</v>
      </c>
      <c r="F2" s="13" t="s">
        <v>6</v>
      </c>
      <c r="G2" s="13" t="s">
        <v>36</v>
      </c>
    </row>
    <row r="3" spans="1:7" ht="18" x14ac:dyDescent="0.35">
      <c r="A3" s="13" t="s">
        <v>33</v>
      </c>
      <c r="B3" s="13">
        <v>1836</v>
      </c>
      <c r="C3" s="13">
        <v>2295</v>
      </c>
      <c r="D3" s="13">
        <v>2808</v>
      </c>
      <c r="E3" s="13">
        <v>2997</v>
      </c>
      <c r="F3" s="13">
        <v>3132</v>
      </c>
      <c r="G3" s="14">
        <v>0.20601670563280833</v>
      </c>
    </row>
    <row r="4" spans="1:7" ht="18" x14ac:dyDescent="0.35">
      <c r="A4" s="13" t="s">
        <v>20</v>
      </c>
      <c r="B4" s="13">
        <v>680</v>
      </c>
      <c r="C4" s="13">
        <v>790</v>
      </c>
      <c r="D4" s="13">
        <v>870</v>
      </c>
      <c r="E4" s="13">
        <v>1050</v>
      </c>
      <c r="F4" s="13">
        <v>1040</v>
      </c>
      <c r="G4" s="14">
        <v>0.18069268910864691</v>
      </c>
    </row>
    <row r="5" spans="1:7" ht="18" x14ac:dyDescent="0.35">
      <c r="A5" s="13" t="s">
        <v>35</v>
      </c>
      <c r="B5" s="13">
        <v>1690</v>
      </c>
      <c r="C5" s="13">
        <v>1846</v>
      </c>
      <c r="D5" s="13">
        <v>2366</v>
      </c>
      <c r="E5" s="13">
        <v>2444</v>
      </c>
      <c r="F5" s="13">
        <v>2496</v>
      </c>
      <c r="G5" s="14">
        <v>0.17180208258591922</v>
      </c>
    </row>
    <row r="6" spans="1:7" ht="18" x14ac:dyDescent="0.35">
      <c r="A6" s="13" t="s">
        <v>26</v>
      </c>
      <c r="B6" s="13">
        <v>2146</v>
      </c>
      <c r="C6" s="13">
        <v>2523</v>
      </c>
      <c r="D6" s="13">
        <v>2900</v>
      </c>
      <c r="E6" s="13">
        <v>3103</v>
      </c>
      <c r="F6" s="13">
        <v>3306</v>
      </c>
      <c r="G6" s="14">
        <v>0.16607232629695171</v>
      </c>
    </row>
    <row r="7" spans="1:7" ht="18" x14ac:dyDescent="0.35">
      <c r="A7" s="13" t="s">
        <v>22</v>
      </c>
      <c r="B7" s="13">
        <v>5022</v>
      </c>
      <c r="C7" s="13">
        <v>5518</v>
      </c>
      <c r="D7" s="13">
        <v>6200</v>
      </c>
      <c r="E7" s="13">
        <v>6944</v>
      </c>
      <c r="F7" s="13">
        <v>6944</v>
      </c>
      <c r="G7" s="14">
        <v>0.13977142790246158</v>
      </c>
    </row>
    <row r="8" spans="1:7" ht="18" x14ac:dyDescent="0.35">
      <c r="A8" s="13" t="s">
        <v>29</v>
      </c>
      <c r="B8" s="13">
        <v>2324</v>
      </c>
      <c r="C8" s="13">
        <v>2548</v>
      </c>
      <c r="D8" s="13">
        <v>3024</v>
      </c>
      <c r="E8" s="13">
        <v>3024</v>
      </c>
      <c r="F8" s="13">
        <v>3192</v>
      </c>
      <c r="G8" s="14">
        <v>0.13037239286507585</v>
      </c>
    </row>
    <row r="9" spans="1:7" ht="18" x14ac:dyDescent="0.35">
      <c r="A9" s="13" t="s">
        <v>32</v>
      </c>
      <c r="B9" s="13">
        <v>924</v>
      </c>
      <c r="C9" s="13">
        <v>1106</v>
      </c>
      <c r="D9" s="13">
        <v>1232</v>
      </c>
      <c r="E9" s="13">
        <v>1274</v>
      </c>
      <c r="F9" s="13">
        <v>1274</v>
      </c>
      <c r="G9" s="14">
        <v>0.12892129252429335</v>
      </c>
    </row>
    <row r="10" spans="1:7" ht="18" x14ac:dyDescent="0.35">
      <c r="A10" s="13" t="s">
        <v>23</v>
      </c>
      <c r="B10" s="13">
        <v>4745</v>
      </c>
      <c r="C10" s="13">
        <v>5135</v>
      </c>
      <c r="D10" s="13">
        <v>5655</v>
      </c>
      <c r="E10" s="13">
        <v>6240</v>
      </c>
      <c r="F10" s="13">
        <v>6435</v>
      </c>
      <c r="G10" s="14">
        <v>0.12683280133200814</v>
      </c>
    </row>
    <row r="11" spans="1:7" ht="18" x14ac:dyDescent="0.35">
      <c r="A11" s="13" t="s">
        <v>25</v>
      </c>
      <c r="B11" s="13">
        <v>1280</v>
      </c>
      <c r="C11" s="13">
        <v>1264</v>
      </c>
      <c r="D11" s="13">
        <v>1600</v>
      </c>
      <c r="E11" s="13">
        <v>1600</v>
      </c>
      <c r="F11" s="13">
        <v>1616</v>
      </c>
      <c r="G11" s="14">
        <v>0.12417021368256373</v>
      </c>
    </row>
    <row r="12" spans="1:7" ht="18" x14ac:dyDescent="0.35">
      <c r="A12" s="13" t="s">
        <v>19</v>
      </c>
      <c r="B12" s="13">
        <v>1700</v>
      </c>
      <c r="C12" s="13">
        <v>1700</v>
      </c>
      <c r="D12" s="13">
        <v>1975</v>
      </c>
      <c r="E12" s="13">
        <v>2050</v>
      </c>
      <c r="F12" s="13">
        <v>2250</v>
      </c>
      <c r="G12" s="14">
        <v>0.12243263814451817</v>
      </c>
    </row>
    <row r="13" spans="1:7" ht="18" x14ac:dyDescent="0.35">
      <c r="A13" s="13" t="s">
        <v>34</v>
      </c>
      <c r="B13" s="13">
        <v>1848</v>
      </c>
      <c r="C13" s="13">
        <v>2046</v>
      </c>
      <c r="D13" s="13">
        <v>2288</v>
      </c>
      <c r="E13" s="13">
        <v>2398</v>
      </c>
      <c r="F13" s="13">
        <v>2486</v>
      </c>
      <c r="G13" s="14">
        <v>0.11857809509699144</v>
      </c>
    </row>
    <row r="14" spans="1:7" ht="18" x14ac:dyDescent="0.35">
      <c r="A14" s="13" t="s">
        <v>31</v>
      </c>
      <c r="B14" s="13">
        <v>5022</v>
      </c>
      <c r="C14" s="13">
        <v>5084</v>
      </c>
      <c r="D14" s="13">
        <v>5952</v>
      </c>
      <c r="E14" s="13">
        <v>6200</v>
      </c>
      <c r="F14" s="13">
        <v>6324</v>
      </c>
      <c r="G14" s="14">
        <v>0.10856827554223168</v>
      </c>
    </row>
    <row r="15" spans="1:7" ht="18" x14ac:dyDescent="0.35">
      <c r="A15" s="13" t="s">
        <v>21</v>
      </c>
      <c r="B15" s="13">
        <v>1742</v>
      </c>
      <c r="C15" s="13">
        <v>1820</v>
      </c>
      <c r="D15" s="13">
        <v>2184</v>
      </c>
      <c r="E15" s="13">
        <v>2184</v>
      </c>
      <c r="F15" s="13">
        <v>2158</v>
      </c>
      <c r="G15" s="14">
        <v>0.10804780317657002</v>
      </c>
    </row>
    <row r="16" spans="1:7" ht="18" x14ac:dyDescent="0.35">
      <c r="A16" s="13" t="s">
        <v>24</v>
      </c>
      <c r="B16" s="13">
        <v>1027</v>
      </c>
      <c r="C16" s="13">
        <v>1027</v>
      </c>
      <c r="D16" s="13">
        <v>1248</v>
      </c>
      <c r="E16" s="13">
        <v>1196</v>
      </c>
      <c r="F16" s="13">
        <v>1235</v>
      </c>
      <c r="G16" s="14">
        <v>9.6671536268898892E-2</v>
      </c>
    </row>
    <row r="17" spans="1:7" ht="18" x14ac:dyDescent="0.35">
      <c r="A17" s="13" t="s">
        <v>28</v>
      </c>
      <c r="B17" s="13">
        <v>5676</v>
      </c>
      <c r="C17" s="13">
        <v>6534</v>
      </c>
      <c r="D17" s="13">
        <v>7128</v>
      </c>
      <c r="E17" s="13">
        <v>7128</v>
      </c>
      <c r="F17" s="13">
        <v>6732</v>
      </c>
      <c r="G17" s="14">
        <v>8.9903928863578619E-2</v>
      </c>
    </row>
    <row r="18" spans="1:7" ht="18" x14ac:dyDescent="0.35">
      <c r="A18" s="13" t="s">
        <v>30</v>
      </c>
      <c r="B18" s="13">
        <v>5250</v>
      </c>
      <c r="C18" s="13">
        <v>5775</v>
      </c>
      <c r="D18" s="13">
        <v>6525</v>
      </c>
      <c r="E18" s="13">
        <v>6450</v>
      </c>
      <c r="F18" s="13">
        <v>6075</v>
      </c>
      <c r="G18" s="14">
        <v>8.7014196121535672E-2</v>
      </c>
    </row>
    <row r="19" spans="1:7" ht="18" x14ac:dyDescent="0.35">
      <c r="A19" s="13" t="s">
        <v>27</v>
      </c>
      <c r="B19" s="13">
        <v>2100</v>
      </c>
      <c r="C19" s="13">
        <v>2300</v>
      </c>
      <c r="D19" s="13">
        <v>2450</v>
      </c>
      <c r="E19" s="13">
        <v>2375</v>
      </c>
      <c r="F19" s="13">
        <v>2525</v>
      </c>
      <c r="G19" s="14">
        <v>6.9353217076623924E-2</v>
      </c>
    </row>
  </sheetData>
  <mergeCells count="1">
    <mergeCell ref="B1:G1"/>
  </mergeCells>
  <conditionalFormatting sqref="A3:A19">
    <cfRule type="expression" dxfId="1" priority="2">
      <formula>$G3&gt;=LARGE($G$3:$G$19,3)</formula>
    </cfRule>
    <cfRule type="top10" dxfId="0" priority="3" rank="3"/>
  </conditionalFormatting>
  <conditionalFormatting sqref="G3:G19">
    <cfRule type="colorScale" priority="1">
      <colorScale>
        <cfvo type="min"/>
        <cfvo type="percentile" val="50"/>
        <cfvo type="max"/>
        <color rgb="FFF8696B"/>
        <color rgb="FFFFEB84"/>
        <color rgb="FF63BE7B"/>
      </colorScale>
    </cfRule>
  </conditionalFormatting>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5A0E2-7414-4A4B-8E4B-A43A206452CC}">
  <dimension ref="A1:C18"/>
  <sheetViews>
    <sheetView showGridLines="0" workbookViewId="0">
      <selection activeCell="U10" sqref="U10"/>
    </sheetView>
  </sheetViews>
  <sheetFormatPr defaultRowHeight="14.4" x14ac:dyDescent="0.3"/>
  <cols>
    <col min="1" max="1" width="12.44140625" style="17" bestFit="1" customWidth="1"/>
    <col min="2" max="2" width="6.5546875" style="17" bestFit="1" customWidth="1"/>
    <col min="3" max="3" width="8.77734375" style="17" bestFit="1" customWidth="1"/>
    <col min="4" max="16384" width="8.88671875" style="17"/>
  </cols>
  <sheetData>
    <row r="1" spans="1:3" ht="15.6" x14ac:dyDescent="0.3">
      <c r="A1" s="19" t="s">
        <v>0</v>
      </c>
      <c r="B1" s="19" t="s">
        <v>57</v>
      </c>
      <c r="C1" s="19" t="s">
        <v>56</v>
      </c>
    </row>
    <row r="2" spans="1:3" ht="15.6" x14ac:dyDescent="0.3">
      <c r="A2" s="20" t="s">
        <v>40</v>
      </c>
      <c r="B2" s="19">
        <v>65010</v>
      </c>
      <c r="C2" s="21">
        <v>0.1266969913118722</v>
      </c>
    </row>
    <row r="3" spans="1:3" ht="15.6" x14ac:dyDescent="0.3">
      <c r="A3" s="20" t="s">
        <v>49</v>
      </c>
      <c r="B3" s="19">
        <v>60825</v>
      </c>
      <c r="C3" s="21">
        <v>0.24523790034962992</v>
      </c>
    </row>
    <row r="4" spans="1:3" ht="15.6" x14ac:dyDescent="0.3">
      <c r="A4" s="20" t="s">
        <v>46</v>
      </c>
      <c r="B4" s="19">
        <v>57980</v>
      </c>
      <c r="C4" s="21">
        <v>0.35823423254871239</v>
      </c>
    </row>
    <row r="5" spans="1:3" ht="15.6" x14ac:dyDescent="0.3">
      <c r="A5" s="20" t="s">
        <v>44</v>
      </c>
      <c r="B5" s="19">
        <v>56606</v>
      </c>
      <c r="C5" s="21">
        <v>0.46855279723414289</v>
      </c>
    </row>
    <row r="6" spans="1:3" ht="15.6" x14ac:dyDescent="0.3">
      <c r="A6" s="20" t="s">
        <v>45</v>
      </c>
      <c r="B6" s="19">
        <v>55738</v>
      </c>
      <c r="C6" s="21">
        <v>0.57717973004049783</v>
      </c>
    </row>
    <row r="7" spans="1:3" ht="15.6" x14ac:dyDescent="0.3">
      <c r="A7" s="20" t="s">
        <v>41</v>
      </c>
      <c r="B7" s="19">
        <v>26908</v>
      </c>
      <c r="C7" s="21">
        <v>0.62962031829184162</v>
      </c>
    </row>
    <row r="8" spans="1:3" ht="15.6" x14ac:dyDescent="0.3">
      <c r="A8" s="20" t="s">
        <v>43</v>
      </c>
      <c r="B8" s="19">
        <v>23350</v>
      </c>
      <c r="C8" s="21">
        <v>0.67512677494669804</v>
      </c>
    </row>
    <row r="9" spans="1:3" ht="15.6" x14ac:dyDescent="0.3">
      <c r="A9" s="20" t="s">
        <v>39</v>
      </c>
      <c r="B9" s="19">
        <v>22352</v>
      </c>
      <c r="C9" s="21">
        <v>0.71868824471754811</v>
      </c>
    </row>
    <row r="10" spans="1:3" ht="15.6" x14ac:dyDescent="0.3">
      <c r="A10" s="20" t="s">
        <v>50</v>
      </c>
      <c r="B10" s="19">
        <v>20852</v>
      </c>
      <c r="C10" s="21">
        <v>0.75932638750842896</v>
      </c>
    </row>
    <row r="11" spans="1:3" ht="15.6" x14ac:dyDescent="0.3">
      <c r="A11" s="20" t="s">
        <v>53</v>
      </c>
      <c r="B11" s="19">
        <v>20503</v>
      </c>
      <c r="C11" s="21">
        <v>0.79928436955530346</v>
      </c>
    </row>
    <row r="12" spans="1:3" ht="15.6" x14ac:dyDescent="0.3">
      <c r="A12" s="20" t="s">
        <v>51</v>
      </c>
      <c r="B12" s="19">
        <v>20254</v>
      </c>
      <c r="C12" s="21">
        <v>0.83875707932350319</v>
      </c>
    </row>
    <row r="13" spans="1:3" ht="15.6" x14ac:dyDescent="0.3">
      <c r="A13" s="20" t="s">
        <v>52</v>
      </c>
      <c r="B13" s="19">
        <v>18925</v>
      </c>
      <c r="C13" s="21">
        <v>0.87563972138744994</v>
      </c>
    </row>
    <row r="14" spans="1:3" ht="15.6" x14ac:dyDescent="0.3">
      <c r="A14" s="20" t="s">
        <v>54</v>
      </c>
      <c r="B14" s="19">
        <v>18630</v>
      </c>
      <c r="C14" s="21">
        <v>0.91194744247866943</v>
      </c>
    </row>
    <row r="15" spans="1:3" ht="15.6" x14ac:dyDescent="0.3">
      <c r="A15" s="20" t="s">
        <v>42</v>
      </c>
      <c r="B15" s="19">
        <v>15152</v>
      </c>
      <c r="C15" s="21">
        <v>0.94147694274566662</v>
      </c>
    </row>
    <row r="16" spans="1:3" ht="15.6" x14ac:dyDescent="0.3">
      <c r="A16" s="20" t="s">
        <v>48</v>
      </c>
      <c r="B16" s="19">
        <v>11928</v>
      </c>
      <c r="C16" s="21">
        <v>0.96472323889038303</v>
      </c>
    </row>
    <row r="17" spans="1:3" ht="15.6" x14ac:dyDescent="0.3">
      <c r="A17" s="20" t="s">
        <v>47</v>
      </c>
      <c r="B17" s="19">
        <v>11401</v>
      </c>
      <c r="C17" s="21">
        <v>0.98694247282280356</v>
      </c>
    </row>
    <row r="18" spans="1:3" ht="15.6" x14ac:dyDescent="0.3">
      <c r="A18" s="20" t="s">
        <v>55</v>
      </c>
      <c r="B18" s="19">
        <v>6700</v>
      </c>
      <c r="C18" s="21">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0F31B-971D-40C8-BA7E-3A51244ADB8B}">
  <dimension ref="A1:F1946"/>
  <sheetViews>
    <sheetView workbookViewId="0">
      <selection activeCell="B3" sqref="B3"/>
    </sheetView>
  </sheetViews>
  <sheetFormatPr defaultRowHeight="14.4" x14ac:dyDescent="0.3"/>
  <cols>
    <col min="1" max="1" width="26" bestFit="1" customWidth="1"/>
    <col min="2" max="2" width="22.88671875" bestFit="1" customWidth="1"/>
    <col min="3" max="3" width="15.109375" bestFit="1" customWidth="1"/>
    <col min="4" max="4" width="16" bestFit="1" customWidth="1"/>
    <col min="5" max="19" width="15.109375" bestFit="1" customWidth="1"/>
  </cols>
  <sheetData>
    <row r="1" spans="1:6" x14ac:dyDescent="0.3">
      <c r="A1" s="1" t="s">
        <v>1030</v>
      </c>
      <c r="B1" s="1" t="s">
        <v>1031</v>
      </c>
      <c r="C1" t="s">
        <v>1032</v>
      </c>
      <c r="D1" t="s">
        <v>1033</v>
      </c>
      <c r="F1" t="s">
        <v>1034</v>
      </c>
    </row>
    <row r="2" spans="1:6" x14ac:dyDescent="0.3">
      <c r="A2" t="s">
        <v>58</v>
      </c>
      <c r="B2" t="s">
        <v>22</v>
      </c>
      <c r="C2" s="18">
        <v>44725</v>
      </c>
      <c r="D2">
        <v>62</v>
      </c>
    </row>
    <row r="3" spans="1:6" x14ac:dyDescent="0.3">
      <c r="A3" t="s">
        <v>58</v>
      </c>
      <c r="B3" t="s">
        <v>27</v>
      </c>
      <c r="C3" s="18">
        <v>45009</v>
      </c>
      <c r="D3">
        <v>25</v>
      </c>
    </row>
    <row r="4" spans="1:6" x14ac:dyDescent="0.3">
      <c r="A4" t="s">
        <v>59</v>
      </c>
      <c r="B4" t="s">
        <v>19</v>
      </c>
      <c r="C4" s="18">
        <v>44943</v>
      </c>
      <c r="D4">
        <v>25</v>
      </c>
    </row>
    <row r="5" spans="1:6" x14ac:dyDescent="0.3">
      <c r="A5" t="s">
        <v>59</v>
      </c>
      <c r="B5" t="s">
        <v>25</v>
      </c>
      <c r="C5" s="18">
        <v>44798</v>
      </c>
      <c r="D5">
        <v>16</v>
      </c>
    </row>
    <row r="6" spans="1:6" x14ac:dyDescent="0.3">
      <c r="A6" t="s">
        <v>60</v>
      </c>
      <c r="B6" t="s">
        <v>26</v>
      </c>
      <c r="C6" s="18">
        <v>44921</v>
      </c>
      <c r="D6">
        <v>29</v>
      </c>
    </row>
    <row r="7" spans="1:6" x14ac:dyDescent="0.3">
      <c r="A7" t="s">
        <v>60</v>
      </c>
      <c r="B7" t="s">
        <v>33</v>
      </c>
      <c r="C7" s="18">
        <v>44992</v>
      </c>
      <c r="D7">
        <v>27</v>
      </c>
    </row>
    <row r="8" spans="1:6" x14ac:dyDescent="0.3">
      <c r="A8" t="s">
        <v>61</v>
      </c>
      <c r="B8" t="s">
        <v>28</v>
      </c>
      <c r="C8" s="18">
        <v>44576</v>
      </c>
      <c r="D8">
        <v>66</v>
      </c>
    </row>
    <row r="9" spans="1:6" x14ac:dyDescent="0.3">
      <c r="A9" t="s">
        <v>61</v>
      </c>
      <c r="B9" t="s">
        <v>21</v>
      </c>
      <c r="C9" s="18">
        <v>44961</v>
      </c>
      <c r="D9">
        <v>26</v>
      </c>
    </row>
    <row r="10" spans="1:6" x14ac:dyDescent="0.3">
      <c r="A10" t="s">
        <v>62</v>
      </c>
      <c r="B10" t="s">
        <v>28</v>
      </c>
      <c r="C10" s="18">
        <v>44589</v>
      </c>
      <c r="D10">
        <v>66</v>
      </c>
    </row>
    <row r="11" spans="1:6" x14ac:dyDescent="0.3">
      <c r="A11" t="s">
        <v>62</v>
      </c>
      <c r="B11" t="s">
        <v>19</v>
      </c>
      <c r="C11" s="18">
        <v>44717</v>
      </c>
      <c r="D11">
        <v>25</v>
      </c>
    </row>
    <row r="12" spans="1:6" x14ac:dyDescent="0.3">
      <c r="A12" t="s">
        <v>63</v>
      </c>
      <c r="B12" t="s">
        <v>32</v>
      </c>
      <c r="C12" s="18">
        <v>44905</v>
      </c>
      <c r="D12">
        <v>14</v>
      </c>
    </row>
    <row r="13" spans="1:6" x14ac:dyDescent="0.3">
      <c r="A13" t="s">
        <v>64</v>
      </c>
      <c r="B13" t="s">
        <v>19</v>
      </c>
      <c r="C13" s="18">
        <v>44586</v>
      </c>
      <c r="D13">
        <v>25</v>
      </c>
    </row>
    <row r="14" spans="1:6" x14ac:dyDescent="0.3">
      <c r="A14" t="s">
        <v>64</v>
      </c>
      <c r="B14" t="s">
        <v>34</v>
      </c>
      <c r="C14" s="18">
        <v>44920</v>
      </c>
      <c r="D14">
        <v>22</v>
      </c>
    </row>
    <row r="15" spans="1:6" x14ac:dyDescent="0.3">
      <c r="A15" t="s">
        <v>65</v>
      </c>
      <c r="B15" t="s">
        <v>20</v>
      </c>
      <c r="C15" s="18">
        <v>44799</v>
      </c>
      <c r="D15">
        <v>10</v>
      </c>
    </row>
    <row r="16" spans="1:6" x14ac:dyDescent="0.3">
      <c r="A16" t="s">
        <v>66</v>
      </c>
      <c r="B16" t="s">
        <v>31</v>
      </c>
      <c r="C16" s="18">
        <v>44706</v>
      </c>
      <c r="D16">
        <v>62</v>
      </c>
    </row>
    <row r="17" spans="1:4" x14ac:dyDescent="0.3">
      <c r="A17" t="s">
        <v>66</v>
      </c>
      <c r="B17" t="s">
        <v>29</v>
      </c>
      <c r="C17" s="18">
        <v>44649</v>
      </c>
      <c r="D17">
        <v>28</v>
      </c>
    </row>
    <row r="18" spans="1:4" x14ac:dyDescent="0.3">
      <c r="A18" t="s">
        <v>67</v>
      </c>
      <c r="B18" t="s">
        <v>23</v>
      </c>
      <c r="C18" s="18">
        <v>44677</v>
      </c>
      <c r="D18">
        <v>65</v>
      </c>
    </row>
    <row r="19" spans="1:4" x14ac:dyDescent="0.3">
      <c r="A19" t="s">
        <v>67</v>
      </c>
      <c r="B19" t="s">
        <v>22</v>
      </c>
      <c r="C19" s="18">
        <v>44853</v>
      </c>
      <c r="D19">
        <v>62</v>
      </c>
    </row>
    <row r="20" spans="1:4" x14ac:dyDescent="0.3">
      <c r="A20" t="s">
        <v>68</v>
      </c>
      <c r="B20" t="s">
        <v>30</v>
      </c>
      <c r="C20" s="18">
        <v>44879</v>
      </c>
      <c r="D20">
        <v>75</v>
      </c>
    </row>
    <row r="21" spans="1:4" x14ac:dyDescent="0.3">
      <c r="A21" t="s">
        <v>68</v>
      </c>
      <c r="B21" t="s">
        <v>33</v>
      </c>
      <c r="C21" s="18">
        <v>44915</v>
      </c>
      <c r="D21">
        <v>27</v>
      </c>
    </row>
    <row r="22" spans="1:4" x14ac:dyDescent="0.3">
      <c r="A22" t="s">
        <v>69</v>
      </c>
      <c r="B22" t="s">
        <v>28</v>
      </c>
      <c r="C22" s="18">
        <v>44825</v>
      </c>
      <c r="D22">
        <v>66</v>
      </c>
    </row>
    <row r="23" spans="1:4" x14ac:dyDescent="0.3">
      <c r="A23" t="s">
        <v>69</v>
      </c>
      <c r="B23" t="s">
        <v>19</v>
      </c>
      <c r="C23" s="18">
        <v>44757</v>
      </c>
      <c r="D23">
        <v>25</v>
      </c>
    </row>
    <row r="24" spans="1:4" x14ac:dyDescent="0.3">
      <c r="A24" t="s">
        <v>70</v>
      </c>
      <c r="B24" t="s">
        <v>22</v>
      </c>
      <c r="C24" s="18">
        <v>44684</v>
      </c>
      <c r="D24">
        <v>62</v>
      </c>
    </row>
    <row r="25" spans="1:4" x14ac:dyDescent="0.3">
      <c r="A25" t="s">
        <v>70</v>
      </c>
      <c r="B25" t="s">
        <v>26</v>
      </c>
      <c r="C25" s="18">
        <v>45004</v>
      </c>
      <c r="D25">
        <v>29</v>
      </c>
    </row>
    <row r="26" spans="1:4" x14ac:dyDescent="0.3">
      <c r="A26" t="s">
        <v>71</v>
      </c>
      <c r="B26" t="s">
        <v>28</v>
      </c>
      <c r="C26" s="18">
        <v>44746</v>
      </c>
      <c r="D26">
        <v>66</v>
      </c>
    </row>
    <row r="27" spans="1:4" x14ac:dyDescent="0.3">
      <c r="A27" t="s">
        <v>71</v>
      </c>
      <c r="B27" t="s">
        <v>26</v>
      </c>
      <c r="C27" s="18">
        <v>44774</v>
      </c>
      <c r="D27">
        <v>29</v>
      </c>
    </row>
    <row r="28" spans="1:4" x14ac:dyDescent="0.3">
      <c r="A28" t="s">
        <v>71</v>
      </c>
      <c r="B28" t="s">
        <v>25</v>
      </c>
      <c r="C28" s="18">
        <v>44828</v>
      </c>
      <c r="D28">
        <v>16</v>
      </c>
    </row>
    <row r="29" spans="1:4" x14ac:dyDescent="0.3">
      <c r="A29" t="s">
        <v>72</v>
      </c>
      <c r="B29" t="s">
        <v>31</v>
      </c>
      <c r="C29" s="18">
        <v>44583</v>
      </c>
      <c r="D29">
        <v>62</v>
      </c>
    </row>
    <row r="30" spans="1:4" x14ac:dyDescent="0.3">
      <c r="A30" t="s">
        <v>72</v>
      </c>
      <c r="B30" t="s">
        <v>27</v>
      </c>
      <c r="C30" s="18">
        <v>44994</v>
      </c>
      <c r="D30">
        <v>25</v>
      </c>
    </row>
    <row r="31" spans="1:4" x14ac:dyDescent="0.3">
      <c r="A31" t="s">
        <v>72</v>
      </c>
      <c r="B31" t="s">
        <v>32</v>
      </c>
      <c r="C31" s="18">
        <v>44562</v>
      </c>
      <c r="D31">
        <v>14</v>
      </c>
    </row>
    <row r="32" spans="1:4" x14ac:dyDescent="0.3">
      <c r="A32" t="s">
        <v>73</v>
      </c>
      <c r="B32" t="s">
        <v>34</v>
      </c>
      <c r="C32" s="18">
        <v>44654</v>
      </c>
      <c r="D32">
        <v>22</v>
      </c>
    </row>
    <row r="33" spans="1:4" x14ac:dyDescent="0.3">
      <c r="A33" t="s">
        <v>73</v>
      </c>
      <c r="B33" t="s">
        <v>20</v>
      </c>
      <c r="C33" s="18">
        <v>44772</v>
      </c>
      <c r="D33">
        <v>10</v>
      </c>
    </row>
    <row r="34" spans="1:4" x14ac:dyDescent="0.3">
      <c r="A34" t="s">
        <v>74</v>
      </c>
      <c r="B34" t="s">
        <v>28</v>
      </c>
      <c r="C34" s="18">
        <v>44750</v>
      </c>
      <c r="D34">
        <v>66</v>
      </c>
    </row>
    <row r="35" spans="1:4" x14ac:dyDescent="0.3">
      <c r="A35" t="s">
        <v>74</v>
      </c>
      <c r="B35" t="s">
        <v>25</v>
      </c>
      <c r="C35" s="18">
        <v>44796</v>
      </c>
      <c r="D35">
        <v>16</v>
      </c>
    </row>
    <row r="36" spans="1:4" x14ac:dyDescent="0.3">
      <c r="A36" t="s">
        <v>75</v>
      </c>
      <c r="B36" t="s">
        <v>31</v>
      </c>
      <c r="C36" s="18">
        <v>44770</v>
      </c>
      <c r="D36">
        <v>62</v>
      </c>
    </row>
    <row r="37" spans="1:4" x14ac:dyDescent="0.3">
      <c r="A37" t="s">
        <v>75</v>
      </c>
      <c r="B37" t="s">
        <v>34</v>
      </c>
      <c r="C37" s="18">
        <v>44579</v>
      </c>
      <c r="D37">
        <v>22</v>
      </c>
    </row>
    <row r="38" spans="1:4" x14ac:dyDescent="0.3">
      <c r="A38" t="s">
        <v>76</v>
      </c>
      <c r="B38" t="s">
        <v>22</v>
      </c>
      <c r="C38" s="18">
        <v>44793</v>
      </c>
      <c r="D38">
        <v>62</v>
      </c>
    </row>
    <row r="39" spans="1:4" x14ac:dyDescent="0.3">
      <c r="A39" t="s">
        <v>76</v>
      </c>
      <c r="B39" t="s">
        <v>29</v>
      </c>
      <c r="C39" s="18">
        <v>44904</v>
      </c>
      <c r="D39">
        <v>28</v>
      </c>
    </row>
    <row r="40" spans="1:4" x14ac:dyDescent="0.3">
      <c r="A40" t="s">
        <v>77</v>
      </c>
      <c r="B40" t="s">
        <v>35</v>
      </c>
      <c r="C40" s="18">
        <v>44669</v>
      </c>
      <c r="D40">
        <v>26</v>
      </c>
    </row>
    <row r="41" spans="1:4" x14ac:dyDescent="0.3">
      <c r="A41" t="s">
        <v>77</v>
      </c>
      <c r="B41" t="s">
        <v>32</v>
      </c>
      <c r="C41" s="18">
        <v>44741</v>
      </c>
      <c r="D41">
        <v>14</v>
      </c>
    </row>
    <row r="42" spans="1:4" x14ac:dyDescent="0.3">
      <c r="A42" t="s">
        <v>78</v>
      </c>
      <c r="B42" t="s">
        <v>28</v>
      </c>
      <c r="C42" s="18">
        <v>44728</v>
      </c>
      <c r="D42">
        <v>66</v>
      </c>
    </row>
    <row r="43" spans="1:4" x14ac:dyDescent="0.3">
      <c r="A43" t="s">
        <v>78</v>
      </c>
      <c r="B43" t="s">
        <v>26</v>
      </c>
      <c r="C43" s="18">
        <v>44910</v>
      </c>
      <c r="D43">
        <v>29</v>
      </c>
    </row>
    <row r="44" spans="1:4" x14ac:dyDescent="0.3">
      <c r="A44" t="s">
        <v>79</v>
      </c>
      <c r="B44" t="s">
        <v>31</v>
      </c>
      <c r="C44" s="18">
        <v>44704</v>
      </c>
      <c r="D44">
        <v>62</v>
      </c>
    </row>
    <row r="45" spans="1:4" x14ac:dyDescent="0.3">
      <c r="A45" t="s">
        <v>79</v>
      </c>
      <c r="B45" t="s">
        <v>29</v>
      </c>
      <c r="C45" s="18">
        <v>44564</v>
      </c>
      <c r="D45">
        <v>28</v>
      </c>
    </row>
    <row r="46" spans="1:4" x14ac:dyDescent="0.3">
      <c r="A46" t="s">
        <v>80</v>
      </c>
      <c r="B46" t="s">
        <v>23</v>
      </c>
      <c r="C46" s="18">
        <v>45009</v>
      </c>
      <c r="D46">
        <v>65</v>
      </c>
    </row>
    <row r="47" spans="1:4" x14ac:dyDescent="0.3">
      <c r="A47" t="s">
        <v>80</v>
      </c>
      <c r="B47" t="s">
        <v>29</v>
      </c>
      <c r="C47" s="18">
        <v>44946</v>
      </c>
      <c r="D47">
        <v>28</v>
      </c>
    </row>
    <row r="48" spans="1:4" x14ac:dyDescent="0.3">
      <c r="A48" t="s">
        <v>80</v>
      </c>
      <c r="B48" t="s">
        <v>21</v>
      </c>
      <c r="C48" s="18">
        <v>44805</v>
      </c>
      <c r="D48">
        <v>26</v>
      </c>
    </row>
    <row r="49" spans="1:4" x14ac:dyDescent="0.3">
      <c r="A49" t="s">
        <v>81</v>
      </c>
      <c r="B49" t="s">
        <v>33</v>
      </c>
      <c r="C49" s="18">
        <v>44801</v>
      </c>
      <c r="D49">
        <v>27</v>
      </c>
    </row>
    <row r="50" spans="1:4" x14ac:dyDescent="0.3">
      <c r="A50" t="s">
        <v>81</v>
      </c>
      <c r="B50" t="s">
        <v>32</v>
      </c>
      <c r="C50" s="18">
        <v>44907</v>
      </c>
      <c r="D50">
        <v>14</v>
      </c>
    </row>
    <row r="51" spans="1:4" x14ac:dyDescent="0.3">
      <c r="A51" t="s">
        <v>82</v>
      </c>
      <c r="B51" t="s">
        <v>24</v>
      </c>
      <c r="C51" s="18">
        <v>44986</v>
      </c>
      <c r="D51">
        <v>13</v>
      </c>
    </row>
    <row r="52" spans="1:4" x14ac:dyDescent="0.3">
      <c r="A52" t="s">
        <v>82</v>
      </c>
      <c r="B52" t="s">
        <v>20</v>
      </c>
      <c r="C52" s="18">
        <v>44980</v>
      </c>
      <c r="D52">
        <v>10</v>
      </c>
    </row>
    <row r="53" spans="1:4" x14ac:dyDescent="0.3">
      <c r="A53" t="s">
        <v>83</v>
      </c>
      <c r="B53" t="s">
        <v>23</v>
      </c>
      <c r="C53" s="18">
        <v>44671</v>
      </c>
      <c r="D53">
        <v>65</v>
      </c>
    </row>
    <row r="54" spans="1:4" x14ac:dyDescent="0.3">
      <c r="A54" t="s">
        <v>83</v>
      </c>
      <c r="B54" t="s">
        <v>21</v>
      </c>
      <c r="C54" s="18">
        <v>44579</v>
      </c>
      <c r="D54">
        <v>26</v>
      </c>
    </row>
    <row r="55" spans="1:4" x14ac:dyDescent="0.3">
      <c r="A55" t="s">
        <v>84</v>
      </c>
      <c r="B55" t="s">
        <v>23</v>
      </c>
      <c r="C55" s="18">
        <v>45006</v>
      </c>
      <c r="D55">
        <v>65</v>
      </c>
    </row>
    <row r="56" spans="1:4" x14ac:dyDescent="0.3">
      <c r="A56" t="s">
        <v>84</v>
      </c>
      <c r="B56" t="s">
        <v>19</v>
      </c>
      <c r="C56" s="18">
        <v>44707</v>
      </c>
      <c r="D56">
        <v>25</v>
      </c>
    </row>
    <row r="57" spans="1:4" x14ac:dyDescent="0.3">
      <c r="A57" t="s">
        <v>84</v>
      </c>
      <c r="B57" t="s">
        <v>24</v>
      </c>
      <c r="C57" s="18">
        <v>44713</v>
      </c>
      <c r="D57">
        <v>13</v>
      </c>
    </row>
    <row r="58" spans="1:4" x14ac:dyDescent="0.3">
      <c r="A58" t="s">
        <v>85</v>
      </c>
      <c r="B58" t="s">
        <v>19</v>
      </c>
      <c r="C58" s="18">
        <v>44584</v>
      </c>
      <c r="D58">
        <v>25</v>
      </c>
    </row>
    <row r="59" spans="1:4" x14ac:dyDescent="0.3">
      <c r="A59" t="s">
        <v>86</v>
      </c>
      <c r="B59" t="s">
        <v>34</v>
      </c>
      <c r="C59" s="18">
        <v>44905</v>
      </c>
      <c r="D59">
        <v>22</v>
      </c>
    </row>
    <row r="60" spans="1:4" x14ac:dyDescent="0.3">
      <c r="A60" t="s">
        <v>86</v>
      </c>
      <c r="B60" t="s">
        <v>32</v>
      </c>
      <c r="C60" s="18">
        <v>44918</v>
      </c>
      <c r="D60">
        <v>14</v>
      </c>
    </row>
    <row r="61" spans="1:4" x14ac:dyDescent="0.3">
      <c r="A61" t="s">
        <v>87</v>
      </c>
      <c r="B61" t="s">
        <v>28</v>
      </c>
      <c r="C61" s="18">
        <v>44822</v>
      </c>
      <c r="D61">
        <v>66</v>
      </c>
    </row>
    <row r="62" spans="1:4" x14ac:dyDescent="0.3">
      <c r="A62" t="s">
        <v>87</v>
      </c>
      <c r="B62" t="s">
        <v>31</v>
      </c>
      <c r="C62" s="18">
        <v>44710</v>
      </c>
      <c r="D62">
        <v>62</v>
      </c>
    </row>
    <row r="63" spans="1:4" x14ac:dyDescent="0.3">
      <c r="A63" t="s">
        <v>88</v>
      </c>
      <c r="B63" t="s">
        <v>29</v>
      </c>
      <c r="C63" s="18">
        <v>44643</v>
      </c>
      <c r="D63">
        <v>28</v>
      </c>
    </row>
    <row r="64" spans="1:4" x14ac:dyDescent="0.3">
      <c r="A64" t="s">
        <v>88</v>
      </c>
      <c r="B64" t="s">
        <v>24</v>
      </c>
      <c r="C64" s="18">
        <v>44724</v>
      </c>
      <c r="D64">
        <v>13</v>
      </c>
    </row>
    <row r="65" spans="1:4" x14ac:dyDescent="0.3">
      <c r="A65" t="s">
        <v>89</v>
      </c>
      <c r="B65" t="s">
        <v>19</v>
      </c>
      <c r="C65" s="18">
        <v>45007</v>
      </c>
      <c r="D65">
        <v>25</v>
      </c>
    </row>
    <row r="66" spans="1:4" x14ac:dyDescent="0.3">
      <c r="A66" t="s">
        <v>89</v>
      </c>
      <c r="B66" t="s">
        <v>25</v>
      </c>
      <c r="C66" s="18">
        <v>44653</v>
      </c>
      <c r="D66">
        <v>16</v>
      </c>
    </row>
    <row r="67" spans="1:4" x14ac:dyDescent="0.3">
      <c r="A67" t="s">
        <v>90</v>
      </c>
      <c r="B67" t="s">
        <v>30</v>
      </c>
      <c r="C67" s="18">
        <v>44796</v>
      </c>
      <c r="D67">
        <v>75</v>
      </c>
    </row>
    <row r="68" spans="1:4" x14ac:dyDescent="0.3">
      <c r="A68" t="s">
        <v>90</v>
      </c>
      <c r="B68" t="s">
        <v>21</v>
      </c>
      <c r="C68" s="18">
        <v>44924</v>
      </c>
      <c r="D68">
        <v>26</v>
      </c>
    </row>
    <row r="69" spans="1:4" x14ac:dyDescent="0.3">
      <c r="A69" t="s">
        <v>91</v>
      </c>
      <c r="B69" t="s">
        <v>33</v>
      </c>
      <c r="C69" s="18">
        <v>44895</v>
      </c>
      <c r="D69">
        <v>27</v>
      </c>
    </row>
    <row r="70" spans="1:4" x14ac:dyDescent="0.3">
      <c r="A70" t="s">
        <v>91</v>
      </c>
      <c r="B70" t="s">
        <v>27</v>
      </c>
      <c r="C70" s="18">
        <v>44902</v>
      </c>
      <c r="D70">
        <v>25</v>
      </c>
    </row>
    <row r="71" spans="1:4" x14ac:dyDescent="0.3">
      <c r="A71" t="s">
        <v>92</v>
      </c>
      <c r="B71" t="s">
        <v>30</v>
      </c>
      <c r="C71" s="18">
        <v>44692</v>
      </c>
      <c r="D71">
        <v>75</v>
      </c>
    </row>
    <row r="72" spans="1:4" x14ac:dyDescent="0.3">
      <c r="A72" t="s">
        <v>92</v>
      </c>
      <c r="B72" t="s">
        <v>22</v>
      </c>
      <c r="C72" s="18">
        <v>44925</v>
      </c>
      <c r="D72">
        <v>62</v>
      </c>
    </row>
    <row r="73" spans="1:4" x14ac:dyDescent="0.3">
      <c r="A73" t="s">
        <v>93</v>
      </c>
      <c r="B73" t="s">
        <v>24</v>
      </c>
      <c r="C73" s="18">
        <v>44589</v>
      </c>
      <c r="D73">
        <v>13</v>
      </c>
    </row>
    <row r="74" spans="1:4" x14ac:dyDescent="0.3">
      <c r="A74" t="s">
        <v>93</v>
      </c>
      <c r="B74" t="s">
        <v>20</v>
      </c>
      <c r="C74" s="18">
        <v>44980</v>
      </c>
      <c r="D74">
        <v>10</v>
      </c>
    </row>
    <row r="75" spans="1:4" x14ac:dyDescent="0.3">
      <c r="A75" t="s">
        <v>94</v>
      </c>
      <c r="B75" t="s">
        <v>28</v>
      </c>
      <c r="C75" s="18">
        <v>45043</v>
      </c>
      <c r="D75">
        <v>66</v>
      </c>
    </row>
    <row r="76" spans="1:4" x14ac:dyDescent="0.3">
      <c r="A76" t="s">
        <v>94</v>
      </c>
      <c r="B76" t="s">
        <v>21</v>
      </c>
      <c r="C76" s="18">
        <v>44809</v>
      </c>
      <c r="D76">
        <v>26</v>
      </c>
    </row>
    <row r="77" spans="1:4" x14ac:dyDescent="0.3">
      <c r="A77" t="s">
        <v>95</v>
      </c>
      <c r="B77" t="s">
        <v>19</v>
      </c>
      <c r="C77" s="18">
        <v>44786</v>
      </c>
      <c r="D77">
        <v>25</v>
      </c>
    </row>
    <row r="78" spans="1:4" x14ac:dyDescent="0.3">
      <c r="A78" t="s">
        <v>95</v>
      </c>
      <c r="B78" t="s">
        <v>34</v>
      </c>
      <c r="C78" s="18">
        <v>44967</v>
      </c>
      <c r="D78">
        <v>22</v>
      </c>
    </row>
    <row r="79" spans="1:4" x14ac:dyDescent="0.3">
      <c r="A79" t="s">
        <v>96</v>
      </c>
      <c r="B79" t="s">
        <v>22</v>
      </c>
      <c r="C79" s="18">
        <v>44846</v>
      </c>
      <c r="D79">
        <v>62</v>
      </c>
    </row>
    <row r="80" spans="1:4" x14ac:dyDescent="0.3">
      <c r="A80" t="s">
        <v>96</v>
      </c>
      <c r="B80" t="s">
        <v>33</v>
      </c>
      <c r="C80" s="18">
        <v>44967</v>
      </c>
      <c r="D80">
        <v>27</v>
      </c>
    </row>
    <row r="81" spans="1:4" x14ac:dyDescent="0.3">
      <c r="A81" t="s">
        <v>97</v>
      </c>
      <c r="B81" t="s">
        <v>31</v>
      </c>
      <c r="C81" s="18">
        <v>44890</v>
      </c>
      <c r="D81">
        <v>62</v>
      </c>
    </row>
    <row r="82" spans="1:4" x14ac:dyDescent="0.3">
      <c r="A82" t="s">
        <v>97</v>
      </c>
      <c r="B82" t="s">
        <v>20</v>
      </c>
      <c r="C82" s="18">
        <v>44810</v>
      </c>
      <c r="D82">
        <v>10</v>
      </c>
    </row>
    <row r="83" spans="1:4" x14ac:dyDescent="0.3">
      <c r="A83" t="s">
        <v>98</v>
      </c>
      <c r="B83" t="s">
        <v>30</v>
      </c>
      <c r="C83" s="18">
        <v>44665</v>
      </c>
      <c r="D83">
        <v>75</v>
      </c>
    </row>
    <row r="84" spans="1:4" x14ac:dyDescent="0.3">
      <c r="A84" t="s">
        <v>98</v>
      </c>
      <c r="B84" t="s">
        <v>27</v>
      </c>
      <c r="C84" s="18">
        <v>44613</v>
      </c>
      <c r="D84">
        <v>25</v>
      </c>
    </row>
    <row r="85" spans="1:4" x14ac:dyDescent="0.3">
      <c r="A85" t="s">
        <v>99</v>
      </c>
      <c r="B85" t="s">
        <v>33</v>
      </c>
      <c r="C85" s="18">
        <v>44991</v>
      </c>
      <c r="D85">
        <v>27</v>
      </c>
    </row>
    <row r="86" spans="1:4" x14ac:dyDescent="0.3">
      <c r="A86" t="s">
        <v>99</v>
      </c>
      <c r="B86" t="s">
        <v>20</v>
      </c>
      <c r="C86" s="18">
        <v>44986</v>
      </c>
      <c r="D86">
        <v>10</v>
      </c>
    </row>
    <row r="87" spans="1:4" x14ac:dyDescent="0.3">
      <c r="A87" t="s">
        <v>100</v>
      </c>
      <c r="B87" t="s">
        <v>23</v>
      </c>
      <c r="C87" s="18">
        <v>44590</v>
      </c>
      <c r="D87">
        <v>65</v>
      </c>
    </row>
    <row r="88" spans="1:4" x14ac:dyDescent="0.3">
      <c r="A88" t="s">
        <v>100</v>
      </c>
      <c r="B88" t="s">
        <v>26</v>
      </c>
      <c r="C88" s="18">
        <v>44899</v>
      </c>
      <c r="D88">
        <v>29</v>
      </c>
    </row>
    <row r="89" spans="1:4" x14ac:dyDescent="0.3">
      <c r="A89" t="s">
        <v>101</v>
      </c>
      <c r="B89" t="s">
        <v>33</v>
      </c>
      <c r="C89" s="18">
        <v>45032</v>
      </c>
      <c r="D89">
        <v>27</v>
      </c>
    </row>
    <row r="90" spans="1:4" x14ac:dyDescent="0.3">
      <c r="A90" t="s">
        <v>101</v>
      </c>
      <c r="B90" t="s">
        <v>19</v>
      </c>
      <c r="C90" s="18">
        <v>44820</v>
      </c>
      <c r="D90">
        <v>25</v>
      </c>
    </row>
    <row r="91" spans="1:4" x14ac:dyDescent="0.3">
      <c r="A91" t="s">
        <v>102</v>
      </c>
      <c r="B91" t="s">
        <v>22</v>
      </c>
      <c r="C91" s="18">
        <v>44738</v>
      </c>
      <c r="D91">
        <v>62</v>
      </c>
    </row>
    <row r="92" spans="1:4" x14ac:dyDescent="0.3">
      <c r="A92" t="s">
        <v>102</v>
      </c>
      <c r="B92" t="s">
        <v>32</v>
      </c>
      <c r="C92" s="18">
        <v>44583</v>
      </c>
      <c r="D92">
        <v>14</v>
      </c>
    </row>
    <row r="93" spans="1:4" x14ac:dyDescent="0.3">
      <c r="A93" t="s">
        <v>103</v>
      </c>
      <c r="B93" t="s">
        <v>29</v>
      </c>
      <c r="C93" s="18">
        <v>45019</v>
      </c>
      <c r="D93">
        <v>28</v>
      </c>
    </row>
    <row r="94" spans="1:4" x14ac:dyDescent="0.3">
      <c r="A94" t="s">
        <v>104</v>
      </c>
      <c r="B94" t="s">
        <v>22</v>
      </c>
      <c r="C94" s="18">
        <v>44782</v>
      </c>
      <c r="D94">
        <v>62</v>
      </c>
    </row>
    <row r="95" spans="1:4" x14ac:dyDescent="0.3">
      <c r="A95" t="s">
        <v>104</v>
      </c>
      <c r="B95" t="s">
        <v>29</v>
      </c>
      <c r="C95" s="18">
        <v>44827</v>
      </c>
      <c r="D95">
        <v>28</v>
      </c>
    </row>
    <row r="96" spans="1:4" x14ac:dyDescent="0.3">
      <c r="A96" t="s">
        <v>105</v>
      </c>
      <c r="B96" t="s">
        <v>33</v>
      </c>
      <c r="C96" s="18">
        <v>44968</v>
      </c>
      <c r="D96">
        <v>27</v>
      </c>
    </row>
    <row r="97" spans="1:4" x14ac:dyDescent="0.3">
      <c r="A97" t="s">
        <v>105</v>
      </c>
      <c r="B97" t="s">
        <v>24</v>
      </c>
      <c r="C97" s="18">
        <v>44714</v>
      </c>
      <c r="D97">
        <v>13</v>
      </c>
    </row>
    <row r="98" spans="1:4" x14ac:dyDescent="0.3">
      <c r="A98" t="s">
        <v>106</v>
      </c>
      <c r="B98" t="s">
        <v>31</v>
      </c>
      <c r="C98" s="18">
        <v>44857</v>
      </c>
      <c r="D98">
        <v>62</v>
      </c>
    </row>
    <row r="99" spans="1:4" x14ac:dyDescent="0.3">
      <c r="A99" t="s">
        <v>106</v>
      </c>
      <c r="B99" t="s">
        <v>29</v>
      </c>
      <c r="C99" s="18">
        <v>44712</v>
      </c>
      <c r="D99">
        <v>28</v>
      </c>
    </row>
    <row r="100" spans="1:4" x14ac:dyDescent="0.3">
      <c r="A100" t="s">
        <v>107</v>
      </c>
      <c r="B100" t="s">
        <v>33</v>
      </c>
      <c r="C100" s="18">
        <v>44799</v>
      </c>
      <c r="D100">
        <v>27</v>
      </c>
    </row>
    <row r="101" spans="1:4" x14ac:dyDescent="0.3">
      <c r="A101" t="s">
        <v>107</v>
      </c>
      <c r="B101" t="s">
        <v>24</v>
      </c>
      <c r="C101" s="18">
        <v>44882</v>
      </c>
      <c r="D101">
        <v>13</v>
      </c>
    </row>
    <row r="102" spans="1:4" x14ac:dyDescent="0.3">
      <c r="A102" t="s">
        <v>108</v>
      </c>
      <c r="B102" t="s">
        <v>28</v>
      </c>
      <c r="C102" s="18">
        <v>44698</v>
      </c>
      <c r="D102">
        <v>66</v>
      </c>
    </row>
    <row r="103" spans="1:4" x14ac:dyDescent="0.3">
      <c r="A103" t="s">
        <v>108</v>
      </c>
      <c r="B103" t="s">
        <v>27</v>
      </c>
      <c r="C103" s="18">
        <v>44718</v>
      </c>
      <c r="D103">
        <v>25</v>
      </c>
    </row>
    <row r="104" spans="1:4" x14ac:dyDescent="0.3">
      <c r="A104" t="s">
        <v>109</v>
      </c>
      <c r="B104" t="s">
        <v>33</v>
      </c>
      <c r="C104" s="18">
        <v>44984</v>
      </c>
      <c r="D104">
        <v>27</v>
      </c>
    </row>
    <row r="105" spans="1:4" x14ac:dyDescent="0.3">
      <c r="A105" t="s">
        <v>109</v>
      </c>
      <c r="B105" t="s">
        <v>34</v>
      </c>
      <c r="C105" s="18">
        <v>44921</v>
      </c>
      <c r="D105">
        <v>22</v>
      </c>
    </row>
    <row r="106" spans="1:4" x14ac:dyDescent="0.3">
      <c r="A106" t="s">
        <v>110</v>
      </c>
      <c r="B106" t="s">
        <v>35</v>
      </c>
      <c r="C106" s="18">
        <v>44816</v>
      </c>
      <c r="D106">
        <v>26</v>
      </c>
    </row>
    <row r="107" spans="1:4" x14ac:dyDescent="0.3">
      <c r="A107" t="s">
        <v>110</v>
      </c>
      <c r="B107" t="s">
        <v>21</v>
      </c>
      <c r="C107" s="18">
        <v>44863</v>
      </c>
      <c r="D107">
        <v>26</v>
      </c>
    </row>
    <row r="108" spans="1:4" x14ac:dyDescent="0.3">
      <c r="A108" t="s">
        <v>111</v>
      </c>
      <c r="B108" t="s">
        <v>24</v>
      </c>
      <c r="C108" s="18">
        <v>44820</v>
      </c>
      <c r="D108">
        <v>13</v>
      </c>
    </row>
    <row r="109" spans="1:4" x14ac:dyDescent="0.3">
      <c r="A109" t="s">
        <v>111</v>
      </c>
      <c r="B109" t="s">
        <v>20</v>
      </c>
      <c r="C109" s="18">
        <v>45009</v>
      </c>
      <c r="D109">
        <v>10</v>
      </c>
    </row>
    <row r="110" spans="1:4" x14ac:dyDescent="0.3">
      <c r="A110" t="s">
        <v>112</v>
      </c>
      <c r="B110" t="s">
        <v>23</v>
      </c>
      <c r="C110" s="18">
        <v>44631</v>
      </c>
      <c r="D110">
        <v>65</v>
      </c>
    </row>
    <row r="111" spans="1:4" x14ac:dyDescent="0.3">
      <c r="A111" t="s">
        <v>112</v>
      </c>
      <c r="B111" t="s">
        <v>25</v>
      </c>
      <c r="C111" s="18">
        <v>44860</v>
      </c>
      <c r="D111">
        <v>16</v>
      </c>
    </row>
    <row r="112" spans="1:4" x14ac:dyDescent="0.3">
      <c r="A112" t="s">
        <v>113</v>
      </c>
      <c r="B112" t="s">
        <v>35</v>
      </c>
      <c r="C112" s="18">
        <v>44885</v>
      </c>
      <c r="D112">
        <v>26</v>
      </c>
    </row>
    <row r="113" spans="1:4" x14ac:dyDescent="0.3">
      <c r="A113" t="s">
        <v>113</v>
      </c>
      <c r="B113" t="s">
        <v>32</v>
      </c>
      <c r="C113" s="18">
        <v>44712</v>
      </c>
      <c r="D113">
        <v>14</v>
      </c>
    </row>
    <row r="114" spans="1:4" x14ac:dyDescent="0.3">
      <c r="A114" t="s">
        <v>114</v>
      </c>
      <c r="B114" t="s">
        <v>26</v>
      </c>
      <c r="C114" s="18">
        <v>44989</v>
      </c>
      <c r="D114">
        <v>29</v>
      </c>
    </row>
    <row r="115" spans="1:4" x14ac:dyDescent="0.3">
      <c r="A115" t="s">
        <v>114</v>
      </c>
      <c r="B115" t="s">
        <v>25</v>
      </c>
      <c r="C115" s="18">
        <v>44715</v>
      </c>
      <c r="D115">
        <v>16</v>
      </c>
    </row>
    <row r="116" spans="1:4" x14ac:dyDescent="0.3">
      <c r="A116" t="s">
        <v>115</v>
      </c>
      <c r="B116" t="s">
        <v>26</v>
      </c>
      <c r="C116" s="18">
        <v>44931</v>
      </c>
      <c r="D116">
        <v>29</v>
      </c>
    </row>
    <row r="117" spans="1:4" x14ac:dyDescent="0.3">
      <c r="A117" t="s">
        <v>116</v>
      </c>
      <c r="B117" t="s">
        <v>30</v>
      </c>
      <c r="C117" s="18">
        <v>44709</v>
      </c>
      <c r="D117">
        <v>75</v>
      </c>
    </row>
    <row r="118" spans="1:4" x14ac:dyDescent="0.3">
      <c r="A118" t="s">
        <v>116</v>
      </c>
      <c r="B118" t="s">
        <v>20</v>
      </c>
      <c r="C118" s="18">
        <v>44788</v>
      </c>
      <c r="D118">
        <v>10</v>
      </c>
    </row>
    <row r="119" spans="1:4" x14ac:dyDescent="0.3">
      <c r="A119" t="s">
        <v>117</v>
      </c>
      <c r="B119" t="s">
        <v>31</v>
      </c>
      <c r="C119" s="18">
        <v>44783</v>
      </c>
      <c r="D119">
        <v>62</v>
      </c>
    </row>
    <row r="120" spans="1:4" x14ac:dyDescent="0.3">
      <c r="A120" t="s">
        <v>117</v>
      </c>
      <c r="B120" t="s">
        <v>32</v>
      </c>
      <c r="C120" s="18">
        <v>44799</v>
      </c>
      <c r="D120">
        <v>14</v>
      </c>
    </row>
    <row r="121" spans="1:4" x14ac:dyDescent="0.3">
      <c r="A121" t="s">
        <v>118</v>
      </c>
      <c r="B121" t="s">
        <v>34</v>
      </c>
      <c r="C121" s="18">
        <v>45031</v>
      </c>
      <c r="D121">
        <v>22</v>
      </c>
    </row>
    <row r="122" spans="1:4" x14ac:dyDescent="0.3">
      <c r="A122" t="s">
        <v>118</v>
      </c>
      <c r="B122" t="s">
        <v>24</v>
      </c>
      <c r="C122" s="18">
        <v>44848</v>
      </c>
      <c r="D122">
        <v>13</v>
      </c>
    </row>
    <row r="123" spans="1:4" x14ac:dyDescent="0.3">
      <c r="A123" t="s">
        <v>119</v>
      </c>
      <c r="B123" t="s">
        <v>26</v>
      </c>
      <c r="C123" s="18">
        <v>44969</v>
      </c>
      <c r="D123">
        <v>29</v>
      </c>
    </row>
    <row r="124" spans="1:4" x14ac:dyDescent="0.3">
      <c r="A124" t="s">
        <v>119</v>
      </c>
      <c r="B124" t="s">
        <v>33</v>
      </c>
      <c r="C124" s="18">
        <v>44891</v>
      </c>
      <c r="D124">
        <v>27</v>
      </c>
    </row>
    <row r="125" spans="1:4" x14ac:dyDescent="0.3">
      <c r="A125" t="s">
        <v>120</v>
      </c>
      <c r="B125" t="s">
        <v>27</v>
      </c>
      <c r="C125" s="18">
        <v>44702</v>
      </c>
      <c r="D125">
        <v>25</v>
      </c>
    </row>
    <row r="126" spans="1:4" x14ac:dyDescent="0.3">
      <c r="A126" t="s">
        <v>120</v>
      </c>
      <c r="B126" t="s">
        <v>32</v>
      </c>
      <c r="C126" s="18">
        <v>44680</v>
      </c>
      <c r="D126">
        <v>14</v>
      </c>
    </row>
    <row r="127" spans="1:4" x14ac:dyDescent="0.3">
      <c r="A127" t="s">
        <v>121</v>
      </c>
      <c r="B127" t="s">
        <v>29</v>
      </c>
      <c r="C127" s="18">
        <v>44996</v>
      </c>
      <c r="D127">
        <v>28</v>
      </c>
    </row>
    <row r="128" spans="1:4" x14ac:dyDescent="0.3">
      <c r="A128" t="s">
        <v>121</v>
      </c>
      <c r="B128" t="s">
        <v>21</v>
      </c>
      <c r="C128" s="18">
        <v>44736</v>
      </c>
      <c r="D128">
        <v>26</v>
      </c>
    </row>
    <row r="129" spans="1:4" x14ac:dyDescent="0.3">
      <c r="A129" t="s">
        <v>122</v>
      </c>
      <c r="B129" t="s">
        <v>27</v>
      </c>
      <c r="C129" s="18">
        <v>44716</v>
      </c>
      <c r="D129">
        <v>25</v>
      </c>
    </row>
    <row r="130" spans="1:4" x14ac:dyDescent="0.3">
      <c r="A130" t="s">
        <v>122</v>
      </c>
      <c r="B130" t="s">
        <v>24</v>
      </c>
      <c r="C130" s="18">
        <v>44863</v>
      </c>
      <c r="D130">
        <v>13</v>
      </c>
    </row>
    <row r="131" spans="1:4" x14ac:dyDescent="0.3">
      <c r="A131" t="s">
        <v>123</v>
      </c>
      <c r="B131" t="s">
        <v>21</v>
      </c>
      <c r="C131" s="18">
        <v>44798</v>
      </c>
      <c r="D131">
        <v>26</v>
      </c>
    </row>
    <row r="132" spans="1:4" x14ac:dyDescent="0.3">
      <c r="A132" t="s">
        <v>123</v>
      </c>
      <c r="B132" t="s">
        <v>19</v>
      </c>
      <c r="C132" s="18">
        <v>45026</v>
      </c>
      <c r="D132">
        <v>25</v>
      </c>
    </row>
    <row r="133" spans="1:4" x14ac:dyDescent="0.3">
      <c r="A133" t="s">
        <v>124</v>
      </c>
      <c r="B133" t="s">
        <v>34</v>
      </c>
      <c r="C133" s="18">
        <v>44905</v>
      </c>
      <c r="D133">
        <v>22</v>
      </c>
    </row>
    <row r="134" spans="1:4" x14ac:dyDescent="0.3">
      <c r="A134" t="s">
        <v>125</v>
      </c>
      <c r="B134" t="s">
        <v>24</v>
      </c>
      <c r="C134" s="18">
        <v>44896</v>
      </c>
      <c r="D134">
        <v>13</v>
      </c>
    </row>
    <row r="135" spans="1:4" x14ac:dyDescent="0.3">
      <c r="A135" t="s">
        <v>125</v>
      </c>
      <c r="B135" t="s">
        <v>20</v>
      </c>
      <c r="C135" s="18">
        <v>44856</v>
      </c>
      <c r="D135">
        <v>10</v>
      </c>
    </row>
    <row r="136" spans="1:4" x14ac:dyDescent="0.3">
      <c r="A136" t="s">
        <v>126</v>
      </c>
      <c r="B136" t="s">
        <v>24</v>
      </c>
      <c r="C136" s="18">
        <v>45043</v>
      </c>
      <c r="D136">
        <v>13</v>
      </c>
    </row>
    <row r="137" spans="1:4" x14ac:dyDescent="0.3">
      <c r="A137" t="s">
        <v>127</v>
      </c>
      <c r="B137" t="s">
        <v>31</v>
      </c>
      <c r="C137" s="18">
        <v>44995</v>
      </c>
      <c r="D137">
        <v>62</v>
      </c>
    </row>
    <row r="138" spans="1:4" x14ac:dyDescent="0.3">
      <c r="A138" t="s">
        <v>127</v>
      </c>
      <c r="B138" t="s">
        <v>33</v>
      </c>
      <c r="C138" s="18">
        <v>44979</v>
      </c>
      <c r="D138">
        <v>27</v>
      </c>
    </row>
    <row r="139" spans="1:4" x14ac:dyDescent="0.3">
      <c r="A139" t="s">
        <v>128</v>
      </c>
      <c r="B139" t="s">
        <v>31</v>
      </c>
      <c r="C139" s="18">
        <v>44728</v>
      </c>
      <c r="D139">
        <v>62</v>
      </c>
    </row>
    <row r="140" spans="1:4" x14ac:dyDescent="0.3">
      <c r="A140" t="s">
        <v>128</v>
      </c>
      <c r="B140" t="s">
        <v>21</v>
      </c>
      <c r="C140" s="18">
        <v>44967</v>
      </c>
      <c r="D140">
        <v>26</v>
      </c>
    </row>
    <row r="141" spans="1:4" x14ac:dyDescent="0.3">
      <c r="A141" t="s">
        <v>128</v>
      </c>
      <c r="B141" t="s">
        <v>25</v>
      </c>
      <c r="C141" s="18">
        <v>44755</v>
      </c>
      <c r="D141">
        <v>16</v>
      </c>
    </row>
    <row r="142" spans="1:4" x14ac:dyDescent="0.3">
      <c r="A142" t="s">
        <v>129</v>
      </c>
      <c r="B142" t="s">
        <v>34</v>
      </c>
      <c r="C142" s="18">
        <v>44825</v>
      </c>
      <c r="D142">
        <v>22</v>
      </c>
    </row>
    <row r="143" spans="1:4" x14ac:dyDescent="0.3">
      <c r="A143" t="s">
        <v>130</v>
      </c>
      <c r="B143" t="s">
        <v>30</v>
      </c>
      <c r="C143" s="18">
        <v>44859</v>
      </c>
      <c r="D143">
        <v>75</v>
      </c>
    </row>
    <row r="144" spans="1:4" x14ac:dyDescent="0.3">
      <c r="A144" t="s">
        <v>130</v>
      </c>
      <c r="B144" t="s">
        <v>27</v>
      </c>
      <c r="C144" s="18">
        <v>44767</v>
      </c>
      <c r="D144">
        <v>25</v>
      </c>
    </row>
    <row r="145" spans="1:4" x14ac:dyDescent="0.3">
      <c r="A145" t="s">
        <v>130</v>
      </c>
      <c r="B145" t="s">
        <v>32</v>
      </c>
      <c r="C145" s="18">
        <v>44850</v>
      </c>
      <c r="D145">
        <v>14</v>
      </c>
    </row>
    <row r="146" spans="1:4" x14ac:dyDescent="0.3">
      <c r="A146" t="s">
        <v>131</v>
      </c>
      <c r="B146" t="s">
        <v>23</v>
      </c>
      <c r="C146" s="18">
        <v>44921</v>
      </c>
      <c r="D146">
        <v>65</v>
      </c>
    </row>
    <row r="147" spans="1:4" x14ac:dyDescent="0.3">
      <c r="A147" t="s">
        <v>131</v>
      </c>
      <c r="B147" t="s">
        <v>33</v>
      </c>
      <c r="C147" s="18">
        <v>44999</v>
      </c>
      <c r="D147">
        <v>27</v>
      </c>
    </row>
    <row r="148" spans="1:4" x14ac:dyDescent="0.3">
      <c r="A148" t="s">
        <v>132</v>
      </c>
      <c r="B148" t="s">
        <v>30</v>
      </c>
      <c r="C148" s="18">
        <v>44992</v>
      </c>
      <c r="D148">
        <v>75</v>
      </c>
    </row>
    <row r="149" spans="1:4" x14ac:dyDescent="0.3">
      <c r="A149" t="s">
        <v>132</v>
      </c>
      <c r="B149" t="s">
        <v>34</v>
      </c>
      <c r="C149" s="18">
        <v>44764</v>
      </c>
      <c r="D149">
        <v>22</v>
      </c>
    </row>
    <row r="150" spans="1:4" x14ac:dyDescent="0.3">
      <c r="A150" t="s">
        <v>133</v>
      </c>
      <c r="B150" t="s">
        <v>25</v>
      </c>
      <c r="C150" s="18">
        <v>44564</v>
      </c>
      <c r="D150">
        <v>16</v>
      </c>
    </row>
    <row r="151" spans="1:4" x14ac:dyDescent="0.3">
      <c r="A151" t="s">
        <v>133</v>
      </c>
      <c r="B151" t="s">
        <v>20</v>
      </c>
      <c r="C151" s="18">
        <v>44935</v>
      </c>
      <c r="D151">
        <v>10</v>
      </c>
    </row>
    <row r="152" spans="1:4" x14ac:dyDescent="0.3">
      <c r="A152" t="s">
        <v>134</v>
      </c>
      <c r="B152" t="s">
        <v>26</v>
      </c>
      <c r="C152" s="18">
        <v>44920</v>
      </c>
      <c r="D152">
        <v>29</v>
      </c>
    </row>
    <row r="153" spans="1:4" x14ac:dyDescent="0.3">
      <c r="A153" t="s">
        <v>135</v>
      </c>
      <c r="B153" t="s">
        <v>34</v>
      </c>
      <c r="C153" s="18">
        <v>44915</v>
      </c>
      <c r="D153">
        <v>22</v>
      </c>
    </row>
    <row r="154" spans="1:4" x14ac:dyDescent="0.3">
      <c r="A154" t="s">
        <v>136</v>
      </c>
      <c r="B154" t="s">
        <v>21</v>
      </c>
      <c r="C154" s="18">
        <v>44671</v>
      </c>
      <c r="D154">
        <v>26</v>
      </c>
    </row>
    <row r="155" spans="1:4" x14ac:dyDescent="0.3">
      <c r="A155" t="s">
        <v>137</v>
      </c>
      <c r="B155" t="s">
        <v>28</v>
      </c>
      <c r="C155" s="18">
        <v>44979</v>
      </c>
      <c r="D155">
        <v>66</v>
      </c>
    </row>
    <row r="156" spans="1:4" x14ac:dyDescent="0.3">
      <c r="A156" t="s">
        <v>138</v>
      </c>
      <c r="B156" t="s">
        <v>26</v>
      </c>
      <c r="C156" s="18">
        <v>45022</v>
      </c>
      <c r="D156">
        <v>29</v>
      </c>
    </row>
    <row r="157" spans="1:4" x14ac:dyDescent="0.3">
      <c r="A157" t="s">
        <v>139</v>
      </c>
      <c r="B157" t="s">
        <v>29</v>
      </c>
      <c r="C157" s="18">
        <v>44886</v>
      </c>
      <c r="D157">
        <v>28</v>
      </c>
    </row>
    <row r="158" spans="1:4" x14ac:dyDescent="0.3">
      <c r="A158" t="s">
        <v>140</v>
      </c>
      <c r="B158" t="s">
        <v>26</v>
      </c>
      <c r="C158" s="18">
        <v>44761</v>
      </c>
      <c r="D158">
        <v>29</v>
      </c>
    </row>
    <row r="159" spans="1:4" x14ac:dyDescent="0.3">
      <c r="A159" t="s">
        <v>140</v>
      </c>
      <c r="B159" t="s">
        <v>33</v>
      </c>
      <c r="C159" s="18">
        <v>44818</v>
      </c>
      <c r="D159">
        <v>27</v>
      </c>
    </row>
    <row r="160" spans="1:4" x14ac:dyDescent="0.3">
      <c r="A160" t="s">
        <v>141</v>
      </c>
      <c r="B160" t="s">
        <v>23</v>
      </c>
      <c r="C160" s="18">
        <v>44883</v>
      </c>
      <c r="D160">
        <v>65</v>
      </c>
    </row>
    <row r="161" spans="1:4" x14ac:dyDescent="0.3">
      <c r="A161" t="s">
        <v>141</v>
      </c>
      <c r="B161" t="s">
        <v>26</v>
      </c>
      <c r="C161" s="18">
        <v>44984</v>
      </c>
      <c r="D161">
        <v>29</v>
      </c>
    </row>
    <row r="162" spans="1:4" x14ac:dyDescent="0.3">
      <c r="A162" t="s">
        <v>141</v>
      </c>
      <c r="B162" t="s">
        <v>29</v>
      </c>
      <c r="C162" s="18">
        <v>44563</v>
      </c>
      <c r="D162">
        <v>28</v>
      </c>
    </row>
    <row r="163" spans="1:4" x14ac:dyDescent="0.3">
      <c r="A163" t="s">
        <v>142</v>
      </c>
      <c r="B163" t="s">
        <v>35</v>
      </c>
      <c r="C163" s="18">
        <v>44878</v>
      </c>
      <c r="D163">
        <v>26</v>
      </c>
    </row>
    <row r="164" spans="1:4" x14ac:dyDescent="0.3">
      <c r="A164" t="s">
        <v>142</v>
      </c>
      <c r="B164" t="s">
        <v>19</v>
      </c>
      <c r="C164" s="18">
        <v>44776</v>
      </c>
      <c r="D164">
        <v>25</v>
      </c>
    </row>
    <row r="165" spans="1:4" x14ac:dyDescent="0.3">
      <c r="A165" t="s">
        <v>143</v>
      </c>
      <c r="B165" t="s">
        <v>31</v>
      </c>
      <c r="C165" s="18">
        <v>44617</v>
      </c>
      <c r="D165">
        <v>62</v>
      </c>
    </row>
    <row r="166" spans="1:4" x14ac:dyDescent="0.3">
      <c r="A166" t="s">
        <v>143</v>
      </c>
      <c r="B166" t="s">
        <v>29</v>
      </c>
      <c r="C166" s="18">
        <v>45033</v>
      </c>
      <c r="D166">
        <v>28</v>
      </c>
    </row>
    <row r="167" spans="1:4" x14ac:dyDescent="0.3">
      <c r="A167" t="s">
        <v>143</v>
      </c>
      <c r="B167" t="s">
        <v>24</v>
      </c>
      <c r="C167" s="18">
        <v>45042</v>
      </c>
      <c r="D167">
        <v>13</v>
      </c>
    </row>
    <row r="168" spans="1:4" x14ac:dyDescent="0.3">
      <c r="A168" t="s">
        <v>144</v>
      </c>
      <c r="B168" t="s">
        <v>31</v>
      </c>
      <c r="C168" s="18">
        <v>45034</v>
      </c>
      <c r="D168">
        <v>62</v>
      </c>
    </row>
    <row r="169" spans="1:4" x14ac:dyDescent="0.3">
      <c r="A169" t="s">
        <v>144</v>
      </c>
      <c r="B169" t="s">
        <v>25</v>
      </c>
      <c r="C169" s="18">
        <v>44859</v>
      </c>
      <c r="D169">
        <v>16</v>
      </c>
    </row>
    <row r="170" spans="1:4" x14ac:dyDescent="0.3">
      <c r="A170" t="s">
        <v>145</v>
      </c>
      <c r="B170" t="s">
        <v>33</v>
      </c>
      <c r="C170" s="18">
        <v>44863</v>
      </c>
      <c r="D170">
        <v>27</v>
      </c>
    </row>
    <row r="171" spans="1:4" x14ac:dyDescent="0.3">
      <c r="A171" t="s">
        <v>145</v>
      </c>
      <c r="B171" t="s">
        <v>21</v>
      </c>
      <c r="C171" s="18">
        <v>44942</v>
      </c>
      <c r="D171">
        <v>26</v>
      </c>
    </row>
    <row r="172" spans="1:4" x14ac:dyDescent="0.3">
      <c r="A172" t="s">
        <v>146</v>
      </c>
      <c r="B172" t="s">
        <v>31</v>
      </c>
      <c r="C172" s="18">
        <v>45030</v>
      </c>
      <c r="D172">
        <v>62</v>
      </c>
    </row>
    <row r="173" spans="1:4" x14ac:dyDescent="0.3">
      <c r="A173" t="s">
        <v>146</v>
      </c>
      <c r="B173" t="s">
        <v>26</v>
      </c>
      <c r="C173" s="18">
        <v>44820</v>
      </c>
      <c r="D173">
        <v>29</v>
      </c>
    </row>
    <row r="174" spans="1:4" x14ac:dyDescent="0.3">
      <c r="A174" t="s">
        <v>147</v>
      </c>
      <c r="B174" t="s">
        <v>28</v>
      </c>
      <c r="C174" s="18">
        <v>44843</v>
      </c>
      <c r="D174">
        <v>66</v>
      </c>
    </row>
    <row r="175" spans="1:4" x14ac:dyDescent="0.3">
      <c r="A175" t="s">
        <v>147</v>
      </c>
      <c r="B175" t="s">
        <v>29</v>
      </c>
      <c r="C175" s="18">
        <v>44573</v>
      </c>
      <c r="D175">
        <v>28</v>
      </c>
    </row>
    <row r="176" spans="1:4" x14ac:dyDescent="0.3">
      <c r="A176" t="s">
        <v>148</v>
      </c>
      <c r="B176" t="s">
        <v>35</v>
      </c>
      <c r="C176" s="18">
        <v>44805</v>
      </c>
      <c r="D176">
        <v>26</v>
      </c>
    </row>
    <row r="177" spans="1:4" x14ac:dyDescent="0.3">
      <c r="A177" t="s">
        <v>148</v>
      </c>
      <c r="B177" t="s">
        <v>34</v>
      </c>
      <c r="C177" s="18">
        <v>44816</v>
      </c>
      <c r="D177">
        <v>22</v>
      </c>
    </row>
    <row r="178" spans="1:4" x14ac:dyDescent="0.3">
      <c r="A178" t="s">
        <v>149</v>
      </c>
      <c r="B178" t="s">
        <v>21</v>
      </c>
      <c r="C178" s="18">
        <v>44638</v>
      </c>
      <c r="D178">
        <v>26</v>
      </c>
    </row>
    <row r="179" spans="1:4" x14ac:dyDescent="0.3">
      <c r="A179" t="s">
        <v>149</v>
      </c>
      <c r="B179" t="s">
        <v>27</v>
      </c>
      <c r="C179" s="18">
        <v>44815</v>
      </c>
      <c r="D179">
        <v>25</v>
      </c>
    </row>
    <row r="180" spans="1:4" x14ac:dyDescent="0.3">
      <c r="A180" t="s">
        <v>149</v>
      </c>
      <c r="B180" t="s">
        <v>20</v>
      </c>
      <c r="C180" s="18">
        <v>44907</v>
      </c>
      <c r="D180">
        <v>10</v>
      </c>
    </row>
    <row r="181" spans="1:4" x14ac:dyDescent="0.3">
      <c r="A181" t="s">
        <v>150</v>
      </c>
      <c r="B181" t="s">
        <v>28</v>
      </c>
      <c r="C181" s="18">
        <v>44978</v>
      </c>
      <c r="D181">
        <v>66</v>
      </c>
    </row>
    <row r="182" spans="1:4" x14ac:dyDescent="0.3">
      <c r="A182" t="s">
        <v>150</v>
      </c>
      <c r="B182" t="s">
        <v>22</v>
      </c>
      <c r="C182" s="18">
        <v>45033</v>
      </c>
      <c r="D182">
        <v>62</v>
      </c>
    </row>
    <row r="183" spans="1:4" x14ac:dyDescent="0.3">
      <c r="A183" t="s">
        <v>151</v>
      </c>
      <c r="B183" t="s">
        <v>33</v>
      </c>
      <c r="C183" s="18">
        <v>44776</v>
      </c>
      <c r="D183">
        <v>27</v>
      </c>
    </row>
    <row r="184" spans="1:4" x14ac:dyDescent="0.3">
      <c r="A184" t="s">
        <v>151</v>
      </c>
      <c r="B184" t="s">
        <v>19</v>
      </c>
      <c r="C184" s="18">
        <v>44645</v>
      </c>
      <c r="D184">
        <v>25</v>
      </c>
    </row>
    <row r="185" spans="1:4" x14ac:dyDescent="0.3">
      <c r="A185" t="s">
        <v>152</v>
      </c>
      <c r="B185" t="s">
        <v>27</v>
      </c>
      <c r="C185" s="18">
        <v>44853</v>
      </c>
      <c r="D185">
        <v>25</v>
      </c>
    </row>
    <row r="186" spans="1:4" x14ac:dyDescent="0.3">
      <c r="A186" t="s">
        <v>152</v>
      </c>
      <c r="B186" t="s">
        <v>19</v>
      </c>
      <c r="C186" s="18">
        <v>44719</v>
      </c>
      <c r="D186">
        <v>25</v>
      </c>
    </row>
    <row r="187" spans="1:4" x14ac:dyDescent="0.3">
      <c r="A187" t="s">
        <v>153</v>
      </c>
      <c r="B187" t="s">
        <v>31</v>
      </c>
      <c r="C187" s="18">
        <v>44672</v>
      </c>
      <c r="D187">
        <v>62</v>
      </c>
    </row>
    <row r="188" spans="1:4" x14ac:dyDescent="0.3">
      <c r="A188" t="s">
        <v>153</v>
      </c>
      <c r="B188" t="s">
        <v>19</v>
      </c>
      <c r="C188" s="18">
        <v>45021</v>
      </c>
      <c r="D188">
        <v>25</v>
      </c>
    </row>
    <row r="189" spans="1:4" x14ac:dyDescent="0.3">
      <c r="A189" t="s">
        <v>154</v>
      </c>
      <c r="B189" t="s">
        <v>28</v>
      </c>
      <c r="C189" s="18">
        <v>44998</v>
      </c>
      <c r="D189">
        <v>66</v>
      </c>
    </row>
    <row r="190" spans="1:4" x14ac:dyDescent="0.3">
      <c r="A190" t="s">
        <v>154</v>
      </c>
      <c r="B190" t="s">
        <v>23</v>
      </c>
      <c r="C190" s="18">
        <v>44597</v>
      </c>
      <c r="D190">
        <v>65</v>
      </c>
    </row>
    <row r="191" spans="1:4" x14ac:dyDescent="0.3">
      <c r="A191" t="s">
        <v>155</v>
      </c>
      <c r="B191" t="s">
        <v>34</v>
      </c>
      <c r="C191" s="18">
        <v>44778</v>
      </c>
      <c r="D191">
        <v>22</v>
      </c>
    </row>
    <row r="192" spans="1:4" x14ac:dyDescent="0.3">
      <c r="A192" t="s">
        <v>155</v>
      </c>
      <c r="B192" t="s">
        <v>20</v>
      </c>
      <c r="C192" s="18">
        <v>44849</v>
      </c>
      <c r="D192">
        <v>10</v>
      </c>
    </row>
    <row r="193" spans="1:4" x14ac:dyDescent="0.3">
      <c r="A193" t="s">
        <v>156</v>
      </c>
      <c r="B193" t="s">
        <v>29</v>
      </c>
      <c r="C193" s="18">
        <v>44718</v>
      </c>
      <c r="D193">
        <v>28</v>
      </c>
    </row>
    <row r="194" spans="1:4" x14ac:dyDescent="0.3">
      <c r="A194" t="s">
        <v>156</v>
      </c>
      <c r="B194" t="s">
        <v>32</v>
      </c>
      <c r="C194" s="18">
        <v>44908</v>
      </c>
      <c r="D194">
        <v>14</v>
      </c>
    </row>
    <row r="195" spans="1:4" x14ac:dyDescent="0.3">
      <c r="A195" t="s">
        <v>157</v>
      </c>
      <c r="B195" t="s">
        <v>23</v>
      </c>
      <c r="C195" s="18">
        <v>44795</v>
      </c>
      <c r="D195">
        <v>65</v>
      </c>
    </row>
    <row r="196" spans="1:4" x14ac:dyDescent="0.3">
      <c r="A196" t="s">
        <v>157</v>
      </c>
      <c r="B196" t="s">
        <v>19</v>
      </c>
      <c r="C196" s="18">
        <v>44977</v>
      </c>
      <c r="D196">
        <v>25</v>
      </c>
    </row>
    <row r="197" spans="1:4" x14ac:dyDescent="0.3">
      <c r="A197" t="s">
        <v>158</v>
      </c>
      <c r="B197" t="s">
        <v>22</v>
      </c>
      <c r="C197" s="18">
        <v>44874</v>
      </c>
      <c r="D197">
        <v>62</v>
      </c>
    </row>
    <row r="198" spans="1:4" x14ac:dyDescent="0.3">
      <c r="A198" t="s">
        <v>158</v>
      </c>
      <c r="B198" t="s">
        <v>25</v>
      </c>
      <c r="C198" s="18">
        <v>44811</v>
      </c>
      <c r="D198">
        <v>16</v>
      </c>
    </row>
    <row r="199" spans="1:4" x14ac:dyDescent="0.3">
      <c r="A199" t="s">
        <v>159</v>
      </c>
      <c r="B199" t="s">
        <v>34</v>
      </c>
      <c r="C199" s="18">
        <v>44978</v>
      </c>
      <c r="D199">
        <v>22</v>
      </c>
    </row>
    <row r="200" spans="1:4" x14ac:dyDescent="0.3">
      <c r="A200" t="s">
        <v>159</v>
      </c>
      <c r="B200" t="s">
        <v>32</v>
      </c>
      <c r="C200" s="18">
        <v>44573</v>
      </c>
      <c r="D200">
        <v>14</v>
      </c>
    </row>
    <row r="201" spans="1:4" x14ac:dyDescent="0.3">
      <c r="A201" t="s">
        <v>160</v>
      </c>
      <c r="B201" t="s">
        <v>30</v>
      </c>
      <c r="C201" s="18">
        <v>44667</v>
      </c>
      <c r="D201">
        <v>75</v>
      </c>
    </row>
    <row r="202" spans="1:4" x14ac:dyDescent="0.3">
      <c r="A202" t="s">
        <v>160</v>
      </c>
      <c r="B202" t="s">
        <v>27</v>
      </c>
      <c r="C202" s="18">
        <v>44592</v>
      </c>
      <c r="D202">
        <v>25</v>
      </c>
    </row>
    <row r="203" spans="1:4" x14ac:dyDescent="0.3">
      <c r="A203" t="s">
        <v>160</v>
      </c>
      <c r="B203" t="s">
        <v>34</v>
      </c>
      <c r="C203" s="18">
        <v>44845</v>
      </c>
      <c r="D203">
        <v>22</v>
      </c>
    </row>
    <row r="204" spans="1:4" x14ac:dyDescent="0.3">
      <c r="A204" t="s">
        <v>161</v>
      </c>
      <c r="B204" t="s">
        <v>30</v>
      </c>
      <c r="C204" s="18">
        <v>44588</v>
      </c>
      <c r="D204">
        <v>75</v>
      </c>
    </row>
    <row r="205" spans="1:4" x14ac:dyDescent="0.3">
      <c r="A205" t="s">
        <v>161</v>
      </c>
      <c r="B205" t="s">
        <v>27</v>
      </c>
      <c r="C205" s="18">
        <v>44976</v>
      </c>
      <c r="D205">
        <v>25</v>
      </c>
    </row>
    <row r="206" spans="1:4" x14ac:dyDescent="0.3">
      <c r="A206" t="s">
        <v>161</v>
      </c>
      <c r="B206" t="s">
        <v>24</v>
      </c>
      <c r="C206" s="18">
        <v>44735</v>
      </c>
      <c r="D206">
        <v>13</v>
      </c>
    </row>
    <row r="207" spans="1:4" x14ac:dyDescent="0.3">
      <c r="A207" t="s">
        <v>162</v>
      </c>
      <c r="B207" t="s">
        <v>23</v>
      </c>
      <c r="C207" s="18">
        <v>44941</v>
      </c>
      <c r="D207">
        <v>65</v>
      </c>
    </row>
    <row r="208" spans="1:4" x14ac:dyDescent="0.3">
      <c r="A208" t="s">
        <v>162</v>
      </c>
      <c r="B208" t="s">
        <v>33</v>
      </c>
      <c r="C208" s="18">
        <v>45020</v>
      </c>
      <c r="D208">
        <v>27</v>
      </c>
    </row>
    <row r="209" spans="1:4" x14ac:dyDescent="0.3">
      <c r="A209" t="s">
        <v>163</v>
      </c>
      <c r="B209" t="s">
        <v>24</v>
      </c>
      <c r="C209" s="18">
        <v>44568</v>
      </c>
      <c r="D209">
        <v>13</v>
      </c>
    </row>
    <row r="210" spans="1:4" x14ac:dyDescent="0.3">
      <c r="A210" t="s">
        <v>164</v>
      </c>
      <c r="B210" t="s">
        <v>28</v>
      </c>
      <c r="C210" s="18">
        <v>44957</v>
      </c>
      <c r="D210">
        <v>66</v>
      </c>
    </row>
    <row r="211" spans="1:4" x14ac:dyDescent="0.3">
      <c r="A211" t="s">
        <v>164</v>
      </c>
      <c r="B211" t="s">
        <v>23</v>
      </c>
      <c r="C211" s="18">
        <v>44751</v>
      </c>
      <c r="D211">
        <v>65</v>
      </c>
    </row>
    <row r="212" spans="1:4" x14ac:dyDescent="0.3">
      <c r="A212" t="s">
        <v>164</v>
      </c>
      <c r="B212" t="s">
        <v>27</v>
      </c>
      <c r="C212" s="18">
        <v>44634</v>
      </c>
      <c r="D212">
        <v>25</v>
      </c>
    </row>
    <row r="213" spans="1:4" x14ac:dyDescent="0.3">
      <c r="A213" t="s">
        <v>165</v>
      </c>
      <c r="B213" t="s">
        <v>21</v>
      </c>
      <c r="C213" s="18">
        <v>44991</v>
      </c>
      <c r="D213">
        <v>26</v>
      </c>
    </row>
    <row r="214" spans="1:4" x14ac:dyDescent="0.3">
      <c r="A214" t="s">
        <v>166</v>
      </c>
      <c r="B214" t="s">
        <v>23</v>
      </c>
      <c r="C214" s="18">
        <v>44714</v>
      </c>
      <c r="D214">
        <v>65</v>
      </c>
    </row>
    <row r="215" spans="1:4" x14ac:dyDescent="0.3">
      <c r="A215" t="s">
        <v>166</v>
      </c>
      <c r="B215" t="s">
        <v>22</v>
      </c>
      <c r="C215" s="18">
        <v>44595</v>
      </c>
      <c r="D215">
        <v>62</v>
      </c>
    </row>
    <row r="216" spans="1:4" x14ac:dyDescent="0.3">
      <c r="A216" t="s">
        <v>166</v>
      </c>
      <c r="B216" t="s">
        <v>26</v>
      </c>
      <c r="C216" s="18">
        <v>44838</v>
      </c>
      <c r="D216">
        <v>29</v>
      </c>
    </row>
    <row r="217" spans="1:4" x14ac:dyDescent="0.3">
      <c r="A217" t="s">
        <v>167</v>
      </c>
      <c r="B217" t="s">
        <v>29</v>
      </c>
      <c r="C217" s="18">
        <v>44782</v>
      </c>
      <c r="D217">
        <v>28</v>
      </c>
    </row>
    <row r="218" spans="1:4" x14ac:dyDescent="0.3">
      <c r="A218" t="s">
        <v>167</v>
      </c>
      <c r="B218" t="s">
        <v>21</v>
      </c>
      <c r="C218" s="18">
        <v>44581</v>
      </c>
      <c r="D218">
        <v>26</v>
      </c>
    </row>
    <row r="219" spans="1:4" x14ac:dyDescent="0.3">
      <c r="A219" t="s">
        <v>168</v>
      </c>
      <c r="B219" t="s">
        <v>20</v>
      </c>
      <c r="C219" s="18">
        <v>45033</v>
      </c>
      <c r="D219">
        <v>10</v>
      </c>
    </row>
    <row r="220" spans="1:4" x14ac:dyDescent="0.3">
      <c r="A220" t="s">
        <v>169</v>
      </c>
      <c r="B220" t="s">
        <v>35</v>
      </c>
      <c r="C220" s="18">
        <v>44966</v>
      </c>
      <c r="D220">
        <v>26</v>
      </c>
    </row>
    <row r="221" spans="1:4" x14ac:dyDescent="0.3">
      <c r="A221" t="s">
        <v>169</v>
      </c>
      <c r="B221" t="s">
        <v>20</v>
      </c>
      <c r="C221" s="18">
        <v>44919</v>
      </c>
      <c r="D221">
        <v>10</v>
      </c>
    </row>
    <row r="222" spans="1:4" x14ac:dyDescent="0.3">
      <c r="A222" t="s">
        <v>170</v>
      </c>
      <c r="B222" t="s">
        <v>31</v>
      </c>
      <c r="C222" s="18">
        <v>44715</v>
      </c>
      <c r="D222">
        <v>62</v>
      </c>
    </row>
    <row r="223" spans="1:4" x14ac:dyDescent="0.3">
      <c r="A223" t="s">
        <v>170</v>
      </c>
      <c r="B223" t="s">
        <v>19</v>
      </c>
      <c r="C223" s="18">
        <v>44664</v>
      </c>
      <c r="D223">
        <v>25</v>
      </c>
    </row>
    <row r="224" spans="1:4" x14ac:dyDescent="0.3">
      <c r="A224" t="s">
        <v>171</v>
      </c>
      <c r="B224" t="s">
        <v>28</v>
      </c>
      <c r="C224" s="18">
        <v>44847</v>
      </c>
      <c r="D224">
        <v>66</v>
      </c>
    </row>
    <row r="225" spans="1:4" x14ac:dyDescent="0.3">
      <c r="A225" t="s">
        <v>171</v>
      </c>
      <c r="B225" t="s">
        <v>26</v>
      </c>
      <c r="C225" s="18">
        <v>44989</v>
      </c>
      <c r="D225">
        <v>29</v>
      </c>
    </row>
    <row r="226" spans="1:4" x14ac:dyDescent="0.3">
      <c r="A226" t="s">
        <v>172</v>
      </c>
      <c r="B226" t="s">
        <v>33</v>
      </c>
      <c r="C226" s="18">
        <v>44850</v>
      </c>
      <c r="D226">
        <v>27</v>
      </c>
    </row>
    <row r="227" spans="1:4" x14ac:dyDescent="0.3">
      <c r="A227" t="s">
        <v>172</v>
      </c>
      <c r="B227" t="s">
        <v>21</v>
      </c>
      <c r="C227" s="18">
        <v>44950</v>
      </c>
      <c r="D227">
        <v>26</v>
      </c>
    </row>
    <row r="228" spans="1:4" x14ac:dyDescent="0.3">
      <c r="A228" t="s">
        <v>173</v>
      </c>
      <c r="B228" t="s">
        <v>20</v>
      </c>
      <c r="C228" s="18">
        <v>44840</v>
      </c>
      <c r="D228">
        <v>10</v>
      </c>
    </row>
    <row r="229" spans="1:4" x14ac:dyDescent="0.3">
      <c r="A229" t="s">
        <v>174</v>
      </c>
      <c r="B229" t="s">
        <v>23</v>
      </c>
      <c r="C229" s="18">
        <v>44744</v>
      </c>
      <c r="D229">
        <v>65</v>
      </c>
    </row>
    <row r="230" spans="1:4" x14ac:dyDescent="0.3">
      <c r="A230" t="s">
        <v>174</v>
      </c>
      <c r="B230" t="s">
        <v>22</v>
      </c>
      <c r="C230" s="18">
        <v>44632</v>
      </c>
      <c r="D230">
        <v>62</v>
      </c>
    </row>
    <row r="231" spans="1:4" x14ac:dyDescent="0.3">
      <c r="A231" t="s">
        <v>175</v>
      </c>
      <c r="B231" t="s">
        <v>33</v>
      </c>
      <c r="C231" s="18">
        <v>44972</v>
      </c>
      <c r="D231">
        <v>27</v>
      </c>
    </row>
    <row r="232" spans="1:4" x14ac:dyDescent="0.3">
      <c r="A232" t="s">
        <v>175</v>
      </c>
      <c r="B232" t="s">
        <v>35</v>
      </c>
      <c r="C232" s="18">
        <v>44655</v>
      </c>
      <c r="D232">
        <v>26</v>
      </c>
    </row>
    <row r="233" spans="1:4" x14ac:dyDescent="0.3">
      <c r="A233" t="s">
        <v>175</v>
      </c>
      <c r="B233" t="s">
        <v>24</v>
      </c>
      <c r="C233" s="18">
        <v>44783</v>
      </c>
      <c r="D233">
        <v>13</v>
      </c>
    </row>
    <row r="234" spans="1:4" x14ac:dyDescent="0.3">
      <c r="A234" t="s">
        <v>176</v>
      </c>
      <c r="B234" t="s">
        <v>19</v>
      </c>
      <c r="C234" s="18">
        <v>44859</v>
      </c>
      <c r="D234">
        <v>25</v>
      </c>
    </row>
    <row r="235" spans="1:4" x14ac:dyDescent="0.3">
      <c r="A235" t="s">
        <v>176</v>
      </c>
      <c r="B235" t="s">
        <v>25</v>
      </c>
      <c r="C235" s="18">
        <v>44724</v>
      </c>
      <c r="D235">
        <v>16</v>
      </c>
    </row>
    <row r="236" spans="1:4" x14ac:dyDescent="0.3">
      <c r="A236" t="s">
        <v>177</v>
      </c>
      <c r="B236" t="s">
        <v>29</v>
      </c>
      <c r="C236" s="18">
        <v>44900</v>
      </c>
      <c r="D236">
        <v>28</v>
      </c>
    </row>
    <row r="237" spans="1:4" x14ac:dyDescent="0.3">
      <c r="A237" t="s">
        <v>177</v>
      </c>
      <c r="B237" t="s">
        <v>35</v>
      </c>
      <c r="C237" s="18">
        <v>44716</v>
      </c>
      <c r="D237">
        <v>26</v>
      </c>
    </row>
    <row r="238" spans="1:4" x14ac:dyDescent="0.3">
      <c r="A238" t="s">
        <v>178</v>
      </c>
      <c r="B238" t="s">
        <v>29</v>
      </c>
      <c r="C238" s="18">
        <v>44720</v>
      </c>
      <c r="D238">
        <v>28</v>
      </c>
    </row>
    <row r="239" spans="1:4" x14ac:dyDescent="0.3">
      <c r="A239" t="s">
        <v>178</v>
      </c>
      <c r="B239" t="s">
        <v>34</v>
      </c>
      <c r="C239" s="18">
        <v>44701</v>
      </c>
      <c r="D239">
        <v>22</v>
      </c>
    </row>
    <row r="240" spans="1:4" x14ac:dyDescent="0.3">
      <c r="A240" t="s">
        <v>179</v>
      </c>
      <c r="B240" t="s">
        <v>21</v>
      </c>
      <c r="C240" s="18">
        <v>44705</v>
      </c>
      <c r="D240">
        <v>26</v>
      </c>
    </row>
    <row r="241" spans="1:4" x14ac:dyDescent="0.3">
      <c r="A241" t="s">
        <v>179</v>
      </c>
      <c r="B241" t="s">
        <v>24</v>
      </c>
      <c r="C241" s="18">
        <v>45015</v>
      </c>
      <c r="D241">
        <v>13</v>
      </c>
    </row>
    <row r="242" spans="1:4" x14ac:dyDescent="0.3">
      <c r="A242" t="s">
        <v>180</v>
      </c>
      <c r="B242" t="s">
        <v>30</v>
      </c>
      <c r="C242" s="18">
        <v>44690</v>
      </c>
      <c r="D242">
        <v>75</v>
      </c>
    </row>
    <row r="243" spans="1:4" x14ac:dyDescent="0.3">
      <c r="A243" t="s">
        <v>180</v>
      </c>
      <c r="B243" t="s">
        <v>19</v>
      </c>
      <c r="C243" s="18">
        <v>44867</v>
      </c>
      <c r="D243">
        <v>25</v>
      </c>
    </row>
    <row r="244" spans="1:4" x14ac:dyDescent="0.3">
      <c r="A244" t="s">
        <v>180</v>
      </c>
      <c r="B244" t="s">
        <v>34</v>
      </c>
      <c r="C244" s="18">
        <v>44937</v>
      </c>
      <c r="D244">
        <v>22</v>
      </c>
    </row>
    <row r="245" spans="1:4" x14ac:dyDescent="0.3">
      <c r="A245" t="s">
        <v>181</v>
      </c>
      <c r="B245" t="s">
        <v>31</v>
      </c>
      <c r="C245" s="18">
        <v>44783</v>
      </c>
      <c r="D245">
        <v>62</v>
      </c>
    </row>
    <row r="246" spans="1:4" x14ac:dyDescent="0.3">
      <c r="A246" t="s">
        <v>181</v>
      </c>
      <c r="B246" t="s">
        <v>29</v>
      </c>
      <c r="C246" s="18">
        <v>44848</v>
      </c>
      <c r="D246">
        <v>28</v>
      </c>
    </row>
    <row r="247" spans="1:4" x14ac:dyDescent="0.3">
      <c r="A247" t="s">
        <v>182</v>
      </c>
      <c r="B247" t="s">
        <v>31</v>
      </c>
      <c r="C247" s="18">
        <v>44770</v>
      </c>
      <c r="D247">
        <v>62</v>
      </c>
    </row>
    <row r="248" spans="1:4" x14ac:dyDescent="0.3">
      <c r="A248" t="s">
        <v>182</v>
      </c>
      <c r="B248" t="s">
        <v>34</v>
      </c>
      <c r="C248" s="18">
        <v>44894</v>
      </c>
      <c r="D248">
        <v>22</v>
      </c>
    </row>
    <row r="249" spans="1:4" x14ac:dyDescent="0.3">
      <c r="A249" t="s">
        <v>183</v>
      </c>
      <c r="B249" t="s">
        <v>23</v>
      </c>
      <c r="C249" s="18">
        <v>44656</v>
      </c>
      <c r="D249">
        <v>65</v>
      </c>
    </row>
    <row r="250" spans="1:4" x14ac:dyDescent="0.3">
      <c r="A250" t="s">
        <v>183</v>
      </c>
      <c r="B250" t="s">
        <v>26</v>
      </c>
      <c r="C250" s="18">
        <v>44763</v>
      </c>
      <c r="D250">
        <v>29</v>
      </c>
    </row>
    <row r="251" spans="1:4" x14ac:dyDescent="0.3">
      <c r="A251" t="s">
        <v>183</v>
      </c>
      <c r="B251" t="s">
        <v>20</v>
      </c>
      <c r="C251" s="18">
        <v>44960</v>
      </c>
      <c r="D251">
        <v>10</v>
      </c>
    </row>
    <row r="252" spans="1:4" x14ac:dyDescent="0.3">
      <c r="A252" t="s">
        <v>184</v>
      </c>
      <c r="B252" t="s">
        <v>33</v>
      </c>
      <c r="C252" s="18">
        <v>44838</v>
      </c>
      <c r="D252">
        <v>27</v>
      </c>
    </row>
    <row r="253" spans="1:4" x14ac:dyDescent="0.3">
      <c r="A253" t="s">
        <v>184</v>
      </c>
      <c r="B253" t="s">
        <v>25</v>
      </c>
      <c r="C253" s="18">
        <v>44714</v>
      </c>
      <c r="D253">
        <v>16</v>
      </c>
    </row>
    <row r="254" spans="1:4" x14ac:dyDescent="0.3">
      <c r="A254" t="s">
        <v>185</v>
      </c>
      <c r="B254" t="s">
        <v>23</v>
      </c>
      <c r="C254" s="18">
        <v>44682</v>
      </c>
      <c r="D254">
        <v>65</v>
      </c>
    </row>
    <row r="255" spans="1:4" x14ac:dyDescent="0.3">
      <c r="A255" t="s">
        <v>185</v>
      </c>
      <c r="B255" t="s">
        <v>33</v>
      </c>
      <c r="C255" s="18">
        <v>44855</v>
      </c>
      <c r="D255">
        <v>27</v>
      </c>
    </row>
    <row r="256" spans="1:4" x14ac:dyDescent="0.3">
      <c r="A256" t="s">
        <v>186</v>
      </c>
      <c r="B256" t="s">
        <v>33</v>
      </c>
      <c r="C256" s="18">
        <v>44781</v>
      </c>
      <c r="D256">
        <v>27</v>
      </c>
    </row>
    <row r="257" spans="1:4" x14ac:dyDescent="0.3">
      <c r="A257" t="s">
        <v>186</v>
      </c>
      <c r="B257" t="s">
        <v>34</v>
      </c>
      <c r="C257" s="18">
        <v>44604</v>
      </c>
      <c r="D257">
        <v>22</v>
      </c>
    </row>
    <row r="258" spans="1:4" x14ac:dyDescent="0.3">
      <c r="A258" t="s">
        <v>187</v>
      </c>
      <c r="B258" t="s">
        <v>19</v>
      </c>
      <c r="C258" s="18">
        <v>44651</v>
      </c>
      <c r="D258">
        <v>25</v>
      </c>
    </row>
    <row r="259" spans="1:4" x14ac:dyDescent="0.3">
      <c r="A259" t="s">
        <v>188</v>
      </c>
      <c r="B259" t="s">
        <v>31</v>
      </c>
      <c r="C259" s="18">
        <v>44998</v>
      </c>
      <c r="D259">
        <v>62</v>
      </c>
    </row>
    <row r="260" spans="1:4" x14ac:dyDescent="0.3">
      <c r="A260" t="s">
        <v>189</v>
      </c>
      <c r="B260" t="s">
        <v>26</v>
      </c>
      <c r="C260" s="18">
        <v>44766</v>
      </c>
      <c r="D260">
        <v>29</v>
      </c>
    </row>
    <row r="261" spans="1:4" x14ac:dyDescent="0.3">
      <c r="A261" t="s">
        <v>189</v>
      </c>
      <c r="B261" t="s">
        <v>24</v>
      </c>
      <c r="C261" s="18">
        <v>44924</v>
      </c>
      <c r="D261">
        <v>13</v>
      </c>
    </row>
    <row r="262" spans="1:4" x14ac:dyDescent="0.3">
      <c r="A262" t="s">
        <v>190</v>
      </c>
      <c r="B262" t="s">
        <v>26</v>
      </c>
      <c r="C262" s="18">
        <v>44910</v>
      </c>
      <c r="D262">
        <v>29</v>
      </c>
    </row>
    <row r="263" spans="1:4" x14ac:dyDescent="0.3">
      <c r="A263" t="s">
        <v>190</v>
      </c>
      <c r="B263" t="s">
        <v>25</v>
      </c>
      <c r="C263" s="18">
        <v>44781</v>
      </c>
      <c r="D263">
        <v>16</v>
      </c>
    </row>
    <row r="264" spans="1:4" x14ac:dyDescent="0.3">
      <c r="A264" t="s">
        <v>191</v>
      </c>
      <c r="B264" t="s">
        <v>29</v>
      </c>
      <c r="C264" s="18">
        <v>44668</v>
      </c>
      <c r="D264">
        <v>28</v>
      </c>
    </row>
    <row r="265" spans="1:4" x14ac:dyDescent="0.3">
      <c r="A265" t="s">
        <v>191</v>
      </c>
      <c r="B265" t="s">
        <v>21</v>
      </c>
      <c r="C265" s="18">
        <v>44844</v>
      </c>
      <c r="D265">
        <v>26</v>
      </c>
    </row>
    <row r="266" spans="1:4" x14ac:dyDescent="0.3">
      <c r="A266" t="s">
        <v>192</v>
      </c>
      <c r="B266" t="s">
        <v>33</v>
      </c>
      <c r="C266" s="18">
        <v>44754</v>
      </c>
      <c r="D266">
        <v>27</v>
      </c>
    </row>
    <row r="267" spans="1:4" x14ac:dyDescent="0.3">
      <c r="A267" t="s">
        <v>192</v>
      </c>
      <c r="B267" t="s">
        <v>19</v>
      </c>
      <c r="C267" s="18">
        <v>44962</v>
      </c>
      <c r="D267">
        <v>25</v>
      </c>
    </row>
    <row r="268" spans="1:4" x14ac:dyDescent="0.3">
      <c r="A268" t="s">
        <v>193</v>
      </c>
      <c r="B268" t="s">
        <v>27</v>
      </c>
      <c r="C268" s="18">
        <v>44603</v>
      </c>
      <c r="D268">
        <v>25</v>
      </c>
    </row>
    <row r="269" spans="1:4" x14ac:dyDescent="0.3">
      <c r="A269" t="s">
        <v>193</v>
      </c>
      <c r="B269" t="s">
        <v>24</v>
      </c>
      <c r="C269" s="18">
        <v>44697</v>
      </c>
      <c r="D269">
        <v>13</v>
      </c>
    </row>
    <row r="270" spans="1:4" x14ac:dyDescent="0.3">
      <c r="A270" t="s">
        <v>194</v>
      </c>
      <c r="B270" t="s">
        <v>30</v>
      </c>
      <c r="C270" s="18">
        <v>44624</v>
      </c>
      <c r="D270">
        <v>75</v>
      </c>
    </row>
    <row r="271" spans="1:4" x14ac:dyDescent="0.3">
      <c r="A271" t="s">
        <v>194</v>
      </c>
      <c r="B271" t="s">
        <v>26</v>
      </c>
      <c r="C271" s="18">
        <v>44896</v>
      </c>
      <c r="D271">
        <v>29</v>
      </c>
    </row>
    <row r="272" spans="1:4" x14ac:dyDescent="0.3">
      <c r="A272" t="s">
        <v>195</v>
      </c>
      <c r="B272" t="s">
        <v>30</v>
      </c>
      <c r="C272" s="18">
        <v>44671</v>
      </c>
      <c r="D272">
        <v>75</v>
      </c>
    </row>
    <row r="273" spans="1:4" x14ac:dyDescent="0.3">
      <c r="A273" t="s">
        <v>195</v>
      </c>
      <c r="B273" t="s">
        <v>23</v>
      </c>
      <c r="C273" s="18">
        <v>44712</v>
      </c>
      <c r="D273">
        <v>65</v>
      </c>
    </row>
    <row r="274" spans="1:4" x14ac:dyDescent="0.3">
      <c r="A274" t="s">
        <v>196</v>
      </c>
      <c r="B274" t="s">
        <v>30</v>
      </c>
      <c r="C274" s="18">
        <v>44880</v>
      </c>
      <c r="D274">
        <v>75</v>
      </c>
    </row>
    <row r="275" spans="1:4" x14ac:dyDescent="0.3">
      <c r="A275" t="s">
        <v>196</v>
      </c>
      <c r="B275" t="s">
        <v>28</v>
      </c>
      <c r="C275" s="18">
        <v>44814</v>
      </c>
      <c r="D275">
        <v>66</v>
      </c>
    </row>
    <row r="276" spans="1:4" x14ac:dyDescent="0.3">
      <c r="A276" t="s">
        <v>197</v>
      </c>
      <c r="B276" t="s">
        <v>27</v>
      </c>
      <c r="C276" s="18">
        <v>44846</v>
      </c>
      <c r="D276">
        <v>25</v>
      </c>
    </row>
    <row r="277" spans="1:4" x14ac:dyDescent="0.3">
      <c r="A277" t="s">
        <v>197</v>
      </c>
      <c r="B277" t="s">
        <v>19</v>
      </c>
      <c r="C277" s="18">
        <v>44767</v>
      </c>
      <c r="D277">
        <v>25</v>
      </c>
    </row>
    <row r="278" spans="1:4" x14ac:dyDescent="0.3">
      <c r="A278" t="s">
        <v>198</v>
      </c>
      <c r="B278" t="s">
        <v>34</v>
      </c>
      <c r="C278" s="18">
        <v>44660</v>
      </c>
      <c r="D278">
        <v>22</v>
      </c>
    </row>
    <row r="279" spans="1:4" x14ac:dyDescent="0.3">
      <c r="A279" t="s">
        <v>199</v>
      </c>
      <c r="B279" t="s">
        <v>22</v>
      </c>
      <c r="C279" s="18">
        <v>44866</v>
      </c>
      <c r="D279">
        <v>62</v>
      </c>
    </row>
    <row r="280" spans="1:4" x14ac:dyDescent="0.3">
      <c r="A280" t="s">
        <v>199</v>
      </c>
      <c r="B280" t="s">
        <v>24</v>
      </c>
      <c r="C280" s="18">
        <v>44771</v>
      </c>
      <c r="D280">
        <v>13</v>
      </c>
    </row>
    <row r="281" spans="1:4" x14ac:dyDescent="0.3">
      <c r="A281" t="s">
        <v>200</v>
      </c>
      <c r="B281" t="s">
        <v>30</v>
      </c>
      <c r="C281" s="18">
        <v>44582</v>
      </c>
      <c r="D281">
        <v>75</v>
      </c>
    </row>
    <row r="282" spans="1:4" x14ac:dyDescent="0.3">
      <c r="A282" t="s">
        <v>200</v>
      </c>
      <c r="B282" t="s">
        <v>28</v>
      </c>
      <c r="C282" s="18">
        <v>45021</v>
      </c>
      <c r="D282">
        <v>66</v>
      </c>
    </row>
    <row r="283" spans="1:4" x14ac:dyDescent="0.3">
      <c r="A283" t="s">
        <v>201</v>
      </c>
      <c r="B283" t="s">
        <v>26</v>
      </c>
      <c r="C283" s="18">
        <v>44942</v>
      </c>
      <c r="D283">
        <v>29</v>
      </c>
    </row>
    <row r="284" spans="1:4" x14ac:dyDescent="0.3">
      <c r="A284" t="s">
        <v>201</v>
      </c>
      <c r="B284" t="s">
        <v>29</v>
      </c>
      <c r="C284" s="18">
        <v>44976</v>
      </c>
      <c r="D284">
        <v>28</v>
      </c>
    </row>
    <row r="285" spans="1:4" x14ac:dyDescent="0.3">
      <c r="A285" t="s">
        <v>202</v>
      </c>
      <c r="B285" t="s">
        <v>26</v>
      </c>
      <c r="C285" s="18">
        <v>44868</v>
      </c>
      <c r="D285">
        <v>29</v>
      </c>
    </row>
    <row r="286" spans="1:4" x14ac:dyDescent="0.3">
      <c r="A286" t="s">
        <v>202</v>
      </c>
      <c r="B286" t="s">
        <v>32</v>
      </c>
      <c r="C286" s="18">
        <v>44909</v>
      </c>
      <c r="D286">
        <v>14</v>
      </c>
    </row>
    <row r="287" spans="1:4" x14ac:dyDescent="0.3">
      <c r="A287" t="s">
        <v>203</v>
      </c>
      <c r="B287" t="s">
        <v>22</v>
      </c>
      <c r="C287" s="18">
        <v>44871</v>
      </c>
      <c r="D287">
        <v>62</v>
      </c>
    </row>
    <row r="288" spans="1:4" x14ac:dyDescent="0.3">
      <c r="A288" t="s">
        <v>203</v>
      </c>
      <c r="B288" t="s">
        <v>27</v>
      </c>
      <c r="C288" s="18">
        <v>44807</v>
      </c>
      <c r="D288">
        <v>25</v>
      </c>
    </row>
    <row r="289" spans="1:4" x14ac:dyDescent="0.3">
      <c r="A289" t="s">
        <v>204</v>
      </c>
      <c r="B289" t="s">
        <v>21</v>
      </c>
      <c r="C289" s="18">
        <v>44718</v>
      </c>
      <c r="D289">
        <v>26</v>
      </c>
    </row>
    <row r="290" spans="1:4" x14ac:dyDescent="0.3">
      <c r="A290" t="s">
        <v>204</v>
      </c>
      <c r="B290" t="s">
        <v>19</v>
      </c>
      <c r="C290" s="18">
        <v>44837</v>
      </c>
      <c r="D290">
        <v>25</v>
      </c>
    </row>
    <row r="291" spans="1:4" x14ac:dyDescent="0.3">
      <c r="A291" t="s">
        <v>205</v>
      </c>
      <c r="B291" t="s">
        <v>29</v>
      </c>
      <c r="C291" s="18">
        <v>44871</v>
      </c>
      <c r="D291">
        <v>28</v>
      </c>
    </row>
    <row r="292" spans="1:4" x14ac:dyDescent="0.3">
      <c r="A292" t="s">
        <v>205</v>
      </c>
      <c r="B292" t="s">
        <v>24</v>
      </c>
      <c r="C292" s="18">
        <v>44863</v>
      </c>
      <c r="D292">
        <v>13</v>
      </c>
    </row>
    <row r="293" spans="1:4" x14ac:dyDescent="0.3">
      <c r="A293" t="s">
        <v>206</v>
      </c>
      <c r="B293" t="s">
        <v>22</v>
      </c>
      <c r="C293" s="18">
        <v>44673</v>
      </c>
      <c r="D293">
        <v>62</v>
      </c>
    </row>
    <row r="294" spans="1:4" x14ac:dyDescent="0.3">
      <c r="A294" t="s">
        <v>206</v>
      </c>
      <c r="B294" t="s">
        <v>24</v>
      </c>
      <c r="C294" s="18">
        <v>44715</v>
      </c>
      <c r="D294">
        <v>13</v>
      </c>
    </row>
    <row r="295" spans="1:4" x14ac:dyDescent="0.3">
      <c r="A295" t="s">
        <v>207</v>
      </c>
      <c r="B295" t="s">
        <v>30</v>
      </c>
      <c r="C295" s="18">
        <v>44766</v>
      </c>
      <c r="D295">
        <v>75</v>
      </c>
    </row>
    <row r="296" spans="1:4" x14ac:dyDescent="0.3">
      <c r="A296" t="s">
        <v>207</v>
      </c>
      <c r="B296" t="s">
        <v>31</v>
      </c>
      <c r="C296" s="18">
        <v>44952</v>
      </c>
      <c r="D296">
        <v>62</v>
      </c>
    </row>
    <row r="297" spans="1:4" x14ac:dyDescent="0.3">
      <c r="A297" t="s">
        <v>207</v>
      </c>
      <c r="B297" t="s">
        <v>33</v>
      </c>
      <c r="C297" s="18">
        <v>44773</v>
      </c>
      <c r="D297">
        <v>27</v>
      </c>
    </row>
    <row r="298" spans="1:4" x14ac:dyDescent="0.3">
      <c r="A298" t="s">
        <v>208</v>
      </c>
      <c r="B298" t="s">
        <v>35</v>
      </c>
      <c r="C298" s="18">
        <v>44969</v>
      </c>
      <c r="D298">
        <v>26</v>
      </c>
    </row>
    <row r="299" spans="1:4" x14ac:dyDescent="0.3">
      <c r="A299" t="s">
        <v>208</v>
      </c>
      <c r="B299" t="s">
        <v>27</v>
      </c>
      <c r="C299" s="18">
        <v>44587</v>
      </c>
      <c r="D299">
        <v>25</v>
      </c>
    </row>
    <row r="300" spans="1:4" x14ac:dyDescent="0.3">
      <c r="A300" t="s">
        <v>209</v>
      </c>
      <c r="B300" t="s">
        <v>25</v>
      </c>
      <c r="C300" s="18">
        <v>44659</v>
      </c>
      <c r="D300">
        <v>16</v>
      </c>
    </row>
    <row r="301" spans="1:4" x14ac:dyDescent="0.3">
      <c r="A301" t="s">
        <v>210</v>
      </c>
      <c r="B301" t="s">
        <v>31</v>
      </c>
      <c r="C301" s="18">
        <v>44854</v>
      </c>
      <c r="D301">
        <v>62</v>
      </c>
    </row>
    <row r="302" spans="1:4" x14ac:dyDescent="0.3">
      <c r="A302" t="s">
        <v>210</v>
      </c>
      <c r="B302" t="s">
        <v>32</v>
      </c>
      <c r="C302" s="18">
        <v>44712</v>
      </c>
      <c r="D302">
        <v>14</v>
      </c>
    </row>
    <row r="303" spans="1:4" x14ac:dyDescent="0.3">
      <c r="A303" t="s">
        <v>211</v>
      </c>
      <c r="B303" t="s">
        <v>29</v>
      </c>
      <c r="C303" s="18">
        <v>44661</v>
      </c>
      <c r="D303">
        <v>28</v>
      </c>
    </row>
    <row r="304" spans="1:4" x14ac:dyDescent="0.3">
      <c r="A304" t="s">
        <v>211</v>
      </c>
      <c r="B304" t="s">
        <v>24</v>
      </c>
      <c r="C304" s="18">
        <v>44885</v>
      </c>
      <c r="D304">
        <v>13</v>
      </c>
    </row>
    <row r="305" spans="1:4" x14ac:dyDescent="0.3">
      <c r="A305" t="s">
        <v>212</v>
      </c>
      <c r="B305" t="s">
        <v>33</v>
      </c>
      <c r="C305" s="18">
        <v>44828</v>
      </c>
      <c r="D305">
        <v>27</v>
      </c>
    </row>
    <row r="306" spans="1:4" x14ac:dyDescent="0.3">
      <c r="A306" t="s">
        <v>213</v>
      </c>
      <c r="B306" t="s">
        <v>27</v>
      </c>
      <c r="C306" s="18">
        <v>44775</v>
      </c>
      <c r="D306">
        <v>25</v>
      </c>
    </row>
    <row r="307" spans="1:4" x14ac:dyDescent="0.3">
      <c r="A307" t="s">
        <v>213</v>
      </c>
      <c r="B307" t="s">
        <v>25</v>
      </c>
      <c r="C307" s="18">
        <v>44821</v>
      </c>
      <c r="D307">
        <v>16</v>
      </c>
    </row>
    <row r="308" spans="1:4" x14ac:dyDescent="0.3">
      <c r="A308" t="s">
        <v>214</v>
      </c>
      <c r="B308" t="s">
        <v>29</v>
      </c>
      <c r="C308" s="18">
        <v>44942</v>
      </c>
      <c r="D308">
        <v>28</v>
      </c>
    </row>
    <row r="309" spans="1:4" x14ac:dyDescent="0.3">
      <c r="A309" t="s">
        <v>214</v>
      </c>
      <c r="B309" t="s">
        <v>35</v>
      </c>
      <c r="C309" s="18">
        <v>44608</v>
      </c>
      <c r="D309">
        <v>26</v>
      </c>
    </row>
    <row r="310" spans="1:4" x14ac:dyDescent="0.3">
      <c r="A310" t="s">
        <v>215</v>
      </c>
      <c r="B310" t="s">
        <v>28</v>
      </c>
      <c r="C310" s="18">
        <v>44642</v>
      </c>
      <c r="D310">
        <v>66</v>
      </c>
    </row>
    <row r="311" spans="1:4" x14ac:dyDescent="0.3">
      <c r="A311" t="s">
        <v>215</v>
      </c>
      <c r="B311" t="s">
        <v>27</v>
      </c>
      <c r="C311" s="18">
        <v>44812</v>
      </c>
      <c r="D311">
        <v>25</v>
      </c>
    </row>
    <row r="312" spans="1:4" x14ac:dyDescent="0.3">
      <c r="A312" t="s">
        <v>216</v>
      </c>
      <c r="B312" t="s">
        <v>32</v>
      </c>
      <c r="C312" s="18">
        <v>44847</v>
      </c>
      <c r="D312">
        <v>14</v>
      </c>
    </row>
    <row r="313" spans="1:4" x14ac:dyDescent="0.3">
      <c r="A313" t="s">
        <v>216</v>
      </c>
      <c r="B313" t="s">
        <v>20</v>
      </c>
      <c r="C313" s="18">
        <v>44984</v>
      </c>
      <c r="D313">
        <v>10</v>
      </c>
    </row>
    <row r="314" spans="1:4" x14ac:dyDescent="0.3">
      <c r="A314" t="s">
        <v>217</v>
      </c>
      <c r="B314" t="s">
        <v>22</v>
      </c>
      <c r="C314" s="18">
        <v>44715</v>
      </c>
      <c r="D314">
        <v>62</v>
      </c>
    </row>
    <row r="315" spans="1:4" x14ac:dyDescent="0.3">
      <c r="A315" t="s">
        <v>217</v>
      </c>
      <c r="B315" t="s">
        <v>24</v>
      </c>
      <c r="C315" s="18">
        <v>45017</v>
      </c>
      <c r="D315">
        <v>13</v>
      </c>
    </row>
    <row r="316" spans="1:4" x14ac:dyDescent="0.3">
      <c r="A316" t="s">
        <v>218</v>
      </c>
      <c r="B316" t="s">
        <v>33</v>
      </c>
      <c r="C316" s="18">
        <v>44739</v>
      </c>
      <c r="D316">
        <v>27</v>
      </c>
    </row>
    <row r="317" spans="1:4" x14ac:dyDescent="0.3">
      <c r="A317" t="s">
        <v>218</v>
      </c>
      <c r="B317" t="s">
        <v>32</v>
      </c>
      <c r="C317" s="18">
        <v>44779</v>
      </c>
      <c r="D317">
        <v>14</v>
      </c>
    </row>
    <row r="318" spans="1:4" x14ac:dyDescent="0.3">
      <c r="A318" t="s">
        <v>219</v>
      </c>
      <c r="B318" t="s">
        <v>27</v>
      </c>
      <c r="C318" s="18">
        <v>44673</v>
      </c>
      <c r="D318">
        <v>25</v>
      </c>
    </row>
    <row r="319" spans="1:4" x14ac:dyDescent="0.3">
      <c r="A319" t="s">
        <v>219</v>
      </c>
      <c r="B319" t="s">
        <v>34</v>
      </c>
      <c r="C319" s="18">
        <v>44615</v>
      </c>
      <c r="D319">
        <v>22</v>
      </c>
    </row>
    <row r="320" spans="1:4" x14ac:dyDescent="0.3">
      <c r="A320" t="s">
        <v>220</v>
      </c>
      <c r="B320" t="s">
        <v>31</v>
      </c>
      <c r="C320" s="18">
        <v>44893</v>
      </c>
      <c r="D320">
        <v>62</v>
      </c>
    </row>
    <row r="321" spans="1:4" x14ac:dyDescent="0.3">
      <c r="A321" t="s">
        <v>220</v>
      </c>
      <c r="B321" t="s">
        <v>22</v>
      </c>
      <c r="C321" s="18">
        <v>44933</v>
      </c>
      <c r="D321">
        <v>62</v>
      </c>
    </row>
    <row r="322" spans="1:4" x14ac:dyDescent="0.3">
      <c r="A322" t="s">
        <v>221</v>
      </c>
      <c r="B322" t="s">
        <v>25</v>
      </c>
      <c r="C322" s="18">
        <v>44564</v>
      </c>
      <c r="D322">
        <v>16</v>
      </c>
    </row>
    <row r="323" spans="1:4" x14ac:dyDescent="0.3">
      <c r="A323" t="s">
        <v>222</v>
      </c>
      <c r="B323" t="s">
        <v>28</v>
      </c>
      <c r="C323" s="18">
        <v>45005</v>
      </c>
      <c r="D323">
        <v>66</v>
      </c>
    </row>
    <row r="324" spans="1:4" x14ac:dyDescent="0.3">
      <c r="A324" t="s">
        <v>222</v>
      </c>
      <c r="B324" t="s">
        <v>26</v>
      </c>
      <c r="C324" s="18">
        <v>44965</v>
      </c>
      <c r="D324">
        <v>29</v>
      </c>
    </row>
    <row r="325" spans="1:4" x14ac:dyDescent="0.3">
      <c r="A325" t="s">
        <v>223</v>
      </c>
      <c r="B325" t="s">
        <v>21</v>
      </c>
      <c r="C325" s="18">
        <v>44882</v>
      </c>
      <c r="D325">
        <v>26</v>
      </c>
    </row>
    <row r="326" spans="1:4" x14ac:dyDescent="0.3">
      <c r="A326" t="s">
        <v>224</v>
      </c>
      <c r="B326" t="s">
        <v>20</v>
      </c>
      <c r="C326" s="18">
        <v>44833</v>
      </c>
      <c r="D326">
        <v>10</v>
      </c>
    </row>
    <row r="327" spans="1:4" x14ac:dyDescent="0.3">
      <c r="A327" t="s">
        <v>225</v>
      </c>
      <c r="B327" t="s">
        <v>33</v>
      </c>
      <c r="C327" s="18">
        <v>44798</v>
      </c>
      <c r="D327">
        <v>27</v>
      </c>
    </row>
    <row r="328" spans="1:4" x14ac:dyDescent="0.3">
      <c r="A328" t="s">
        <v>226</v>
      </c>
      <c r="B328" t="s">
        <v>21</v>
      </c>
      <c r="C328" s="18">
        <v>44659</v>
      </c>
      <c r="D328">
        <v>26</v>
      </c>
    </row>
    <row r="329" spans="1:4" x14ac:dyDescent="0.3">
      <c r="A329" t="s">
        <v>227</v>
      </c>
      <c r="B329" t="s">
        <v>28</v>
      </c>
      <c r="C329" s="18">
        <v>44950</v>
      </c>
      <c r="D329">
        <v>66</v>
      </c>
    </row>
    <row r="330" spans="1:4" x14ac:dyDescent="0.3">
      <c r="A330" t="s">
        <v>227</v>
      </c>
      <c r="B330" t="s">
        <v>31</v>
      </c>
      <c r="C330" s="18">
        <v>44866</v>
      </c>
      <c r="D330">
        <v>62</v>
      </c>
    </row>
    <row r="331" spans="1:4" x14ac:dyDescent="0.3">
      <c r="A331" t="s">
        <v>227</v>
      </c>
      <c r="B331" t="s">
        <v>32</v>
      </c>
      <c r="C331" s="18">
        <v>44719</v>
      </c>
      <c r="D331">
        <v>14</v>
      </c>
    </row>
    <row r="332" spans="1:4" x14ac:dyDescent="0.3">
      <c r="A332" t="s">
        <v>228</v>
      </c>
      <c r="B332" t="s">
        <v>31</v>
      </c>
      <c r="C332" s="18">
        <v>44893</v>
      </c>
      <c r="D332">
        <v>62</v>
      </c>
    </row>
    <row r="333" spans="1:4" x14ac:dyDescent="0.3">
      <c r="A333" t="s">
        <v>228</v>
      </c>
      <c r="B333" t="s">
        <v>22</v>
      </c>
      <c r="C333" s="18">
        <v>44893</v>
      </c>
      <c r="D333">
        <v>62</v>
      </c>
    </row>
    <row r="334" spans="1:4" x14ac:dyDescent="0.3">
      <c r="A334" t="s">
        <v>229</v>
      </c>
      <c r="B334" t="s">
        <v>34</v>
      </c>
      <c r="C334" s="18">
        <v>44696</v>
      </c>
      <c r="D334">
        <v>22</v>
      </c>
    </row>
    <row r="335" spans="1:4" x14ac:dyDescent="0.3">
      <c r="A335" t="s">
        <v>229</v>
      </c>
      <c r="B335" t="s">
        <v>20</v>
      </c>
      <c r="C335" s="18">
        <v>44950</v>
      </c>
      <c r="D335">
        <v>10</v>
      </c>
    </row>
    <row r="336" spans="1:4" x14ac:dyDescent="0.3">
      <c r="A336" t="s">
        <v>230</v>
      </c>
      <c r="B336" t="s">
        <v>27</v>
      </c>
      <c r="C336" s="18">
        <v>44872</v>
      </c>
      <c r="D336">
        <v>25</v>
      </c>
    </row>
    <row r="337" spans="1:4" x14ac:dyDescent="0.3">
      <c r="A337" t="s">
        <v>230</v>
      </c>
      <c r="B337" t="s">
        <v>19</v>
      </c>
      <c r="C337" s="18">
        <v>45037</v>
      </c>
      <c r="D337">
        <v>25</v>
      </c>
    </row>
    <row r="338" spans="1:4" x14ac:dyDescent="0.3">
      <c r="A338" t="s">
        <v>231</v>
      </c>
      <c r="B338" t="s">
        <v>31</v>
      </c>
      <c r="C338" s="18">
        <v>45000</v>
      </c>
      <c r="D338">
        <v>62</v>
      </c>
    </row>
    <row r="339" spans="1:4" x14ac:dyDescent="0.3">
      <c r="A339" t="s">
        <v>231</v>
      </c>
      <c r="B339" t="s">
        <v>20</v>
      </c>
      <c r="C339" s="18">
        <v>44730</v>
      </c>
      <c r="D339">
        <v>10</v>
      </c>
    </row>
    <row r="340" spans="1:4" x14ac:dyDescent="0.3">
      <c r="A340" t="s">
        <v>232</v>
      </c>
      <c r="B340" t="s">
        <v>22</v>
      </c>
      <c r="C340" s="18">
        <v>44957</v>
      </c>
      <c r="D340">
        <v>62</v>
      </c>
    </row>
    <row r="341" spans="1:4" x14ac:dyDescent="0.3">
      <c r="A341" t="s">
        <v>232</v>
      </c>
      <c r="B341" t="s">
        <v>35</v>
      </c>
      <c r="C341" s="18">
        <v>44663</v>
      </c>
      <c r="D341">
        <v>26</v>
      </c>
    </row>
    <row r="342" spans="1:4" x14ac:dyDescent="0.3">
      <c r="A342" t="s">
        <v>233</v>
      </c>
      <c r="B342" t="s">
        <v>30</v>
      </c>
      <c r="C342" s="18">
        <v>44990</v>
      </c>
      <c r="D342">
        <v>75</v>
      </c>
    </row>
    <row r="343" spans="1:4" x14ac:dyDescent="0.3">
      <c r="A343" t="s">
        <v>233</v>
      </c>
      <c r="B343" t="s">
        <v>19</v>
      </c>
      <c r="C343" s="18">
        <v>45038</v>
      </c>
      <c r="D343">
        <v>25</v>
      </c>
    </row>
    <row r="344" spans="1:4" x14ac:dyDescent="0.3">
      <c r="A344" t="s">
        <v>234</v>
      </c>
      <c r="B344" t="s">
        <v>25</v>
      </c>
      <c r="C344" s="18">
        <v>45023</v>
      </c>
      <c r="D344">
        <v>16</v>
      </c>
    </row>
    <row r="345" spans="1:4" x14ac:dyDescent="0.3">
      <c r="A345" t="s">
        <v>234</v>
      </c>
      <c r="B345" t="s">
        <v>24</v>
      </c>
      <c r="C345" s="18">
        <v>44808</v>
      </c>
      <c r="D345">
        <v>13</v>
      </c>
    </row>
    <row r="346" spans="1:4" x14ac:dyDescent="0.3">
      <c r="A346" t="s">
        <v>235</v>
      </c>
      <c r="B346" t="s">
        <v>33</v>
      </c>
      <c r="C346" s="18">
        <v>44950</v>
      </c>
      <c r="D346">
        <v>27</v>
      </c>
    </row>
    <row r="347" spans="1:4" x14ac:dyDescent="0.3">
      <c r="A347" t="s">
        <v>235</v>
      </c>
      <c r="B347" t="s">
        <v>24</v>
      </c>
      <c r="C347" s="18">
        <v>44674</v>
      </c>
      <c r="D347">
        <v>13</v>
      </c>
    </row>
    <row r="348" spans="1:4" x14ac:dyDescent="0.3">
      <c r="A348" t="s">
        <v>236</v>
      </c>
      <c r="B348" t="s">
        <v>26</v>
      </c>
      <c r="C348" s="18">
        <v>44801</v>
      </c>
      <c r="D348">
        <v>29</v>
      </c>
    </row>
    <row r="349" spans="1:4" x14ac:dyDescent="0.3">
      <c r="A349" t="s">
        <v>236</v>
      </c>
      <c r="B349" t="s">
        <v>32</v>
      </c>
      <c r="C349" s="18">
        <v>44770</v>
      </c>
      <c r="D349">
        <v>14</v>
      </c>
    </row>
    <row r="350" spans="1:4" x14ac:dyDescent="0.3">
      <c r="A350" t="s">
        <v>237</v>
      </c>
      <c r="B350" t="s">
        <v>28</v>
      </c>
      <c r="C350" s="18">
        <v>45017</v>
      </c>
      <c r="D350">
        <v>66</v>
      </c>
    </row>
    <row r="351" spans="1:4" x14ac:dyDescent="0.3">
      <c r="A351" t="s">
        <v>237</v>
      </c>
      <c r="B351" t="s">
        <v>22</v>
      </c>
      <c r="C351" s="18">
        <v>44982</v>
      </c>
      <c r="D351">
        <v>62</v>
      </c>
    </row>
    <row r="352" spans="1:4" x14ac:dyDescent="0.3">
      <c r="A352" t="s">
        <v>238</v>
      </c>
      <c r="B352" t="s">
        <v>30</v>
      </c>
      <c r="C352" s="18">
        <v>44847</v>
      </c>
      <c r="D352">
        <v>75</v>
      </c>
    </row>
    <row r="353" spans="1:4" x14ac:dyDescent="0.3">
      <c r="A353" t="s">
        <v>238</v>
      </c>
      <c r="B353" t="s">
        <v>33</v>
      </c>
      <c r="C353" s="18">
        <v>44843</v>
      </c>
      <c r="D353">
        <v>27</v>
      </c>
    </row>
    <row r="354" spans="1:4" x14ac:dyDescent="0.3">
      <c r="A354" t="s">
        <v>239</v>
      </c>
      <c r="B354" t="s">
        <v>35</v>
      </c>
      <c r="C354" s="18">
        <v>44712</v>
      </c>
      <c r="D354">
        <v>26</v>
      </c>
    </row>
    <row r="355" spans="1:4" x14ac:dyDescent="0.3">
      <c r="A355" t="s">
        <v>239</v>
      </c>
      <c r="B355" t="s">
        <v>24</v>
      </c>
      <c r="C355" s="18">
        <v>44781</v>
      </c>
      <c r="D355">
        <v>13</v>
      </c>
    </row>
    <row r="356" spans="1:4" x14ac:dyDescent="0.3">
      <c r="A356" t="s">
        <v>240</v>
      </c>
      <c r="B356" t="s">
        <v>30</v>
      </c>
      <c r="C356" s="18">
        <v>44958</v>
      </c>
      <c r="D356">
        <v>75</v>
      </c>
    </row>
    <row r="357" spans="1:4" x14ac:dyDescent="0.3">
      <c r="A357" t="s">
        <v>240</v>
      </c>
      <c r="B357" t="s">
        <v>20</v>
      </c>
      <c r="C357" s="18">
        <v>44710</v>
      </c>
      <c r="D357">
        <v>10</v>
      </c>
    </row>
    <row r="358" spans="1:4" x14ac:dyDescent="0.3">
      <c r="A358" t="s">
        <v>241</v>
      </c>
      <c r="B358" t="s">
        <v>21</v>
      </c>
      <c r="C358" s="18">
        <v>44912</v>
      </c>
      <c r="D358">
        <v>26</v>
      </c>
    </row>
    <row r="359" spans="1:4" x14ac:dyDescent="0.3">
      <c r="A359" t="s">
        <v>241</v>
      </c>
      <c r="B359" t="s">
        <v>20</v>
      </c>
      <c r="C359" s="18">
        <v>45041</v>
      </c>
      <c r="D359">
        <v>10</v>
      </c>
    </row>
    <row r="360" spans="1:4" x14ac:dyDescent="0.3">
      <c r="A360" t="s">
        <v>242</v>
      </c>
      <c r="B360" t="s">
        <v>30</v>
      </c>
      <c r="C360" s="18">
        <v>44996</v>
      </c>
      <c r="D360">
        <v>75</v>
      </c>
    </row>
    <row r="361" spans="1:4" x14ac:dyDescent="0.3">
      <c r="A361" t="s">
        <v>242</v>
      </c>
      <c r="B361" t="s">
        <v>31</v>
      </c>
      <c r="C361" s="18">
        <v>44849</v>
      </c>
      <c r="D361">
        <v>62</v>
      </c>
    </row>
    <row r="362" spans="1:4" x14ac:dyDescent="0.3">
      <c r="A362" t="s">
        <v>243</v>
      </c>
      <c r="B362" t="s">
        <v>33</v>
      </c>
      <c r="C362" s="18">
        <v>44820</v>
      </c>
      <c r="D362">
        <v>27</v>
      </c>
    </row>
    <row r="363" spans="1:4" x14ac:dyDescent="0.3">
      <c r="A363" t="s">
        <v>243</v>
      </c>
      <c r="B363" t="s">
        <v>19</v>
      </c>
      <c r="C363" s="18">
        <v>44980</v>
      </c>
      <c r="D363">
        <v>25</v>
      </c>
    </row>
    <row r="364" spans="1:4" x14ac:dyDescent="0.3">
      <c r="A364" t="s">
        <v>244</v>
      </c>
      <c r="B364" t="s">
        <v>23</v>
      </c>
      <c r="C364" s="18">
        <v>44664</v>
      </c>
      <c r="D364">
        <v>65</v>
      </c>
    </row>
    <row r="365" spans="1:4" x14ac:dyDescent="0.3">
      <c r="A365" t="s">
        <v>244</v>
      </c>
      <c r="B365" t="s">
        <v>27</v>
      </c>
      <c r="C365" s="18">
        <v>45034</v>
      </c>
      <c r="D365">
        <v>25</v>
      </c>
    </row>
    <row r="366" spans="1:4" x14ac:dyDescent="0.3">
      <c r="A366" t="s">
        <v>245</v>
      </c>
      <c r="B366" t="s">
        <v>32</v>
      </c>
      <c r="C366" s="18">
        <v>44717</v>
      </c>
      <c r="D366">
        <v>14</v>
      </c>
    </row>
    <row r="367" spans="1:4" x14ac:dyDescent="0.3">
      <c r="A367" t="s">
        <v>245</v>
      </c>
      <c r="B367" t="s">
        <v>24</v>
      </c>
      <c r="C367" s="18">
        <v>44922</v>
      </c>
      <c r="D367">
        <v>13</v>
      </c>
    </row>
    <row r="368" spans="1:4" x14ac:dyDescent="0.3">
      <c r="A368" t="s">
        <v>246</v>
      </c>
      <c r="B368" t="s">
        <v>26</v>
      </c>
      <c r="C368" s="18">
        <v>45036</v>
      </c>
      <c r="D368">
        <v>29</v>
      </c>
    </row>
    <row r="369" spans="1:4" x14ac:dyDescent="0.3">
      <c r="A369" t="s">
        <v>246</v>
      </c>
      <c r="B369" t="s">
        <v>21</v>
      </c>
      <c r="C369" s="18">
        <v>44897</v>
      </c>
      <c r="D369">
        <v>26</v>
      </c>
    </row>
    <row r="370" spans="1:4" x14ac:dyDescent="0.3">
      <c r="A370" t="s">
        <v>247</v>
      </c>
      <c r="B370" t="s">
        <v>23</v>
      </c>
      <c r="C370" s="18">
        <v>45025</v>
      </c>
      <c r="D370">
        <v>65</v>
      </c>
    </row>
    <row r="371" spans="1:4" x14ac:dyDescent="0.3">
      <c r="A371" t="s">
        <v>247</v>
      </c>
      <c r="B371" t="s">
        <v>21</v>
      </c>
      <c r="C371" s="18">
        <v>44704</v>
      </c>
      <c r="D371">
        <v>26</v>
      </c>
    </row>
    <row r="372" spans="1:4" x14ac:dyDescent="0.3">
      <c r="A372" t="s">
        <v>247</v>
      </c>
      <c r="B372" t="s">
        <v>34</v>
      </c>
      <c r="C372" s="18">
        <v>44910</v>
      </c>
      <c r="D372">
        <v>22</v>
      </c>
    </row>
    <row r="373" spans="1:4" x14ac:dyDescent="0.3">
      <c r="A373" t="s">
        <v>248</v>
      </c>
      <c r="B373" t="s">
        <v>22</v>
      </c>
      <c r="C373" s="18">
        <v>44994</v>
      </c>
      <c r="D373">
        <v>62</v>
      </c>
    </row>
    <row r="374" spans="1:4" x14ac:dyDescent="0.3">
      <c r="A374" t="s">
        <v>248</v>
      </c>
      <c r="B374" t="s">
        <v>35</v>
      </c>
      <c r="C374" s="18">
        <v>44610</v>
      </c>
      <c r="D374">
        <v>26</v>
      </c>
    </row>
    <row r="375" spans="1:4" x14ac:dyDescent="0.3">
      <c r="A375" t="s">
        <v>249</v>
      </c>
      <c r="B375" t="s">
        <v>22</v>
      </c>
      <c r="C375" s="18">
        <v>44872</v>
      </c>
      <c r="D375">
        <v>62</v>
      </c>
    </row>
    <row r="376" spans="1:4" x14ac:dyDescent="0.3">
      <c r="A376" t="s">
        <v>249</v>
      </c>
      <c r="B376" t="s">
        <v>27</v>
      </c>
      <c r="C376" s="18">
        <v>44949</v>
      </c>
      <c r="D376">
        <v>25</v>
      </c>
    </row>
    <row r="377" spans="1:4" x14ac:dyDescent="0.3">
      <c r="A377" t="s">
        <v>250</v>
      </c>
      <c r="B377" t="s">
        <v>34</v>
      </c>
      <c r="C377" s="18">
        <v>44595</v>
      </c>
      <c r="D377">
        <v>22</v>
      </c>
    </row>
    <row r="378" spans="1:4" x14ac:dyDescent="0.3">
      <c r="A378" t="s">
        <v>250</v>
      </c>
      <c r="B378" t="s">
        <v>20</v>
      </c>
      <c r="C378" s="18">
        <v>44709</v>
      </c>
      <c r="D378">
        <v>10</v>
      </c>
    </row>
    <row r="379" spans="1:4" x14ac:dyDescent="0.3">
      <c r="A379" t="s">
        <v>251</v>
      </c>
      <c r="B379" t="s">
        <v>23</v>
      </c>
      <c r="C379" s="18">
        <v>44568</v>
      </c>
      <c r="D379">
        <v>65</v>
      </c>
    </row>
    <row r="380" spans="1:4" x14ac:dyDescent="0.3">
      <c r="A380" t="s">
        <v>251</v>
      </c>
      <c r="B380" t="s">
        <v>26</v>
      </c>
      <c r="C380" s="18">
        <v>44882</v>
      </c>
      <c r="D380">
        <v>29</v>
      </c>
    </row>
    <row r="381" spans="1:4" x14ac:dyDescent="0.3">
      <c r="A381" t="s">
        <v>252</v>
      </c>
      <c r="B381" t="s">
        <v>31</v>
      </c>
      <c r="C381" s="18">
        <v>44892</v>
      </c>
      <c r="D381">
        <v>62</v>
      </c>
    </row>
    <row r="382" spans="1:4" x14ac:dyDescent="0.3">
      <c r="A382" t="s">
        <v>252</v>
      </c>
      <c r="B382" t="s">
        <v>35</v>
      </c>
      <c r="C382" s="18">
        <v>44715</v>
      </c>
      <c r="D382">
        <v>26</v>
      </c>
    </row>
    <row r="383" spans="1:4" x14ac:dyDescent="0.3">
      <c r="A383" t="s">
        <v>253</v>
      </c>
      <c r="B383" t="s">
        <v>30</v>
      </c>
      <c r="C383" s="18">
        <v>44788</v>
      </c>
      <c r="D383">
        <v>75</v>
      </c>
    </row>
    <row r="384" spans="1:4" x14ac:dyDescent="0.3">
      <c r="A384" t="s">
        <v>253</v>
      </c>
      <c r="B384" t="s">
        <v>24</v>
      </c>
      <c r="C384" s="18">
        <v>44742</v>
      </c>
      <c r="D384">
        <v>13</v>
      </c>
    </row>
    <row r="385" spans="1:4" x14ac:dyDescent="0.3">
      <c r="A385" t="s">
        <v>254</v>
      </c>
      <c r="B385" t="s">
        <v>27</v>
      </c>
      <c r="C385" s="18">
        <v>44803</v>
      </c>
      <c r="D385">
        <v>25</v>
      </c>
    </row>
    <row r="386" spans="1:4" x14ac:dyDescent="0.3">
      <c r="A386" t="s">
        <v>254</v>
      </c>
      <c r="B386" t="s">
        <v>34</v>
      </c>
      <c r="C386" s="18">
        <v>44779</v>
      </c>
      <c r="D386">
        <v>22</v>
      </c>
    </row>
    <row r="387" spans="1:4" x14ac:dyDescent="0.3">
      <c r="A387" t="s">
        <v>254</v>
      </c>
      <c r="B387" t="s">
        <v>20</v>
      </c>
      <c r="C387" s="18">
        <v>44700</v>
      </c>
      <c r="D387">
        <v>10</v>
      </c>
    </row>
    <row r="388" spans="1:4" x14ac:dyDescent="0.3">
      <c r="A388" t="s">
        <v>255</v>
      </c>
      <c r="B388" t="s">
        <v>35</v>
      </c>
      <c r="C388" s="18">
        <v>44991</v>
      </c>
      <c r="D388">
        <v>26</v>
      </c>
    </row>
    <row r="389" spans="1:4" x14ac:dyDescent="0.3">
      <c r="A389" t="s">
        <v>255</v>
      </c>
      <c r="B389" t="s">
        <v>32</v>
      </c>
      <c r="C389" s="18">
        <v>44697</v>
      </c>
      <c r="D389">
        <v>14</v>
      </c>
    </row>
    <row r="390" spans="1:4" x14ac:dyDescent="0.3">
      <c r="A390" t="s">
        <v>256</v>
      </c>
      <c r="B390" t="s">
        <v>30</v>
      </c>
      <c r="C390" s="18">
        <v>45010</v>
      </c>
      <c r="D390">
        <v>75</v>
      </c>
    </row>
    <row r="391" spans="1:4" x14ac:dyDescent="0.3">
      <c r="A391" t="s">
        <v>256</v>
      </c>
      <c r="B391" t="s">
        <v>31</v>
      </c>
      <c r="C391" s="18">
        <v>44791</v>
      </c>
      <c r="D391">
        <v>62</v>
      </c>
    </row>
    <row r="392" spans="1:4" x14ac:dyDescent="0.3">
      <c r="A392" t="s">
        <v>256</v>
      </c>
      <c r="B392" t="s">
        <v>25</v>
      </c>
      <c r="C392" s="18">
        <v>44815</v>
      </c>
      <c r="D392">
        <v>16</v>
      </c>
    </row>
    <row r="393" spans="1:4" x14ac:dyDescent="0.3">
      <c r="A393" t="s">
        <v>257</v>
      </c>
      <c r="B393" t="s">
        <v>26</v>
      </c>
      <c r="C393" s="18">
        <v>44976</v>
      </c>
      <c r="D393">
        <v>29</v>
      </c>
    </row>
    <row r="394" spans="1:4" x14ac:dyDescent="0.3">
      <c r="A394" t="s">
        <v>257</v>
      </c>
      <c r="B394" t="s">
        <v>34</v>
      </c>
      <c r="C394" s="18">
        <v>44873</v>
      </c>
      <c r="D394">
        <v>22</v>
      </c>
    </row>
    <row r="395" spans="1:4" x14ac:dyDescent="0.3">
      <c r="A395" t="s">
        <v>258</v>
      </c>
      <c r="B395" t="s">
        <v>28</v>
      </c>
      <c r="C395" s="18">
        <v>44794</v>
      </c>
      <c r="D395">
        <v>66</v>
      </c>
    </row>
    <row r="396" spans="1:4" x14ac:dyDescent="0.3">
      <c r="A396" t="s">
        <v>258</v>
      </c>
      <c r="B396" t="s">
        <v>27</v>
      </c>
      <c r="C396" s="18">
        <v>44884</v>
      </c>
      <c r="D396">
        <v>25</v>
      </c>
    </row>
    <row r="397" spans="1:4" x14ac:dyDescent="0.3">
      <c r="A397" t="s">
        <v>259</v>
      </c>
      <c r="B397" t="s">
        <v>28</v>
      </c>
      <c r="C397" s="18">
        <v>44796</v>
      </c>
      <c r="D397">
        <v>66</v>
      </c>
    </row>
    <row r="398" spans="1:4" x14ac:dyDescent="0.3">
      <c r="A398" t="s">
        <v>259</v>
      </c>
      <c r="B398" t="s">
        <v>35</v>
      </c>
      <c r="C398" s="18">
        <v>44697</v>
      </c>
      <c r="D398">
        <v>26</v>
      </c>
    </row>
    <row r="399" spans="1:4" x14ac:dyDescent="0.3">
      <c r="A399" t="s">
        <v>260</v>
      </c>
      <c r="B399" t="s">
        <v>22</v>
      </c>
      <c r="C399" s="18">
        <v>44896</v>
      </c>
      <c r="D399">
        <v>62</v>
      </c>
    </row>
    <row r="400" spans="1:4" x14ac:dyDescent="0.3">
      <c r="A400" t="s">
        <v>261</v>
      </c>
      <c r="B400" t="s">
        <v>19</v>
      </c>
      <c r="C400" s="18">
        <v>44618</v>
      </c>
      <c r="D400">
        <v>25</v>
      </c>
    </row>
    <row r="401" spans="1:4" x14ac:dyDescent="0.3">
      <c r="A401" t="s">
        <v>261</v>
      </c>
      <c r="B401" t="s">
        <v>25</v>
      </c>
      <c r="C401" s="18">
        <v>44664</v>
      </c>
      <c r="D401">
        <v>16</v>
      </c>
    </row>
    <row r="402" spans="1:4" x14ac:dyDescent="0.3">
      <c r="A402" t="s">
        <v>262</v>
      </c>
      <c r="B402" t="s">
        <v>26</v>
      </c>
      <c r="C402" s="18">
        <v>44840</v>
      </c>
      <c r="D402">
        <v>29</v>
      </c>
    </row>
    <row r="403" spans="1:4" x14ac:dyDescent="0.3">
      <c r="A403" t="s">
        <v>263</v>
      </c>
      <c r="B403" t="s">
        <v>31</v>
      </c>
      <c r="C403" s="18">
        <v>44623</v>
      </c>
      <c r="D403">
        <v>62</v>
      </c>
    </row>
    <row r="404" spans="1:4" x14ac:dyDescent="0.3">
      <c r="A404" t="s">
        <v>264</v>
      </c>
      <c r="B404" t="s">
        <v>30</v>
      </c>
      <c r="C404" s="18">
        <v>45021</v>
      </c>
      <c r="D404">
        <v>75</v>
      </c>
    </row>
    <row r="405" spans="1:4" x14ac:dyDescent="0.3">
      <c r="A405" t="s">
        <v>264</v>
      </c>
      <c r="B405" t="s">
        <v>25</v>
      </c>
      <c r="C405" s="18">
        <v>44981</v>
      </c>
      <c r="D405">
        <v>16</v>
      </c>
    </row>
    <row r="406" spans="1:4" x14ac:dyDescent="0.3">
      <c r="A406" t="s">
        <v>265</v>
      </c>
      <c r="B406" t="s">
        <v>23</v>
      </c>
      <c r="C406" s="18">
        <v>44965</v>
      </c>
      <c r="D406">
        <v>65</v>
      </c>
    </row>
    <row r="407" spans="1:4" x14ac:dyDescent="0.3">
      <c r="A407" t="s">
        <v>265</v>
      </c>
      <c r="B407" t="s">
        <v>34</v>
      </c>
      <c r="C407" s="18">
        <v>44981</v>
      </c>
      <c r="D407">
        <v>22</v>
      </c>
    </row>
    <row r="408" spans="1:4" x14ac:dyDescent="0.3">
      <c r="A408" t="s">
        <v>266</v>
      </c>
      <c r="B408" t="s">
        <v>28</v>
      </c>
      <c r="C408" s="18">
        <v>44773</v>
      </c>
      <c r="D408">
        <v>66</v>
      </c>
    </row>
    <row r="409" spans="1:4" x14ac:dyDescent="0.3">
      <c r="A409" t="s">
        <v>266</v>
      </c>
      <c r="B409" t="s">
        <v>34</v>
      </c>
      <c r="C409" s="18">
        <v>44886</v>
      </c>
      <c r="D409">
        <v>22</v>
      </c>
    </row>
    <row r="410" spans="1:4" x14ac:dyDescent="0.3">
      <c r="A410" t="s">
        <v>267</v>
      </c>
      <c r="B410" t="s">
        <v>31</v>
      </c>
      <c r="C410" s="18">
        <v>44887</v>
      </c>
      <c r="D410">
        <v>62</v>
      </c>
    </row>
    <row r="411" spans="1:4" x14ac:dyDescent="0.3">
      <c r="A411" t="s">
        <v>267</v>
      </c>
      <c r="B411" t="s">
        <v>22</v>
      </c>
      <c r="C411" s="18">
        <v>44928</v>
      </c>
      <c r="D411">
        <v>62</v>
      </c>
    </row>
    <row r="412" spans="1:4" x14ac:dyDescent="0.3">
      <c r="A412" t="s">
        <v>268</v>
      </c>
      <c r="B412" t="s">
        <v>27</v>
      </c>
      <c r="C412" s="18">
        <v>44998</v>
      </c>
      <c r="D412">
        <v>25</v>
      </c>
    </row>
    <row r="413" spans="1:4" x14ac:dyDescent="0.3">
      <c r="A413" t="s">
        <v>268</v>
      </c>
      <c r="B413" t="s">
        <v>20</v>
      </c>
      <c r="C413" s="18">
        <v>45017</v>
      </c>
      <c r="D413">
        <v>10</v>
      </c>
    </row>
    <row r="414" spans="1:4" x14ac:dyDescent="0.3">
      <c r="A414" t="s">
        <v>269</v>
      </c>
      <c r="B414" t="s">
        <v>34</v>
      </c>
      <c r="C414" s="18">
        <v>44927</v>
      </c>
      <c r="D414">
        <v>22</v>
      </c>
    </row>
    <row r="415" spans="1:4" x14ac:dyDescent="0.3">
      <c r="A415" t="s">
        <v>270</v>
      </c>
      <c r="B415" t="s">
        <v>33</v>
      </c>
      <c r="C415" s="18">
        <v>45009</v>
      </c>
      <c r="D415">
        <v>27</v>
      </c>
    </row>
    <row r="416" spans="1:4" x14ac:dyDescent="0.3">
      <c r="A416" t="s">
        <v>270</v>
      </c>
      <c r="B416" t="s">
        <v>21</v>
      </c>
      <c r="C416" s="18">
        <v>44780</v>
      </c>
      <c r="D416">
        <v>26</v>
      </c>
    </row>
    <row r="417" spans="1:4" x14ac:dyDescent="0.3">
      <c r="A417" t="s">
        <v>271</v>
      </c>
      <c r="B417" t="s">
        <v>23</v>
      </c>
      <c r="C417" s="18">
        <v>44639</v>
      </c>
      <c r="D417">
        <v>65</v>
      </c>
    </row>
    <row r="418" spans="1:4" x14ac:dyDescent="0.3">
      <c r="A418" t="s">
        <v>271</v>
      </c>
      <c r="B418" t="s">
        <v>35</v>
      </c>
      <c r="C418" s="18">
        <v>45042</v>
      </c>
      <c r="D418">
        <v>26</v>
      </c>
    </row>
    <row r="419" spans="1:4" x14ac:dyDescent="0.3">
      <c r="A419" t="s">
        <v>272</v>
      </c>
      <c r="B419" t="s">
        <v>24</v>
      </c>
      <c r="C419" s="18">
        <v>44574</v>
      </c>
      <c r="D419">
        <v>13</v>
      </c>
    </row>
    <row r="420" spans="1:4" x14ac:dyDescent="0.3">
      <c r="A420" t="s">
        <v>272</v>
      </c>
      <c r="B420" t="s">
        <v>20</v>
      </c>
      <c r="C420" s="18">
        <v>44921</v>
      </c>
      <c r="D420">
        <v>10</v>
      </c>
    </row>
    <row r="421" spans="1:4" x14ac:dyDescent="0.3">
      <c r="A421" t="s">
        <v>273</v>
      </c>
      <c r="B421" t="s">
        <v>29</v>
      </c>
      <c r="C421" s="18">
        <v>44944</v>
      </c>
      <c r="D421">
        <v>28</v>
      </c>
    </row>
    <row r="422" spans="1:4" x14ac:dyDescent="0.3">
      <c r="A422" t="s">
        <v>273</v>
      </c>
      <c r="B422" t="s">
        <v>33</v>
      </c>
      <c r="C422" s="18">
        <v>44982</v>
      </c>
      <c r="D422">
        <v>27</v>
      </c>
    </row>
    <row r="423" spans="1:4" x14ac:dyDescent="0.3">
      <c r="A423" t="s">
        <v>274</v>
      </c>
      <c r="B423" t="s">
        <v>31</v>
      </c>
      <c r="C423" s="18">
        <v>44850</v>
      </c>
      <c r="D423">
        <v>62</v>
      </c>
    </row>
    <row r="424" spans="1:4" x14ac:dyDescent="0.3">
      <c r="A424" t="s">
        <v>275</v>
      </c>
      <c r="B424" t="s">
        <v>30</v>
      </c>
      <c r="C424" s="18">
        <v>44822</v>
      </c>
      <c r="D424">
        <v>75</v>
      </c>
    </row>
    <row r="425" spans="1:4" x14ac:dyDescent="0.3">
      <c r="A425" t="s">
        <v>275</v>
      </c>
      <c r="B425" t="s">
        <v>26</v>
      </c>
      <c r="C425" s="18">
        <v>44966</v>
      </c>
      <c r="D425">
        <v>29</v>
      </c>
    </row>
    <row r="426" spans="1:4" x14ac:dyDescent="0.3">
      <c r="A426" t="s">
        <v>275</v>
      </c>
      <c r="B426" t="s">
        <v>33</v>
      </c>
      <c r="C426" s="18">
        <v>44814</v>
      </c>
      <c r="D426">
        <v>27</v>
      </c>
    </row>
    <row r="427" spans="1:4" x14ac:dyDescent="0.3">
      <c r="A427" t="s">
        <v>276</v>
      </c>
      <c r="B427" t="s">
        <v>23</v>
      </c>
      <c r="C427" s="18">
        <v>44750</v>
      </c>
      <c r="D427">
        <v>65</v>
      </c>
    </row>
    <row r="428" spans="1:4" x14ac:dyDescent="0.3">
      <c r="A428" t="s">
        <v>276</v>
      </c>
      <c r="B428" t="s">
        <v>35</v>
      </c>
      <c r="C428" s="18">
        <v>44643</v>
      </c>
      <c r="D428">
        <v>26</v>
      </c>
    </row>
    <row r="429" spans="1:4" x14ac:dyDescent="0.3">
      <c r="A429" t="s">
        <v>276</v>
      </c>
      <c r="B429" t="s">
        <v>27</v>
      </c>
      <c r="C429" s="18">
        <v>44714</v>
      </c>
      <c r="D429">
        <v>25</v>
      </c>
    </row>
    <row r="430" spans="1:4" x14ac:dyDescent="0.3">
      <c r="A430" t="s">
        <v>277</v>
      </c>
      <c r="B430" t="s">
        <v>28</v>
      </c>
      <c r="C430" s="18">
        <v>44939</v>
      </c>
      <c r="D430">
        <v>66</v>
      </c>
    </row>
    <row r="431" spans="1:4" x14ac:dyDescent="0.3">
      <c r="A431" t="s">
        <v>277</v>
      </c>
      <c r="B431" t="s">
        <v>32</v>
      </c>
      <c r="C431" s="18">
        <v>44791</v>
      </c>
      <c r="D431">
        <v>14</v>
      </c>
    </row>
    <row r="432" spans="1:4" x14ac:dyDescent="0.3">
      <c r="A432" t="s">
        <v>278</v>
      </c>
      <c r="B432" t="s">
        <v>23</v>
      </c>
      <c r="C432" s="18">
        <v>44784</v>
      </c>
      <c r="D432">
        <v>65</v>
      </c>
    </row>
    <row r="433" spans="1:4" x14ac:dyDescent="0.3">
      <c r="A433" t="s">
        <v>278</v>
      </c>
      <c r="B433" t="s">
        <v>35</v>
      </c>
      <c r="C433" s="18">
        <v>44847</v>
      </c>
      <c r="D433">
        <v>26</v>
      </c>
    </row>
    <row r="434" spans="1:4" x14ac:dyDescent="0.3">
      <c r="A434" t="s">
        <v>279</v>
      </c>
      <c r="B434" t="s">
        <v>28</v>
      </c>
      <c r="C434" s="18">
        <v>44981</v>
      </c>
      <c r="D434">
        <v>66</v>
      </c>
    </row>
    <row r="435" spans="1:4" x14ac:dyDescent="0.3">
      <c r="A435" t="s">
        <v>279</v>
      </c>
      <c r="B435" t="s">
        <v>29</v>
      </c>
      <c r="C435" s="18">
        <v>45003</v>
      </c>
      <c r="D435">
        <v>28</v>
      </c>
    </row>
    <row r="436" spans="1:4" x14ac:dyDescent="0.3">
      <c r="A436" t="s">
        <v>280</v>
      </c>
      <c r="B436" t="s">
        <v>30</v>
      </c>
      <c r="C436" s="18">
        <v>44585</v>
      </c>
      <c r="D436">
        <v>75</v>
      </c>
    </row>
    <row r="437" spans="1:4" x14ac:dyDescent="0.3">
      <c r="A437" t="s">
        <v>280</v>
      </c>
      <c r="B437" t="s">
        <v>23</v>
      </c>
      <c r="C437" s="18">
        <v>44603</v>
      </c>
      <c r="D437">
        <v>65</v>
      </c>
    </row>
    <row r="438" spans="1:4" x14ac:dyDescent="0.3">
      <c r="A438" t="s">
        <v>281</v>
      </c>
      <c r="B438" t="s">
        <v>23</v>
      </c>
      <c r="C438" s="18">
        <v>44813</v>
      </c>
      <c r="D438">
        <v>65</v>
      </c>
    </row>
    <row r="439" spans="1:4" x14ac:dyDescent="0.3">
      <c r="A439" t="s">
        <v>281</v>
      </c>
      <c r="B439" t="s">
        <v>26</v>
      </c>
      <c r="C439" s="18">
        <v>45038</v>
      </c>
      <c r="D439">
        <v>29</v>
      </c>
    </row>
    <row r="440" spans="1:4" x14ac:dyDescent="0.3">
      <c r="A440" t="s">
        <v>281</v>
      </c>
      <c r="B440" t="s">
        <v>19</v>
      </c>
      <c r="C440" s="18">
        <v>44850</v>
      </c>
      <c r="D440">
        <v>25</v>
      </c>
    </row>
    <row r="441" spans="1:4" x14ac:dyDescent="0.3">
      <c r="A441" t="s">
        <v>282</v>
      </c>
      <c r="B441" t="s">
        <v>27</v>
      </c>
      <c r="C441" s="18">
        <v>44596</v>
      </c>
      <c r="D441">
        <v>25</v>
      </c>
    </row>
    <row r="442" spans="1:4" x14ac:dyDescent="0.3">
      <c r="A442" t="s">
        <v>282</v>
      </c>
      <c r="B442" t="s">
        <v>24</v>
      </c>
      <c r="C442" s="18">
        <v>44748</v>
      </c>
      <c r="D442">
        <v>13</v>
      </c>
    </row>
    <row r="443" spans="1:4" x14ac:dyDescent="0.3">
      <c r="A443" t="s">
        <v>283</v>
      </c>
      <c r="B443" t="s">
        <v>26</v>
      </c>
      <c r="C443" s="18">
        <v>44841</v>
      </c>
      <c r="D443">
        <v>29</v>
      </c>
    </row>
    <row r="444" spans="1:4" x14ac:dyDescent="0.3">
      <c r="A444" t="s">
        <v>283</v>
      </c>
      <c r="B444" t="s">
        <v>25</v>
      </c>
      <c r="C444" s="18">
        <v>45031</v>
      </c>
      <c r="D444">
        <v>16</v>
      </c>
    </row>
    <row r="445" spans="1:4" x14ac:dyDescent="0.3">
      <c r="A445" t="s">
        <v>284</v>
      </c>
      <c r="B445" t="s">
        <v>19</v>
      </c>
      <c r="C445" s="18">
        <v>44642</v>
      </c>
      <c r="D445">
        <v>25</v>
      </c>
    </row>
    <row r="446" spans="1:4" x14ac:dyDescent="0.3">
      <c r="A446" t="s">
        <v>284</v>
      </c>
      <c r="B446" t="s">
        <v>34</v>
      </c>
      <c r="C446" s="18">
        <v>44640</v>
      </c>
      <c r="D446">
        <v>22</v>
      </c>
    </row>
    <row r="447" spans="1:4" x14ac:dyDescent="0.3">
      <c r="A447" t="s">
        <v>285</v>
      </c>
      <c r="B447" t="s">
        <v>32</v>
      </c>
      <c r="C447" s="18">
        <v>44875</v>
      </c>
      <c r="D447">
        <v>14</v>
      </c>
    </row>
    <row r="448" spans="1:4" x14ac:dyDescent="0.3">
      <c r="A448" t="s">
        <v>285</v>
      </c>
      <c r="B448" t="s">
        <v>24</v>
      </c>
      <c r="C448" s="18">
        <v>45005</v>
      </c>
      <c r="D448">
        <v>13</v>
      </c>
    </row>
    <row r="449" spans="1:4" x14ac:dyDescent="0.3">
      <c r="A449" t="s">
        <v>286</v>
      </c>
      <c r="B449" t="s">
        <v>35</v>
      </c>
      <c r="C449" s="18">
        <v>44996</v>
      </c>
      <c r="D449">
        <v>26</v>
      </c>
    </row>
    <row r="450" spans="1:4" x14ac:dyDescent="0.3">
      <c r="A450" t="s">
        <v>287</v>
      </c>
      <c r="B450" t="s">
        <v>30</v>
      </c>
      <c r="C450" s="18">
        <v>44674</v>
      </c>
      <c r="D450">
        <v>75</v>
      </c>
    </row>
    <row r="451" spans="1:4" x14ac:dyDescent="0.3">
      <c r="A451" t="s">
        <v>287</v>
      </c>
      <c r="B451" t="s">
        <v>21</v>
      </c>
      <c r="C451" s="18">
        <v>44688</v>
      </c>
      <c r="D451">
        <v>26</v>
      </c>
    </row>
    <row r="452" spans="1:4" x14ac:dyDescent="0.3">
      <c r="A452" t="s">
        <v>288</v>
      </c>
      <c r="B452" t="s">
        <v>29</v>
      </c>
      <c r="C452" s="18">
        <v>44999</v>
      </c>
      <c r="D452">
        <v>28</v>
      </c>
    </row>
    <row r="453" spans="1:4" x14ac:dyDescent="0.3">
      <c r="A453" t="s">
        <v>288</v>
      </c>
      <c r="B453" t="s">
        <v>35</v>
      </c>
      <c r="C453" s="18">
        <v>44729</v>
      </c>
      <c r="D453">
        <v>26</v>
      </c>
    </row>
    <row r="454" spans="1:4" x14ac:dyDescent="0.3">
      <c r="A454" t="s">
        <v>289</v>
      </c>
      <c r="B454" t="s">
        <v>22</v>
      </c>
      <c r="C454" s="18">
        <v>44771</v>
      </c>
      <c r="D454">
        <v>62</v>
      </c>
    </row>
    <row r="455" spans="1:4" x14ac:dyDescent="0.3">
      <c r="A455" t="s">
        <v>289</v>
      </c>
      <c r="B455" t="s">
        <v>19</v>
      </c>
      <c r="C455" s="18">
        <v>44581</v>
      </c>
      <c r="D455">
        <v>25</v>
      </c>
    </row>
    <row r="456" spans="1:4" x14ac:dyDescent="0.3">
      <c r="A456" t="s">
        <v>290</v>
      </c>
      <c r="B456" t="s">
        <v>21</v>
      </c>
      <c r="C456" s="18">
        <v>44702</v>
      </c>
      <c r="D456">
        <v>26</v>
      </c>
    </row>
    <row r="457" spans="1:4" x14ac:dyDescent="0.3">
      <c r="A457" t="s">
        <v>291</v>
      </c>
      <c r="B457" t="s">
        <v>29</v>
      </c>
      <c r="C457" s="18">
        <v>44978</v>
      </c>
      <c r="D457">
        <v>28</v>
      </c>
    </row>
    <row r="458" spans="1:4" x14ac:dyDescent="0.3">
      <c r="A458" t="s">
        <v>291</v>
      </c>
      <c r="B458" t="s">
        <v>19</v>
      </c>
      <c r="C458" s="18">
        <v>44984</v>
      </c>
      <c r="D458">
        <v>25</v>
      </c>
    </row>
    <row r="459" spans="1:4" x14ac:dyDescent="0.3">
      <c r="A459" t="s">
        <v>292</v>
      </c>
      <c r="B459" t="s">
        <v>26</v>
      </c>
      <c r="C459" s="18">
        <v>44934</v>
      </c>
      <c r="D459">
        <v>29</v>
      </c>
    </row>
    <row r="460" spans="1:4" x14ac:dyDescent="0.3">
      <c r="A460" t="s">
        <v>292</v>
      </c>
      <c r="B460" t="s">
        <v>21</v>
      </c>
      <c r="C460" s="18">
        <v>44736</v>
      </c>
      <c r="D460">
        <v>26</v>
      </c>
    </row>
    <row r="461" spans="1:4" x14ac:dyDescent="0.3">
      <c r="A461" t="s">
        <v>293</v>
      </c>
      <c r="B461" t="s">
        <v>26</v>
      </c>
      <c r="C461" s="18">
        <v>44845</v>
      </c>
      <c r="D461">
        <v>29</v>
      </c>
    </row>
    <row r="462" spans="1:4" x14ac:dyDescent="0.3">
      <c r="A462" t="s">
        <v>293</v>
      </c>
      <c r="B462" t="s">
        <v>32</v>
      </c>
      <c r="C462" s="18">
        <v>44958</v>
      </c>
      <c r="D462">
        <v>14</v>
      </c>
    </row>
    <row r="463" spans="1:4" x14ac:dyDescent="0.3">
      <c r="A463" t="s">
        <v>294</v>
      </c>
      <c r="B463" t="s">
        <v>28</v>
      </c>
      <c r="C463" s="18">
        <v>44858</v>
      </c>
      <c r="D463">
        <v>66</v>
      </c>
    </row>
    <row r="464" spans="1:4" x14ac:dyDescent="0.3">
      <c r="A464" t="s">
        <v>294</v>
      </c>
      <c r="B464" t="s">
        <v>22</v>
      </c>
      <c r="C464" s="18">
        <v>45040</v>
      </c>
      <c r="D464">
        <v>62</v>
      </c>
    </row>
    <row r="465" spans="1:4" x14ac:dyDescent="0.3">
      <c r="A465" t="s">
        <v>295</v>
      </c>
      <c r="B465" t="s">
        <v>22</v>
      </c>
      <c r="C465" s="18">
        <v>44813</v>
      </c>
      <c r="D465">
        <v>62</v>
      </c>
    </row>
    <row r="466" spans="1:4" x14ac:dyDescent="0.3">
      <c r="A466" t="s">
        <v>295</v>
      </c>
      <c r="B466" t="s">
        <v>29</v>
      </c>
      <c r="C466" s="18">
        <v>44932</v>
      </c>
      <c r="D466">
        <v>28</v>
      </c>
    </row>
    <row r="467" spans="1:4" x14ac:dyDescent="0.3">
      <c r="A467" t="s">
        <v>296</v>
      </c>
      <c r="B467" t="s">
        <v>22</v>
      </c>
      <c r="C467" s="18">
        <v>45018</v>
      </c>
      <c r="D467">
        <v>62</v>
      </c>
    </row>
    <row r="468" spans="1:4" x14ac:dyDescent="0.3">
      <c r="A468" t="s">
        <v>296</v>
      </c>
      <c r="B468" t="s">
        <v>25</v>
      </c>
      <c r="C468" s="18">
        <v>44653</v>
      </c>
      <c r="D468">
        <v>16</v>
      </c>
    </row>
    <row r="469" spans="1:4" x14ac:dyDescent="0.3">
      <c r="A469" t="s">
        <v>297</v>
      </c>
      <c r="B469" t="s">
        <v>22</v>
      </c>
      <c r="C469" s="18">
        <v>44993</v>
      </c>
      <c r="D469">
        <v>62</v>
      </c>
    </row>
    <row r="470" spans="1:4" x14ac:dyDescent="0.3">
      <c r="A470" t="s">
        <v>297</v>
      </c>
      <c r="B470" t="s">
        <v>29</v>
      </c>
      <c r="C470" s="18">
        <v>44856</v>
      </c>
      <c r="D470">
        <v>28</v>
      </c>
    </row>
    <row r="471" spans="1:4" x14ac:dyDescent="0.3">
      <c r="A471" t="s">
        <v>297</v>
      </c>
      <c r="B471" t="s">
        <v>25</v>
      </c>
      <c r="C471" s="18">
        <v>44998</v>
      </c>
      <c r="D471">
        <v>16</v>
      </c>
    </row>
    <row r="472" spans="1:4" x14ac:dyDescent="0.3">
      <c r="A472" t="s">
        <v>298</v>
      </c>
      <c r="B472" t="s">
        <v>33</v>
      </c>
      <c r="C472" s="18">
        <v>44745</v>
      </c>
      <c r="D472">
        <v>27</v>
      </c>
    </row>
    <row r="473" spans="1:4" x14ac:dyDescent="0.3">
      <c r="A473" t="s">
        <v>298</v>
      </c>
      <c r="B473" t="s">
        <v>34</v>
      </c>
      <c r="C473" s="18">
        <v>44943</v>
      </c>
      <c r="D473">
        <v>22</v>
      </c>
    </row>
    <row r="474" spans="1:4" x14ac:dyDescent="0.3">
      <c r="A474" t="s">
        <v>299</v>
      </c>
      <c r="B474" t="s">
        <v>28</v>
      </c>
      <c r="C474" s="18">
        <v>44648</v>
      </c>
      <c r="D474">
        <v>66</v>
      </c>
    </row>
    <row r="475" spans="1:4" x14ac:dyDescent="0.3">
      <c r="A475" t="s">
        <v>299</v>
      </c>
      <c r="B475" t="s">
        <v>26</v>
      </c>
      <c r="C475" s="18">
        <v>44999</v>
      </c>
      <c r="D475">
        <v>29</v>
      </c>
    </row>
    <row r="476" spans="1:4" x14ac:dyDescent="0.3">
      <c r="A476" t="s">
        <v>300</v>
      </c>
      <c r="B476" t="s">
        <v>23</v>
      </c>
      <c r="C476" s="18">
        <v>44922</v>
      </c>
      <c r="D476">
        <v>65</v>
      </c>
    </row>
    <row r="477" spans="1:4" x14ac:dyDescent="0.3">
      <c r="A477" t="s">
        <v>300</v>
      </c>
      <c r="B477" t="s">
        <v>20</v>
      </c>
      <c r="C477" s="18">
        <v>44872</v>
      </c>
      <c r="D477">
        <v>10</v>
      </c>
    </row>
    <row r="478" spans="1:4" x14ac:dyDescent="0.3">
      <c r="A478" t="s">
        <v>301</v>
      </c>
      <c r="B478" t="s">
        <v>32</v>
      </c>
      <c r="C478" s="18">
        <v>44562</v>
      </c>
      <c r="D478">
        <v>14</v>
      </c>
    </row>
    <row r="479" spans="1:4" x14ac:dyDescent="0.3">
      <c r="A479" t="s">
        <v>301</v>
      </c>
      <c r="B479" t="s">
        <v>24</v>
      </c>
      <c r="C479" s="18">
        <v>44657</v>
      </c>
      <c r="D479">
        <v>13</v>
      </c>
    </row>
    <row r="480" spans="1:4" x14ac:dyDescent="0.3">
      <c r="A480" t="s">
        <v>302</v>
      </c>
      <c r="B480" t="s">
        <v>30</v>
      </c>
      <c r="C480" s="18">
        <v>44609</v>
      </c>
      <c r="D480">
        <v>75</v>
      </c>
    </row>
    <row r="481" spans="1:4" x14ac:dyDescent="0.3">
      <c r="A481" t="s">
        <v>302</v>
      </c>
      <c r="B481" t="s">
        <v>34</v>
      </c>
      <c r="C481" s="18">
        <v>45036</v>
      </c>
      <c r="D481">
        <v>22</v>
      </c>
    </row>
    <row r="482" spans="1:4" x14ac:dyDescent="0.3">
      <c r="A482" t="s">
        <v>303</v>
      </c>
      <c r="B482" t="s">
        <v>29</v>
      </c>
      <c r="C482" s="18">
        <v>44627</v>
      </c>
      <c r="D482">
        <v>28</v>
      </c>
    </row>
    <row r="483" spans="1:4" x14ac:dyDescent="0.3">
      <c r="A483" t="s">
        <v>303</v>
      </c>
      <c r="B483" t="s">
        <v>27</v>
      </c>
      <c r="C483" s="18">
        <v>45013</v>
      </c>
      <c r="D483">
        <v>25</v>
      </c>
    </row>
    <row r="484" spans="1:4" x14ac:dyDescent="0.3">
      <c r="A484" t="s">
        <v>303</v>
      </c>
      <c r="B484" t="s">
        <v>32</v>
      </c>
      <c r="C484" s="18">
        <v>44982</v>
      </c>
      <c r="D484">
        <v>14</v>
      </c>
    </row>
    <row r="485" spans="1:4" x14ac:dyDescent="0.3">
      <c r="A485" t="s">
        <v>304</v>
      </c>
      <c r="B485" t="s">
        <v>23</v>
      </c>
      <c r="C485" s="18">
        <v>44962</v>
      </c>
      <c r="D485">
        <v>65</v>
      </c>
    </row>
    <row r="486" spans="1:4" x14ac:dyDescent="0.3">
      <c r="A486" t="s">
        <v>304</v>
      </c>
      <c r="B486" t="s">
        <v>21</v>
      </c>
      <c r="C486" s="18">
        <v>44618</v>
      </c>
      <c r="D486">
        <v>26</v>
      </c>
    </row>
    <row r="487" spans="1:4" x14ac:dyDescent="0.3">
      <c r="A487" t="s">
        <v>305</v>
      </c>
      <c r="B487" t="s">
        <v>19</v>
      </c>
      <c r="C487" s="18">
        <v>44683</v>
      </c>
      <c r="D487">
        <v>25</v>
      </c>
    </row>
    <row r="488" spans="1:4" x14ac:dyDescent="0.3">
      <c r="A488" t="s">
        <v>305</v>
      </c>
      <c r="B488" t="s">
        <v>34</v>
      </c>
      <c r="C488" s="18">
        <v>44940</v>
      </c>
      <c r="D488">
        <v>22</v>
      </c>
    </row>
    <row r="489" spans="1:4" x14ac:dyDescent="0.3">
      <c r="A489" t="s">
        <v>306</v>
      </c>
      <c r="B489" t="s">
        <v>22</v>
      </c>
      <c r="C489" s="18">
        <v>44634</v>
      </c>
      <c r="D489">
        <v>62</v>
      </c>
    </row>
    <row r="490" spans="1:4" x14ac:dyDescent="0.3">
      <c r="A490" t="s">
        <v>306</v>
      </c>
      <c r="B490" t="s">
        <v>20</v>
      </c>
      <c r="C490" s="18">
        <v>44951</v>
      </c>
      <c r="D490">
        <v>10</v>
      </c>
    </row>
    <row r="491" spans="1:4" x14ac:dyDescent="0.3">
      <c r="A491" t="s">
        <v>307</v>
      </c>
      <c r="B491" t="s">
        <v>30</v>
      </c>
      <c r="C491" s="18">
        <v>44573</v>
      </c>
      <c r="D491">
        <v>75</v>
      </c>
    </row>
    <row r="492" spans="1:4" x14ac:dyDescent="0.3">
      <c r="A492" t="s">
        <v>307</v>
      </c>
      <c r="B492" t="s">
        <v>21</v>
      </c>
      <c r="C492" s="18">
        <v>44997</v>
      </c>
      <c r="D492">
        <v>26</v>
      </c>
    </row>
    <row r="493" spans="1:4" x14ac:dyDescent="0.3">
      <c r="A493" t="s">
        <v>308</v>
      </c>
      <c r="B493" t="s">
        <v>33</v>
      </c>
      <c r="C493" s="18">
        <v>44842</v>
      </c>
      <c r="D493">
        <v>27</v>
      </c>
    </row>
    <row r="494" spans="1:4" x14ac:dyDescent="0.3">
      <c r="A494" t="s">
        <v>308</v>
      </c>
      <c r="B494" t="s">
        <v>35</v>
      </c>
      <c r="C494" s="18">
        <v>44849</v>
      </c>
      <c r="D494">
        <v>26</v>
      </c>
    </row>
    <row r="495" spans="1:4" x14ac:dyDescent="0.3">
      <c r="A495" t="s">
        <v>309</v>
      </c>
      <c r="B495" t="s">
        <v>19</v>
      </c>
      <c r="C495" s="18">
        <v>44642</v>
      </c>
      <c r="D495">
        <v>25</v>
      </c>
    </row>
    <row r="496" spans="1:4" x14ac:dyDescent="0.3">
      <c r="A496" t="s">
        <v>309</v>
      </c>
      <c r="B496" t="s">
        <v>32</v>
      </c>
      <c r="C496" s="18">
        <v>44593</v>
      </c>
      <c r="D496">
        <v>14</v>
      </c>
    </row>
    <row r="497" spans="1:4" x14ac:dyDescent="0.3">
      <c r="A497" t="s">
        <v>310</v>
      </c>
      <c r="B497" t="s">
        <v>27</v>
      </c>
      <c r="C497" s="18">
        <v>44916</v>
      </c>
      <c r="D497">
        <v>25</v>
      </c>
    </row>
    <row r="498" spans="1:4" x14ac:dyDescent="0.3">
      <c r="A498" t="s">
        <v>310</v>
      </c>
      <c r="B498" t="s">
        <v>25</v>
      </c>
      <c r="C498" s="18">
        <v>44824</v>
      </c>
      <c r="D498">
        <v>16</v>
      </c>
    </row>
    <row r="499" spans="1:4" x14ac:dyDescent="0.3">
      <c r="A499" t="s">
        <v>311</v>
      </c>
      <c r="B499" t="s">
        <v>29</v>
      </c>
      <c r="C499" s="18">
        <v>44867</v>
      </c>
      <c r="D499">
        <v>28</v>
      </c>
    </row>
    <row r="500" spans="1:4" x14ac:dyDescent="0.3">
      <c r="A500" t="s">
        <v>311</v>
      </c>
      <c r="B500" t="s">
        <v>19</v>
      </c>
      <c r="C500" s="18">
        <v>44767</v>
      </c>
      <c r="D500">
        <v>25</v>
      </c>
    </row>
    <row r="501" spans="1:4" x14ac:dyDescent="0.3">
      <c r="A501" t="s">
        <v>312</v>
      </c>
      <c r="B501" t="s">
        <v>33</v>
      </c>
      <c r="C501" s="18">
        <v>44779</v>
      </c>
      <c r="D501">
        <v>27</v>
      </c>
    </row>
    <row r="502" spans="1:4" x14ac:dyDescent="0.3">
      <c r="A502" t="s">
        <v>312</v>
      </c>
      <c r="B502" t="s">
        <v>34</v>
      </c>
      <c r="C502" s="18">
        <v>44969</v>
      </c>
      <c r="D502">
        <v>22</v>
      </c>
    </row>
    <row r="503" spans="1:4" x14ac:dyDescent="0.3">
      <c r="A503" t="s">
        <v>313</v>
      </c>
      <c r="B503" t="s">
        <v>26</v>
      </c>
      <c r="C503" s="18">
        <v>44751</v>
      </c>
      <c r="D503">
        <v>29</v>
      </c>
    </row>
    <row r="504" spans="1:4" x14ac:dyDescent="0.3">
      <c r="A504" t="s">
        <v>313</v>
      </c>
      <c r="B504" t="s">
        <v>29</v>
      </c>
      <c r="C504" s="18">
        <v>44600</v>
      </c>
      <c r="D504">
        <v>28</v>
      </c>
    </row>
    <row r="505" spans="1:4" x14ac:dyDescent="0.3">
      <c r="A505" t="s">
        <v>314</v>
      </c>
      <c r="B505" t="s">
        <v>30</v>
      </c>
      <c r="C505" s="18">
        <v>45011</v>
      </c>
      <c r="D505">
        <v>75</v>
      </c>
    </row>
    <row r="506" spans="1:4" x14ac:dyDescent="0.3">
      <c r="A506" t="s">
        <v>314</v>
      </c>
      <c r="B506" t="s">
        <v>19</v>
      </c>
      <c r="C506" s="18">
        <v>44985</v>
      </c>
      <c r="D506">
        <v>25</v>
      </c>
    </row>
    <row r="507" spans="1:4" x14ac:dyDescent="0.3">
      <c r="A507" t="s">
        <v>315</v>
      </c>
      <c r="B507" t="s">
        <v>23</v>
      </c>
      <c r="C507" s="18">
        <v>44776</v>
      </c>
      <c r="D507">
        <v>65</v>
      </c>
    </row>
    <row r="508" spans="1:4" x14ac:dyDescent="0.3">
      <c r="A508" t="s">
        <v>316</v>
      </c>
      <c r="B508" t="s">
        <v>30</v>
      </c>
      <c r="C508" s="18">
        <v>44916</v>
      </c>
      <c r="D508">
        <v>75</v>
      </c>
    </row>
    <row r="509" spans="1:4" x14ac:dyDescent="0.3">
      <c r="A509" t="s">
        <v>316</v>
      </c>
      <c r="B509" t="s">
        <v>26</v>
      </c>
      <c r="C509" s="18">
        <v>44827</v>
      </c>
      <c r="D509">
        <v>29</v>
      </c>
    </row>
    <row r="510" spans="1:4" x14ac:dyDescent="0.3">
      <c r="A510" t="s">
        <v>316</v>
      </c>
      <c r="B510" t="s">
        <v>21</v>
      </c>
      <c r="C510" s="18">
        <v>44784</v>
      </c>
      <c r="D510">
        <v>26</v>
      </c>
    </row>
    <row r="511" spans="1:4" x14ac:dyDescent="0.3">
      <c r="A511" t="s">
        <v>317</v>
      </c>
      <c r="B511" t="s">
        <v>23</v>
      </c>
      <c r="C511" s="18">
        <v>44995</v>
      </c>
      <c r="D511">
        <v>65</v>
      </c>
    </row>
    <row r="512" spans="1:4" x14ac:dyDescent="0.3">
      <c r="A512" t="s">
        <v>317</v>
      </c>
      <c r="B512" t="s">
        <v>32</v>
      </c>
      <c r="C512" s="18">
        <v>44683</v>
      </c>
      <c r="D512">
        <v>14</v>
      </c>
    </row>
    <row r="513" spans="1:4" x14ac:dyDescent="0.3">
      <c r="A513" t="s">
        <v>317</v>
      </c>
      <c r="B513" t="s">
        <v>24</v>
      </c>
      <c r="C513" s="18">
        <v>44873</v>
      </c>
      <c r="D513">
        <v>13</v>
      </c>
    </row>
    <row r="514" spans="1:4" x14ac:dyDescent="0.3">
      <c r="A514" t="s">
        <v>318</v>
      </c>
      <c r="B514" t="s">
        <v>19</v>
      </c>
      <c r="C514" s="18">
        <v>44778</v>
      </c>
      <c r="D514">
        <v>25</v>
      </c>
    </row>
    <row r="515" spans="1:4" x14ac:dyDescent="0.3">
      <c r="A515" t="s">
        <v>318</v>
      </c>
      <c r="B515" t="s">
        <v>32</v>
      </c>
      <c r="C515" s="18">
        <v>44613</v>
      </c>
      <c r="D515">
        <v>14</v>
      </c>
    </row>
    <row r="516" spans="1:4" x14ac:dyDescent="0.3">
      <c r="A516" t="s">
        <v>319</v>
      </c>
      <c r="B516" t="s">
        <v>19</v>
      </c>
      <c r="C516" s="18">
        <v>44927</v>
      </c>
      <c r="D516">
        <v>25</v>
      </c>
    </row>
    <row r="517" spans="1:4" x14ac:dyDescent="0.3">
      <c r="A517" t="s">
        <v>319</v>
      </c>
      <c r="B517" t="s">
        <v>34</v>
      </c>
      <c r="C517" s="18">
        <v>44986</v>
      </c>
      <c r="D517">
        <v>22</v>
      </c>
    </row>
    <row r="518" spans="1:4" x14ac:dyDescent="0.3">
      <c r="A518" t="s">
        <v>320</v>
      </c>
      <c r="B518" t="s">
        <v>19</v>
      </c>
      <c r="C518" s="18">
        <v>44943</v>
      </c>
      <c r="D518">
        <v>25</v>
      </c>
    </row>
    <row r="519" spans="1:4" x14ac:dyDescent="0.3">
      <c r="A519" t="s">
        <v>320</v>
      </c>
      <c r="B519" t="s">
        <v>32</v>
      </c>
      <c r="C519" s="18">
        <v>44736</v>
      </c>
      <c r="D519">
        <v>14</v>
      </c>
    </row>
    <row r="520" spans="1:4" x14ac:dyDescent="0.3">
      <c r="A520" t="s">
        <v>321</v>
      </c>
      <c r="B520" t="s">
        <v>21</v>
      </c>
      <c r="C520" s="18">
        <v>44794</v>
      </c>
      <c r="D520">
        <v>26</v>
      </c>
    </row>
    <row r="521" spans="1:4" x14ac:dyDescent="0.3">
      <c r="A521" t="s">
        <v>322</v>
      </c>
      <c r="B521" t="s">
        <v>22</v>
      </c>
      <c r="C521" s="18">
        <v>44888</v>
      </c>
      <c r="D521">
        <v>62</v>
      </c>
    </row>
    <row r="522" spans="1:4" x14ac:dyDescent="0.3">
      <c r="A522" t="s">
        <v>322</v>
      </c>
      <c r="B522" t="s">
        <v>33</v>
      </c>
      <c r="C522" s="18">
        <v>44971</v>
      </c>
      <c r="D522">
        <v>27</v>
      </c>
    </row>
    <row r="523" spans="1:4" x14ac:dyDescent="0.3">
      <c r="A523" t="s">
        <v>323</v>
      </c>
      <c r="B523" t="s">
        <v>25</v>
      </c>
      <c r="C523" s="18">
        <v>44832</v>
      </c>
      <c r="D523">
        <v>16</v>
      </c>
    </row>
    <row r="524" spans="1:4" x14ac:dyDescent="0.3">
      <c r="A524" t="s">
        <v>323</v>
      </c>
      <c r="B524" t="s">
        <v>24</v>
      </c>
      <c r="C524" s="18">
        <v>44608</v>
      </c>
      <c r="D524">
        <v>13</v>
      </c>
    </row>
    <row r="525" spans="1:4" x14ac:dyDescent="0.3">
      <c r="A525" t="s">
        <v>323</v>
      </c>
      <c r="B525" t="s">
        <v>20</v>
      </c>
      <c r="C525" s="18">
        <v>44843</v>
      </c>
      <c r="D525">
        <v>10</v>
      </c>
    </row>
    <row r="526" spans="1:4" x14ac:dyDescent="0.3">
      <c r="A526" t="s">
        <v>324</v>
      </c>
      <c r="B526" t="s">
        <v>24</v>
      </c>
      <c r="C526" s="18">
        <v>44717</v>
      </c>
      <c r="D526">
        <v>13</v>
      </c>
    </row>
    <row r="527" spans="1:4" x14ac:dyDescent="0.3">
      <c r="A527" t="s">
        <v>325</v>
      </c>
      <c r="B527" t="s">
        <v>31</v>
      </c>
      <c r="C527" s="18">
        <v>44766</v>
      </c>
      <c r="D527">
        <v>62</v>
      </c>
    </row>
    <row r="528" spans="1:4" x14ac:dyDescent="0.3">
      <c r="A528" t="s">
        <v>325</v>
      </c>
      <c r="B528" t="s">
        <v>34</v>
      </c>
      <c r="C528" s="18">
        <v>44655</v>
      </c>
      <c r="D528">
        <v>22</v>
      </c>
    </row>
    <row r="529" spans="1:4" x14ac:dyDescent="0.3">
      <c r="A529" t="s">
        <v>326</v>
      </c>
      <c r="B529" t="s">
        <v>23</v>
      </c>
      <c r="C529" s="18">
        <v>44567</v>
      </c>
      <c r="D529">
        <v>65</v>
      </c>
    </row>
    <row r="530" spans="1:4" x14ac:dyDescent="0.3">
      <c r="A530" t="s">
        <v>327</v>
      </c>
      <c r="B530" t="s">
        <v>28</v>
      </c>
      <c r="C530" s="18">
        <v>44913</v>
      </c>
      <c r="D530">
        <v>66</v>
      </c>
    </row>
    <row r="531" spans="1:4" x14ac:dyDescent="0.3">
      <c r="A531" t="s">
        <v>327</v>
      </c>
      <c r="B531" t="s">
        <v>32</v>
      </c>
      <c r="C531" s="18">
        <v>44644</v>
      </c>
      <c r="D531">
        <v>14</v>
      </c>
    </row>
    <row r="532" spans="1:4" x14ac:dyDescent="0.3">
      <c r="A532" t="s">
        <v>328</v>
      </c>
      <c r="B532" t="s">
        <v>28</v>
      </c>
      <c r="C532" s="18">
        <v>44689</v>
      </c>
      <c r="D532">
        <v>66</v>
      </c>
    </row>
    <row r="533" spans="1:4" x14ac:dyDescent="0.3">
      <c r="A533" t="s">
        <v>328</v>
      </c>
      <c r="B533" t="s">
        <v>23</v>
      </c>
      <c r="C533" s="18">
        <v>44780</v>
      </c>
      <c r="D533">
        <v>65</v>
      </c>
    </row>
    <row r="534" spans="1:4" x14ac:dyDescent="0.3">
      <c r="A534" t="s">
        <v>328</v>
      </c>
      <c r="B534" t="s">
        <v>20</v>
      </c>
      <c r="C534" s="18">
        <v>45044</v>
      </c>
      <c r="D534">
        <v>10</v>
      </c>
    </row>
    <row r="535" spans="1:4" x14ac:dyDescent="0.3">
      <c r="A535" t="s">
        <v>329</v>
      </c>
      <c r="B535" t="s">
        <v>31</v>
      </c>
      <c r="C535" s="18">
        <v>44875</v>
      </c>
      <c r="D535">
        <v>62</v>
      </c>
    </row>
    <row r="536" spans="1:4" x14ac:dyDescent="0.3">
      <c r="A536" t="s">
        <v>329</v>
      </c>
      <c r="B536" t="s">
        <v>29</v>
      </c>
      <c r="C536" s="18">
        <v>45026</v>
      </c>
      <c r="D536">
        <v>28</v>
      </c>
    </row>
    <row r="537" spans="1:4" x14ac:dyDescent="0.3">
      <c r="A537" t="s">
        <v>329</v>
      </c>
      <c r="B537" t="s">
        <v>27</v>
      </c>
      <c r="C537" s="18">
        <v>44696</v>
      </c>
      <c r="D537">
        <v>25</v>
      </c>
    </row>
    <row r="538" spans="1:4" x14ac:dyDescent="0.3">
      <c r="A538" t="s">
        <v>330</v>
      </c>
      <c r="B538" t="s">
        <v>20</v>
      </c>
      <c r="C538" s="18">
        <v>45031</v>
      </c>
      <c r="D538">
        <v>10</v>
      </c>
    </row>
    <row r="539" spans="1:4" x14ac:dyDescent="0.3">
      <c r="A539" t="s">
        <v>331</v>
      </c>
      <c r="B539" t="s">
        <v>22</v>
      </c>
      <c r="C539" s="18">
        <v>45006</v>
      </c>
      <c r="D539">
        <v>62</v>
      </c>
    </row>
    <row r="540" spans="1:4" x14ac:dyDescent="0.3">
      <c r="A540" t="s">
        <v>332</v>
      </c>
      <c r="B540" t="s">
        <v>35</v>
      </c>
      <c r="C540" s="18">
        <v>44661</v>
      </c>
      <c r="D540">
        <v>26</v>
      </c>
    </row>
    <row r="541" spans="1:4" x14ac:dyDescent="0.3">
      <c r="A541" t="s">
        <v>332</v>
      </c>
      <c r="B541" t="s">
        <v>21</v>
      </c>
      <c r="C541" s="18">
        <v>44593</v>
      </c>
      <c r="D541">
        <v>26</v>
      </c>
    </row>
    <row r="542" spans="1:4" x14ac:dyDescent="0.3">
      <c r="A542" t="s">
        <v>333</v>
      </c>
      <c r="B542" t="s">
        <v>31</v>
      </c>
      <c r="C542" s="18">
        <v>44832</v>
      </c>
      <c r="D542">
        <v>62</v>
      </c>
    </row>
    <row r="543" spans="1:4" x14ac:dyDescent="0.3">
      <c r="A543" t="s">
        <v>333</v>
      </c>
      <c r="B543" t="s">
        <v>22</v>
      </c>
      <c r="C543" s="18">
        <v>45040</v>
      </c>
      <c r="D543">
        <v>62</v>
      </c>
    </row>
    <row r="544" spans="1:4" x14ac:dyDescent="0.3">
      <c r="A544" t="s">
        <v>333</v>
      </c>
      <c r="B544" t="s">
        <v>21</v>
      </c>
      <c r="C544" s="18">
        <v>44853</v>
      </c>
      <c r="D544">
        <v>26</v>
      </c>
    </row>
    <row r="545" spans="1:4" x14ac:dyDescent="0.3">
      <c r="A545" t="s">
        <v>334</v>
      </c>
      <c r="B545" t="s">
        <v>30</v>
      </c>
      <c r="C545" s="18">
        <v>44637</v>
      </c>
      <c r="D545">
        <v>75</v>
      </c>
    </row>
    <row r="546" spans="1:4" x14ac:dyDescent="0.3">
      <c r="A546" t="s">
        <v>334</v>
      </c>
      <c r="B546" t="s">
        <v>25</v>
      </c>
      <c r="C546" s="18">
        <v>44672</v>
      </c>
      <c r="D546">
        <v>16</v>
      </c>
    </row>
    <row r="547" spans="1:4" x14ac:dyDescent="0.3">
      <c r="A547" t="s">
        <v>335</v>
      </c>
      <c r="B547" t="s">
        <v>22</v>
      </c>
      <c r="C547" s="18">
        <v>45003</v>
      </c>
      <c r="D547">
        <v>62</v>
      </c>
    </row>
    <row r="548" spans="1:4" x14ac:dyDescent="0.3">
      <c r="A548" t="s">
        <v>335</v>
      </c>
      <c r="B548" t="s">
        <v>21</v>
      </c>
      <c r="C548" s="18">
        <v>44725</v>
      </c>
      <c r="D548">
        <v>26</v>
      </c>
    </row>
    <row r="549" spans="1:4" x14ac:dyDescent="0.3">
      <c r="A549" t="s">
        <v>336</v>
      </c>
      <c r="B549" t="s">
        <v>27</v>
      </c>
      <c r="C549" s="18">
        <v>44836</v>
      </c>
      <c r="D549">
        <v>25</v>
      </c>
    </row>
    <row r="550" spans="1:4" x14ac:dyDescent="0.3">
      <c r="A550" t="s">
        <v>336</v>
      </c>
      <c r="B550" t="s">
        <v>20</v>
      </c>
      <c r="C550" s="18">
        <v>44730</v>
      </c>
      <c r="D550">
        <v>10</v>
      </c>
    </row>
    <row r="551" spans="1:4" x14ac:dyDescent="0.3">
      <c r="A551" t="s">
        <v>337</v>
      </c>
      <c r="B551" t="s">
        <v>23</v>
      </c>
      <c r="C551" s="18">
        <v>45035</v>
      </c>
      <c r="D551">
        <v>65</v>
      </c>
    </row>
    <row r="552" spans="1:4" x14ac:dyDescent="0.3">
      <c r="A552" t="s">
        <v>337</v>
      </c>
      <c r="B552" t="s">
        <v>26</v>
      </c>
      <c r="C552" s="18">
        <v>44794</v>
      </c>
      <c r="D552">
        <v>29</v>
      </c>
    </row>
    <row r="553" spans="1:4" x14ac:dyDescent="0.3">
      <c r="A553" t="s">
        <v>338</v>
      </c>
      <c r="B553" t="s">
        <v>28</v>
      </c>
      <c r="C553" s="18">
        <v>44971</v>
      </c>
      <c r="D553">
        <v>66</v>
      </c>
    </row>
    <row r="554" spans="1:4" x14ac:dyDescent="0.3">
      <c r="A554" t="s">
        <v>338</v>
      </c>
      <c r="B554" t="s">
        <v>25</v>
      </c>
      <c r="C554" s="18">
        <v>45026</v>
      </c>
      <c r="D554">
        <v>16</v>
      </c>
    </row>
    <row r="555" spans="1:4" x14ac:dyDescent="0.3">
      <c r="A555" t="s">
        <v>339</v>
      </c>
      <c r="B555" t="s">
        <v>35</v>
      </c>
      <c r="C555" s="18">
        <v>44919</v>
      </c>
      <c r="D555">
        <v>26</v>
      </c>
    </row>
    <row r="556" spans="1:4" x14ac:dyDescent="0.3">
      <c r="A556" t="s">
        <v>339</v>
      </c>
      <c r="B556" t="s">
        <v>25</v>
      </c>
      <c r="C556" s="18">
        <v>44805</v>
      </c>
      <c r="D556">
        <v>16</v>
      </c>
    </row>
    <row r="557" spans="1:4" x14ac:dyDescent="0.3">
      <c r="A557" t="s">
        <v>339</v>
      </c>
      <c r="B557" t="s">
        <v>20</v>
      </c>
      <c r="C557" s="18">
        <v>44778</v>
      </c>
      <c r="D557">
        <v>10</v>
      </c>
    </row>
    <row r="558" spans="1:4" x14ac:dyDescent="0.3">
      <c r="A558" t="s">
        <v>340</v>
      </c>
      <c r="B558" t="s">
        <v>28</v>
      </c>
      <c r="C558" s="18">
        <v>44744</v>
      </c>
      <c r="D558">
        <v>66</v>
      </c>
    </row>
    <row r="559" spans="1:4" x14ac:dyDescent="0.3">
      <c r="A559" t="s">
        <v>340</v>
      </c>
      <c r="B559" t="s">
        <v>22</v>
      </c>
      <c r="C559" s="18">
        <v>44816</v>
      </c>
      <c r="D559">
        <v>62</v>
      </c>
    </row>
    <row r="560" spans="1:4" x14ac:dyDescent="0.3">
      <c r="A560" t="s">
        <v>340</v>
      </c>
      <c r="B560" t="s">
        <v>27</v>
      </c>
      <c r="C560" s="18">
        <v>45012</v>
      </c>
      <c r="D560">
        <v>25</v>
      </c>
    </row>
    <row r="561" spans="1:4" x14ac:dyDescent="0.3">
      <c r="A561" t="s">
        <v>341</v>
      </c>
      <c r="B561" t="s">
        <v>23</v>
      </c>
      <c r="C561" s="18">
        <v>44810</v>
      </c>
      <c r="D561">
        <v>65</v>
      </c>
    </row>
    <row r="562" spans="1:4" x14ac:dyDescent="0.3">
      <c r="A562" t="s">
        <v>341</v>
      </c>
      <c r="B562" t="s">
        <v>27</v>
      </c>
      <c r="C562" s="18">
        <v>44937</v>
      </c>
      <c r="D562">
        <v>25</v>
      </c>
    </row>
    <row r="563" spans="1:4" x14ac:dyDescent="0.3">
      <c r="A563" t="s">
        <v>342</v>
      </c>
      <c r="B563" t="s">
        <v>35</v>
      </c>
      <c r="C563" s="18">
        <v>44897</v>
      </c>
      <c r="D563">
        <v>26</v>
      </c>
    </row>
    <row r="564" spans="1:4" x14ac:dyDescent="0.3">
      <c r="A564" t="s">
        <v>342</v>
      </c>
      <c r="B564" t="s">
        <v>20</v>
      </c>
      <c r="C564" s="18">
        <v>44760</v>
      </c>
      <c r="D564">
        <v>10</v>
      </c>
    </row>
    <row r="565" spans="1:4" x14ac:dyDescent="0.3">
      <c r="A565" t="s">
        <v>343</v>
      </c>
      <c r="B565" t="s">
        <v>21</v>
      </c>
      <c r="C565" s="18">
        <v>44928</v>
      </c>
      <c r="D565">
        <v>26</v>
      </c>
    </row>
    <row r="566" spans="1:4" x14ac:dyDescent="0.3">
      <c r="A566" t="s">
        <v>344</v>
      </c>
      <c r="B566" t="s">
        <v>28</v>
      </c>
      <c r="C566" s="18">
        <v>44688</v>
      </c>
      <c r="D566">
        <v>66</v>
      </c>
    </row>
    <row r="567" spans="1:4" x14ac:dyDescent="0.3">
      <c r="A567" t="s">
        <v>344</v>
      </c>
      <c r="B567" t="s">
        <v>35</v>
      </c>
      <c r="C567" s="18">
        <v>44753</v>
      </c>
      <c r="D567">
        <v>26</v>
      </c>
    </row>
    <row r="568" spans="1:4" x14ac:dyDescent="0.3">
      <c r="A568" t="s">
        <v>345</v>
      </c>
      <c r="B568" t="s">
        <v>32</v>
      </c>
      <c r="C568" s="18">
        <v>44862</v>
      </c>
      <c r="D568">
        <v>14</v>
      </c>
    </row>
    <row r="569" spans="1:4" x14ac:dyDescent="0.3">
      <c r="A569" t="s">
        <v>345</v>
      </c>
      <c r="B569" t="s">
        <v>24</v>
      </c>
      <c r="C569" s="18">
        <v>44899</v>
      </c>
      <c r="D569">
        <v>13</v>
      </c>
    </row>
    <row r="570" spans="1:4" x14ac:dyDescent="0.3">
      <c r="A570" t="s">
        <v>346</v>
      </c>
      <c r="B570" t="s">
        <v>22</v>
      </c>
      <c r="C570" s="18">
        <v>45023</v>
      </c>
      <c r="D570">
        <v>62</v>
      </c>
    </row>
    <row r="571" spans="1:4" x14ac:dyDescent="0.3">
      <c r="A571" t="s">
        <v>346</v>
      </c>
      <c r="B571" t="s">
        <v>34</v>
      </c>
      <c r="C571" s="18">
        <v>44957</v>
      </c>
      <c r="D571">
        <v>22</v>
      </c>
    </row>
    <row r="572" spans="1:4" x14ac:dyDescent="0.3">
      <c r="A572" t="s">
        <v>347</v>
      </c>
      <c r="B572" t="s">
        <v>31</v>
      </c>
      <c r="C572" s="18">
        <v>44941</v>
      </c>
      <c r="D572">
        <v>62</v>
      </c>
    </row>
    <row r="573" spans="1:4" x14ac:dyDescent="0.3">
      <c r="A573" t="s">
        <v>347</v>
      </c>
      <c r="B573" t="s">
        <v>19</v>
      </c>
      <c r="C573" s="18">
        <v>44880</v>
      </c>
      <c r="D573">
        <v>25</v>
      </c>
    </row>
    <row r="574" spans="1:4" x14ac:dyDescent="0.3">
      <c r="A574" t="s">
        <v>347</v>
      </c>
      <c r="B574" t="s">
        <v>20</v>
      </c>
      <c r="C574" s="18">
        <v>44744</v>
      </c>
      <c r="D574">
        <v>10</v>
      </c>
    </row>
    <row r="575" spans="1:4" x14ac:dyDescent="0.3">
      <c r="A575" t="s">
        <v>348</v>
      </c>
      <c r="B575" t="s">
        <v>28</v>
      </c>
      <c r="C575" s="18">
        <v>44856</v>
      </c>
      <c r="D575">
        <v>66</v>
      </c>
    </row>
    <row r="576" spans="1:4" x14ac:dyDescent="0.3">
      <c r="A576" t="s">
        <v>348</v>
      </c>
      <c r="B576" t="s">
        <v>33</v>
      </c>
      <c r="C576" s="18">
        <v>44736</v>
      </c>
      <c r="D576">
        <v>27</v>
      </c>
    </row>
    <row r="577" spans="1:4" x14ac:dyDescent="0.3">
      <c r="A577" t="s">
        <v>349</v>
      </c>
      <c r="B577" t="s">
        <v>33</v>
      </c>
      <c r="C577" s="18">
        <v>44949</v>
      </c>
      <c r="D577">
        <v>27</v>
      </c>
    </row>
    <row r="578" spans="1:4" x14ac:dyDescent="0.3">
      <c r="A578" t="s">
        <v>349</v>
      </c>
      <c r="B578" t="s">
        <v>21</v>
      </c>
      <c r="C578" s="18">
        <v>44897</v>
      </c>
      <c r="D578">
        <v>26</v>
      </c>
    </row>
    <row r="579" spans="1:4" x14ac:dyDescent="0.3">
      <c r="A579" t="s">
        <v>350</v>
      </c>
      <c r="B579" t="s">
        <v>22</v>
      </c>
      <c r="C579" s="18">
        <v>44634</v>
      </c>
      <c r="D579">
        <v>62</v>
      </c>
    </row>
    <row r="580" spans="1:4" x14ac:dyDescent="0.3">
      <c r="A580" t="s">
        <v>350</v>
      </c>
      <c r="B580" t="s">
        <v>27</v>
      </c>
      <c r="C580" s="18">
        <v>44965</v>
      </c>
      <c r="D580">
        <v>25</v>
      </c>
    </row>
    <row r="581" spans="1:4" x14ac:dyDescent="0.3">
      <c r="A581" t="s">
        <v>351</v>
      </c>
      <c r="B581" t="s">
        <v>23</v>
      </c>
      <c r="C581" s="18">
        <v>44956</v>
      </c>
      <c r="D581">
        <v>65</v>
      </c>
    </row>
    <row r="582" spans="1:4" x14ac:dyDescent="0.3">
      <c r="A582" t="s">
        <v>351</v>
      </c>
      <c r="B582" t="s">
        <v>27</v>
      </c>
      <c r="C582" s="18">
        <v>44628</v>
      </c>
      <c r="D582">
        <v>25</v>
      </c>
    </row>
    <row r="583" spans="1:4" x14ac:dyDescent="0.3">
      <c r="A583" t="s">
        <v>352</v>
      </c>
      <c r="B583" t="s">
        <v>30</v>
      </c>
      <c r="C583" s="18">
        <v>44582</v>
      </c>
      <c r="D583">
        <v>75</v>
      </c>
    </row>
    <row r="584" spans="1:4" x14ac:dyDescent="0.3">
      <c r="A584" t="s">
        <v>352</v>
      </c>
      <c r="B584" t="s">
        <v>25</v>
      </c>
      <c r="C584" s="18">
        <v>44698</v>
      </c>
      <c r="D584">
        <v>16</v>
      </c>
    </row>
    <row r="585" spans="1:4" x14ac:dyDescent="0.3">
      <c r="A585" t="s">
        <v>353</v>
      </c>
      <c r="B585" t="s">
        <v>27</v>
      </c>
      <c r="C585" s="18">
        <v>44733</v>
      </c>
      <c r="D585">
        <v>25</v>
      </c>
    </row>
    <row r="586" spans="1:4" x14ac:dyDescent="0.3">
      <c r="A586" t="s">
        <v>353</v>
      </c>
      <c r="B586" t="s">
        <v>34</v>
      </c>
      <c r="C586" s="18">
        <v>44924</v>
      </c>
      <c r="D586">
        <v>22</v>
      </c>
    </row>
    <row r="587" spans="1:4" x14ac:dyDescent="0.3">
      <c r="A587" t="s">
        <v>354</v>
      </c>
      <c r="B587" t="s">
        <v>19</v>
      </c>
      <c r="C587" s="18">
        <v>45018</v>
      </c>
      <c r="D587">
        <v>25</v>
      </c>
    </row>
    <row r="588" spans="1:4" x14ac:dyDescent="0.3">
      <c r="A588" t="s">
        <v>355</v>
      </c>
      <c r="B588" t="s">
        <v>23</v>
      </c>
      <c r="C588" s="18">
        <v>45041</v>
      </c>
      <c r="D588">
        <v>65</v>
      </c>
    </row>
    <row r="589" spans="1:4" x14ac:dyDescent="0.3">
      <c r="A589" t="s">
        <v>355</v>
      </c>
      <c r="B589" t="s">
        <v>31</v>
      </c>
      <c r="C589" s="18">
        <v>44813</v>
      </c>
      <c r="D589">
        <v>62</v>
      </c>
    </row>
    <row r="590" spans="1:4" x14ac:dyDescent="0.3">
      <c r="A590" t="s">
        <v>356</v>
      </c>
      <c r="B590" t="s">
        <v>22</v>
      </c>
      <c r="C590" s="18">
        <v>44732</v>
      </c>
      <c r="D590">
        <v>62</v>
      </c>
    </row>
    <row r="591" spans="1:4" x14ac:dyDescent="0.3">
      <c r="A591" t="s">
        <v>356</v>
      </c>
      <c r="B591" t="s">
        <v>32</v>
      </c>
      <c r="C591" s="18">
        <v>44844</v>
      </c>
      <c r="D591">
        <v>14</v>
      </c>
    </row>
    <row r="592" spans="1:4" x14ac:dyDescent="0.3">
      <c r="A592" t="s">
        <v>357</v>
      </c>
      <c r="B592" t="s">
        <v>30</v>
      </c>
      <c r="C592" s="18">
        <v>44914</v>
      </c>
      <c r="D592">
        <v>75</v>
      </c>
    </row>
    <row r="593" spans="1:4" x14ac:dyDescent="0.3">
      <c r="A593" t="s">
        <v>358</v>
      </c>
      <c r="B593" t="s">
        <v>33</v>
      </c>
      <c r="C593" s="18">
        <v>44954</v>
      </c>
      <c r="D593">
        <v>27</v>
      </c>
    </row>
    <row r="594" spans="1:4" x14ac:dyDescent="0.3">
      <c r="A594" t="s">
        <v>359</v>
      </c>
      <c r="B594" t="s">
        <v>28</v>
      </c>
      <c r="C594" s="18">
        <v>44923</v>
      </c>
      <c r="D594">
        <v>66</v>
      </c>
    </row>
    <row r="595" spans="1:4" x14ac:dyDescent="0.3">
      <c r="A595" t="s">
        <v>359</v>
      </c>
      <c r="B595" t="s">
        <v>21</v>
      </c>
      <c r="C595" s="18">
        <v>44989</v>
      </c>
      <c r="D595">
        <v>26</v>
      </c>
    </row>
    <row r="596" spans="1:4" x14ac:dyDescent="0.3">
      <c r="A596" t="s">
        <v>360</v>
      </c>
      <c r="B596" t="s">
        <v>23</v>
      </c>
      <c r="C596" s="18">
        <v>44583</v>
      </c>
      <c r="D596">
        <v>65</v>
      </c>
    </row>
    <row r="597" spans="1:4" x14ac:dyDescent="0.3">
      <c r="A597" t="s">
        <v>361</v>
      </c>
      <c r="B597" t="s">
        <v>26</v>
      </c>
      <c r="C597" s="18">
        <v>44933</v>
      </c>
      <c r="D597">
        <v>29</v>
      </c>
    </row>
    <row r="598" spans="1:4" x14ac:dyDescent="0.3">
      <c r="A598" t="s">
        <v>361</v>
      </c>
      <c r="B598" t="s">
        <v>27</v>
      </c>
      <c r="C598" s="18">
        <v>44733</v>
      </c>
      <c r="D598">
        <v>25</v>
      </c>
    </row>
    <row r="599" spans="1:4" x14ac:dyDescent="0.3">
      <c r="A599" t="s">
        <v>362</v>
      </c>
      <c r="B599" t="s">
        <v>22</v>
      </c>
      <c r="C599" s="18">
        <v>44616</v>
      </c>
      <c r="D599">
        <v>62</v>
      </c>
    </row>
    <row r="600" spans="1:4" x14ac:dyDescent="0.3">
      <c r="A600" t="s">
        <v>362</v>
      </c>
      <c r="B600" t="s">
        <v>27</v>
      </c>
      <c r="C600" s="18">
        <v>44669</v>
      </c>
      <c r="D600">
        <v>25</v>
      </c>
    </row>
    <row r="601" spans="1:4" x14ac:dyDescent="0.3">
      <c r="A601" t="s">
        <v>363</v>
      </c>
      <c r="B601" t="s">
        <v>27</v>
      </c>
      <c r="C601" s="18">
        <v>44921</v>
      </c>
      <c r="D601">
        <v>25</v>
      </c>
    </row>
    <row r="602" spans="1:4" x14ac:dyDescent="0.3">
      <c r="A602" t="s">
        <v>363</v>
      </c>
      <c r="B602" t="s">
        <v>25</v>
      </c>
      <c r="C602" s="18">
        <v>44953</v>
      </c>
      <c r="D602">
        <v>16</v>
      </c>
    </row>
    <row r="603" spans="1:4" x14ac:dyDescent="0.3">
      <c r="A603" t="s">
        <v>364</v>
      </c>
      <c r="B603" t="s">
        <v>28</v>
      </c>
      <c r="C603" s="18">
        <v>44586</v>
      </c>
      <c r="D603">
        <v>66</v>
      </c>
    </row>
    <row r="604" spans="1:4" x14ac:dyDescent="0.3">
      <c r="A604" t="s">
        <v>364</v>
      </c>
      <c r="B604" t="s">
        <v>23</v>
      </c>
      <c r="C604" s="18">
        <v>44662</v>
      </c>
      <c r="D604">
        <v>65</v>
      </c>
    </row>
    <row r="605" spans="1:4" x14ac:dyDescent="0.3">
      <c r="A605" t="s">
        <v>364</v>
      </c>
      <c r="B605" t="s">
        <v>29</v>
      </c>
      <c r="C605" s="18">
        <v>45015</v>
      </c>
      <c r="D605">
        <v>28</v>
      </c>
    </row>
    <row r="606" spans="1:4" x14ac:dyDescent="0.3">
      <c r="A606" t="s">
        <v>365</v>
      </c>
      <c r="B606" t="s">
        <v>31</v>
      </c>
      <c r="C606" s="18">
        <v>44919</v>
      </c>
      <c r="D606">
        <v>62</v>
      </c>
    </row>
    <row r="607" spans="1:4" x14ac:dyDescent="0.3">
      <c r="A607" t="s">
        <v>365</v>
      </c>
      <c r="B607" t="s">
        <v>33</v>
      </c>
      <c r="C607" s="18">
        <v>44896</v>
      </c>
      <c r="D607">
        <v>27</v>
      </c>
    </row>
    <row r="608" spans="1:4" x14ac:dyDescent="0.3">
      <c r="A608" t="s">
        <v>366</v>
      </c>
      <c r="B608" t="s">
        <v>27</v>
      </c>
      <c r="C608" s="18">
        <v>44574</v>
      </c>
      <c r="D608">
        <v>25</v>
      </c>
    </row>
    <row r="609" spans="1:4" x14ac:dyDescent="0.3">
      <c r="A609" t="s">
        <v>366</v>
      </c>
      <c r="B609" t="s">
        <v>32</v>
      </c>
      <c r="C609" s="18">
        <v>44601</v>
      </c>
      <c r="D609">
        <v>14</v>
      </c>
    </row>
    <row r="610" spans="1:4" x14ac:dyDescent="0.3">
      <c r="A610" t="s">
        <v>367</v>
      </c>
      <c r="B610" t="s">
        <v>29</v>
      </c>
      <c r="C610" s="18">
        <v>44843</v>
      </c>
      <c r="D610">
        <v>28</v>
      </c>
    </row>
    <row r="611" spans="1:4" x14ac:dyDescent="0.3">
      <c r="A611" t="s">
        <v>367</v>
      </c>
      <c r="B611" t="s">
        <v>34</v>
      </c>
      <c r="C611" s="18">
        <v>44784</v>
      </c>
      <c r="D611">
        <v>22</v>
      </c>
    </row>
    <row r="612" spans="1:4" x14ac:dyDescent="0.3">
      <c r="A612" t="s">
        <v>368</v>
      </c>
      <c r="B612" t="s">
        <v>35</v>
      </c>
      <c r="C612" s="18">
        <v>44585</v>
      </c>
      <c r="D612">
        <v>26</v>
      </c>
    </row>
    <row r="613" spans="1:4" x14ac:dyDescent="0.3">
      <c r="A613" t="s">
        <v>368</v>
      </c>
      <c r="B613" t="s">
        <v>32</v>
      </c>
      <c r="C613" s="18">
        <v>44929</v>
      </c>
      <c r="D613">
        <v>14</v>
      </c>
    </row>
    <row r="614" spans="1:4" x14ac:dyDescent="0.3">
      <c r="A614" t="s">
        <v>369</v>
      </c>
      <c r="B614" t="s">
        <v>29</v>
      </c>
      <c r="C614" s="18">
        <v>44832</v>
      </c>
      <c r="D614">
        <v>28</v>
      </c>
    </row>
    <row r="615" spans="1:4" x14ac:dyDescent="0.3">
      <c r="A615" t="s">
        <v>369</v>
      </c>
      <c r="B615" t="s">
        <v>32</v>
      </c>
      <c r="C615" s="18">
        <v>44971</v>
      </c>
      <c r="D615">
        <v>14</v>
      </c>
    </row>
    <row r="616" spans="1:4" x14ac:dyDescent="0.3">
      <c r="A616" t="s">
        <v>370</v>
      </c>
      <c r="B616" t="s">
        <v>22</v>
      </c>
      <c r="C616" s="18">
        <v>45004</v>
      </c>
      <c r="D616">
        <v>62</v>
      </c>
    </row>
    <row r="617" spans="1:4" x14ac:dyDescent="0.3">
      <c r="A617" t="s">
        <v>370</v>
      </c>
      <c r="B617" t="s">
        <v>31</v>
      </c>
      <c r="C617" s="18">
        <v>44654</v>
      </c>
      <c r="D617">
        <v>62</v>
      </c>
    </row>
    <row r="618" spans="1:4" x14ac:dyDescent="0.3">
      <c r="A618" t="s">
        <v>370</v>
      </c>
      <c r="B618" t="s">
        <v>35</v>
      </c>
      <c r="C618" s="18">
        <v>44775</v>
      </c>
      <c r="D618">
        <v>26</v>
      </c>
    </row>
    <row r="619" spans="1:4" x14ac:dyDescent="0.3">
      <c r="A619" t="s">
        <v>371</v>
      </c>
      <c r="B619" t="s">
        <v>33</v>
      </c>
      <c r="C619" s="18">
        <v>44880</v>
      </c>
      <c r="D619">
        <v>27</v>
      </c>
    </row>
    <row r="620" spans="1:4" x14ac:dyDescent="0.3">
      <c r="A620" t="s">
        <v>371</v>
      </c>
      <c r="B620" t="s">
        <v>27</v>
      </c>
      <c r="C620" s="18">
        <v>44776</v>
      </c>
      <c r="D620">
        <v>25</v>
      </c>
    </row>
    <row r="621" spans="1:4" x14ac:dyDescent="0.3">
      <c r="A621" t="s">
        <v>372</v>
      </c>
      <c r="B621" t="s">
        <v>30</v>
      </c>
      <c r="C621" s="18">
        <v>44649</v>
      </c>
      <c r="D621">
        <v>75</v>
      </c>
    </row>
    <row r="622" spans="1:4" x14ac:dyDescent="0.3">
      <c r="A622" t="s">
        <v>372</v>
      </c>
      <c r="B622" t="s">
        <v>19</v>
      </c>
      <c r="C622" s="18">
        <v>44996</v>
      </c>
      <c r="D622">
        <v>25</v>
      </c>
    </row>
    <row r="623" spans="1:4" x14ac:dyDescent="0.3">
      <c r="A623" t="s">
        <v>373</v>
      </c>
      <c r="B623" t="s">
        <v>21</v>
      </c>
      <c r="C623" s="18">
        <v>45037</v>
      </c>
      <c r="D623">
        <v>26</v>
      </c>
    </row>
    <row r="624" spans="1:4" x14ac:dyDescent="0.3">
      <c r="A624" t="s">
        <v>374</v>
      </c>
      <c r="B624" t="s">
        <v>29</v>
      </c>
      <c r="C624" s="18">
        <v>44658</v>
      </c>
      <c r="D624">
        <v>28</v>
      </c>
    </row>
    <row r="625" spans="1:4" x14ac:dyDescent="0.3">
      <c r="A625" t="s">
        <v>374</v>
      </c>
      <c r="B625" t="s">
        <v>24</v>
      </c>
      <c r="C625" s="18">
        <v>44790</v>
      </c>
      <c r="D625">
        <v>13</v>
      </c>
    </row>
    <row r="626" spans="1:4" x14ac:dyDescent="0.3">
      <c r="A626" t="s">
        <v>375</v>
      </c>
      <c r="B626" t="s">
        <v>28</v>
      </c>
      <c r="C626" s="18">
        <v>44562</v>
      </c>
      <c r="D626">
        <v>66</v>
      </c>
    </row>
    <row r="627" spans="1:4" x14ac:dyDescent="0.3">
      <c r="A627" t="s">
        <v>375</v>
      </c>
      <c r="B627" t="s">
        <v>21</v>
      </c>
      <c r="C627" s="18">
        <v>44684</v>
      </c>
      <c r="D627">
        <v>26</v>
      </c>
    </row>
    <row r="628" spans="1:4" x14ac:dyDescent="0.3">
      <c r="A628" t="s">
        <v>375</v>
      </c>
      <c r="B628" t="s">
        <v>32</v>
      </c>
      <c r="C628" s="18">
        <v>45003</v>
      </c>
      <c r="D628">
        <v>14</v>
      </c>
    </row>
    <row r="629" spans="1:4" x14ac:dyDescent="0.3">
      <c r="A629" t="s">
        <v>376</v>
      </c>
      <c r="B629" t="s">
        <v>23</v>
      </c>
      <c r="C629" s="18">
        <v>44803</v>
      </c>
      <c r="D629">
        <v>65</v>
      </c>
    </row>
    <row r="630" spans="1:4" x14ac:dyDescent="0.3">
      <c r="A630" t="s">
        <v>376</v>
      </c>
      <c r="B630" t="s">
        <v>35</v>
      </c>
      <c r="C630" s="18">
        <v>44924</v>
      </c>
      <c r="D630">
        <v>26</v>
      </c>
    </row>
    <row r="631" spans="1:4" x14ac:dyDescent="0.3">
      <c r="A631" t="s">
        <v>376</v>
      </c>
      <c r="B631" t="s">
        <v>34</v>
      </c>
      <c r="C631" s="18">
        <v>44833</v>
      </c>
      <c r="D631">
        <v>22</v>
      </c>
    </row>
    <row r="632" spans="1:4" x14ac:dyDescent="0.3">
      <c r="A632" t="s">
        <v>377</v>
      </c>
      <c r="B632" t="s">
        <v>30</v>
      </c>
      <c r="C632" s="18">
        <v>44764</v>
      </c>
      <c r="D632">
        <v>75</v>
      </c>
    </row>
    <row r="633" spans="1:4" x14ac:dyDescent="0.3">
      <c r="A633" t="s">
        <v>377</v>
      </c>
      <c r="B633" t="s">
        <v>31</v>
      </c>
      <c r="C633" s="18">
        <v>44638</v>
      </c>
      <c r="D633">
        <v>62</v>
      </c>
    </row>
    <row r="634" spans="1:4" x14ac:dyDescent="0.3">
      <c r="A634" t="s">
        <v>378</v>
      </c>
      <c r="B634" t="s">
        <v>30</v>
      </c>
      <c r="C634" s="18">
        <v>44821</v>
      </c>
      <c r="D634">
        <v>75</v>
      </c>
    </row>
    <row r="635" spans="1:4" x14ac:dyDescent="0.3">
      <c r="A635" t="s">
        <v>378</v>
      </c>
      <c r="B635" t="s">
        <v>23</v>
      </c>
      <c r="C635" s="18">
        <v>44769</v>
      </c>
      <c r="D635">
        <v>65</v>
      </c>
    </row>
    <row r="636" spans="1:4" x14ac:dyDescent="0.3">
      <c r="A636" t="s">
        <v>379</v>
      </c>
      <c r="B636" t="s">
        <v>22</v>
      </c>
      <c r="C636" s="18">
        <v>44680</v>
      </c>
      <c r="D636">
        <v>62</v>
      </c>
    </row>
    <row r="637" spans="1:4" x14ac:dyDescent="0.3">
      <c r="A637" t="s">
        <v>379</v>
      </c>
      <c r="B637" t="s">
        <v>29</v>
      </c>
      <c r="C637" s="18">
        <v>45036</v>
      </c>
      <c r="D637">
        <v>28</v>
      </c>
    </row>
    <row r="638" spans="1:4" x14ac:dyDescent="0.3">
      <c r="A638" t="s">
        <v>380</v>
      </c>
      <c r="B638" t="s">
        <v>23</v>
      </c>
      <c r="C638" s="18">
        <v>44601</v>
      </c>
      <c r="D638">
        <v>65</v>
      </c>
    </row>
    <row r="639" spans="1:4" x14ac:dyDescent="0.3">
      <c r="A639" t="s">
        <v>380</v>
      </c>
      <c r="B639" t="s">
        <v>25</v>
      </c>
      <c r="C639" s="18">
        <v>44618</v>
      </c>
      <c r="D639">
        <v>16</v>
      </c>
    </row>
    <row r="640" spans="1:4" x14ac:dyDescent="0.3">
      <c r="A640" t="s">
        <v>381</v>
      </c>
      <c r="B640" t="s">
        <v>30</v>
      </c>
      <c r="C640" s="18">
        <v>44784</v>
      </c>
      <c r="D640">
        <v>75</v>
      </c>
    </row>
    <row r="641" spans="1:4" x14ac:dyDescent="0.3">
      <c r="A641" t="s">
        <v>382</v>
      </c>
      <c r="B641" t="s">
        <v>32</v>
      </c>
      <c r="C641" s="18">
        <v>45032</v>
      </c>
      <c r="D641">
        <v>14</v>
      </c>
    </row>
    <row r="642" spans="1:4" x14ac:dyDescent="0.3">
      <c r="A642" t="s">
        <v>382</v>
      </c>
      <c r="B642" t="s">
        <v>20</v>
      </c>
      <c r="C642" s="18">
        <v>44996</v>
      </c>
      <c r="D642">
        <v>10</v>
      </c>
    </row>
    <row r="643" spans="1:4" x14ac:dyDescent="0.3">
      <c r="A643" t="s">
        <v>383</v>
      </c>
      <c r="B643" t="s">
        <v>19</v>
      </c>
      <c r="C643" s="18">
        <v>44780</v>
      </c>
      <c r="D643">
        <v>25</v>
      </c>
    </row>
    <row r="644" spans="1:4" x14ac:dyDescent="0.3">
      <c r="A644" t="s">
        <v>383</v>
      </c>
      <c r="B644" t="s">
        <v>24</v>
      </c>
      <c r="C644" s="18">
        <v>44973</v>
      </c>
      <c r="D644">
        <v>13</v>
      </c>
    </row>
    <row r="645" spans="1:4" x14ac:dyDescent="0.3">
      <c r="A645" t="s">
        <v>384</v>
      </c>
      <c r="B645" t="s">
        <v>28</v>
      </c>
      <c r="C645" s="18">
        <v>44603</v>
      </c>
      <c r="D645">
        <v>66</v>
      </c>
    </row>
    <row r="646" spans="1:4" x14ac:dyDescent="0.3">
      <c r="A646" t="s">
        <v>384</v>
      </c>
      <c r="B646" t="s">
        <v>31</v>
      </c>
      <c r="C646" s="18">
        <v>44578</v>
      </c>
      <c r="D646">
        <v>62</v>
      </c>
    </row>
    <row r="647" spans="1:4" x14ac:dyDescent="0.3">
      <c r="A647" t="s">
        <v>385</v>
      </c>
      <c r="B647" t="s">
        <v>29</v>
      </c>
      <c r="C647" s="18">
        <v>44576</v>
      </c>
      <c r="D647">
        <v>28</v>
      </c>
    </row>
    <row r="648" spans="1:4" x14ac:dyDescent="0.3">
      <c r="A648" t="s">
        <v>385</v>
      </c>
      <c r="B648" t="s">
        <v>24</v>
      </c>
      <c r="C648" s="18">
        <v>44998</v>
      </c>
      <c r="D648">
        <v>13</v>
      </c>
    </row>
    <row r="649" spans="1:4" x14ac:dyDescent="0.3">
      <c r="A649" t="s">
        <v>386</v>
      </c>
      <c r="B649" t="s">
        <v>23</v>
      </c>
      <c r="C649" s="18">
        <v>44976</v>
      </c>
      <c r="D649">
        <v>65</v>
      </c>
    </row>
    <row r="650" spans="1:4" x14ac:dyDescent="0.3">
      <c r="A650" t="s">
        <v>386</v>
      </c>
      <c r="B650" t="s">
        <v>34</v>
      </c>
      <c r="C650" s="18">
        <v>44634</v>
      </c>
      <c r="D650">
        <v>22</v>
      </c>
    </row>
    <row r="651" spans="1:4" x14ac:dyDescent="0.3">
      <c r="A651" t="s">
        <v>387</v>
      </c>
      <c r="B651" t="s">
        <v>31</v>
      </c>
      <c r="C651" s="18">
        <v>44799</v>
      </c>
      <c r="D651">
        <v>62</v>
      </c>
    </row>
    <row r="652" spans="1:4" x14ac:dyDescent="0.3">
      <c r="A652" t="s">
        <v>387</v>
      </c>
      <c r="B652" t="s">
        <v>24</v>
      </c>
      <c r="C652" s="18">
        <v>44713</v>
      </c>
      <c r="D652">
        <v>13</v>
      </c>
    </row>
    <row r="653" spans="1:4" x14ac:dyDescent="0.3">
      <c r="A653" t="s">
        <v>388</v>
      </c>
      <c r="B653" t="s">
        <v>29</v>
      </c>
      <c r="C653" s="18">
        <v>45006</v>
      </c>
      <c r="D653">
        <v>28</v>
      </c>
    </row>
    <row r="654" spans="1:4" x14ac:dyDescent="0.3">
      <c r="A654" t="s">
        <v>388</v>
      </c>
      <c r="B654" t="s">
        <v>35</v>
      </c>
      <c r="C654" s="18">
        <v>45005</v>
      </c>
      <c r="D654">
        <v>26</v>
      </c>
    </row>
    <row r="655" spans="1:4" x14ac:dyDescent="0.3">
      <c r="A655" t="s">
        <v>389</v>
      </c>
      <c r="B655" t="s">
        <v>31</v>
      </c>
      <c r="C655" s="18">
        <v>44988</v>
      </c>
      <c r="D655">
        <v>62</v>
      </c>
    </row>
    <row r="656" spans="1:4" x14ac:dyDescent="0.3">
      <c r="A656" t="s">
        <v>390</v>
      </c>
      <c r="B656" t="s">
        <v>25</v>
      </c>
      <c r="C656" s="18">
        <v>44580</v>
      </c>
      <c r="D656">
        <v>16</v>
      </c>
    </row>
    <row r="657" spans="1:4" x14ac:dyDescent="0.3">
      <c r="A657" t="s">
        <v>390</v>
      </c>
      <c r="B657" t="s">
        <v>32</v>
      </c>
      <c r="C657" s="18">
        <v>44795</v>
      </c>
      <c r="D657">
        <v>14</v>
      </c>
    </row>
    <row r="658" spans="1:4" x14ac:dyDescent="0.3">
      <c r="A658" t="s">
        <v>391</v>
      </c>
      <c r="B658" t="s">
        <v>31</v>
      </c>
      <c r="C658" s="18">
        <v>44971</v>
      </c>
      <c r="D658">
        <v>62</v>
      </c>
    </row>
    <row r="659" spans="1:4" x14ac:dyDescent="0.3">
      <c r="A659" t="s">
        <v>391</v>
      </c>
      <c r="B659" t="s">
        <v>21</v>
      </c>
      <c r="C659" s="18">
        <v>44866</v>
      </c>
      <c r="D659">
        <v>26</v>
      </c>
    </row>
    <row r="660" spans="1:4" x14ac:dyDescent="0.3">
      <c r="A660" t="s">
        <v>392</v>
      </c>
      <c r="B660" t="s">
        <v>24</v>
      </c>
      <c r="C660" s="18">
        <v>44921</v>
      </c>
      <c r="D660">
        <v>13</v>
      </c>
    </row>
    <row r="661" spans="1:4" x14ac:dyDescent="0.3">
      <c r="A661" t="s">
        <v>393</v>
      </c>
      <c r="B661" t="s">
        <v>31</v>
      </c>
      <c r="C661" s="18">
        <v>44922</v>
      </c>
      <c r="D661">
        <v>62</v>
      </c>
    </row>
    <row r="662" spans="1:4" x14ac:dyDescent="0.3">
      <c r="A662" t="s">
        <v>393</v>
      </c>
      <c r="B662" t="s">
        <v>20</v>
      </c>
      <c r="C662" s="18">
        <v>44718</v>
      </c>
      <c r="D662">
        <v>10</v>
      </c>
    </row>
    <row r="663" spans="1:4" x14ac:dyDescent="0.3">
      <c r="A663" t="s">
        <v>394</v>
      </c>
      <c r="B663" t="s">
        <v>31</v>
      </c>
      <c r="C663" s="18">
        <v>44994</v>
      </c>
      <c r="D663">
        <v>62</v>
      </c>
    </row>
    <row r="664" spans="1:4" x14ac:dyDescent="0.3">
      <c r="A664" t="s">
        <v>394</v>
      </c>
      <c r="B664" t="s">
        <v>22</v>
      </c>
      <c r="C664" s="18">
        <v>44975</v>
      </c>
      <c r="D664">
        <v>62</v>
      </c>
    </row>
    <row r="665" spans="1:4" x14ac:dyDescent="0.3">
      <c r="A665" t="s">
        <v>395</v>
      </c>
      <c r="B665" t="s">
        <v>30</v>
      </c>
      <c r="C665" s="18">
        <v>44900</v>
      </c>
      <c r="D665">
        <v>75</v>
      </c>
    </row>
    <row r="666" spans="1:4" x14ac:dyDescent="0.3">
      <c r="A666" t="s">
        <v>395</v>
      </c>
      <c r="B666" t="s">
        <v>32</v>
      </c>
      <c r="C666" s="18">
        <v>44738</v>
      </c>
      <c r="D666">
        <v>14</v>
      </c>
    </row>
    <row r="667" spans="1:4" x14ac:dyDescent="0.3">
      <c r="A667" t="s">
        <v>396</v>
      </c>
      <c r="B667" t="s">
        <v>26</v>
      </c>
      <c r="C667" s="18">
        <v>44773</v>
      </c>
      <c r="D667">
        <v>29</v>
      </c>
    </row>
    <row r="668" spans="1:4" x14ac:dyDescent="0.3">
      <c r="A668" t="s">
        <v>397</v>
      </c>
      <c r="B668" t="s">
        <v>26</v>
      </c>
      <c r="C668" s="18">
        <v>44895</v>
      </c>
      <c r="D668">
        <v>29</v>
      </c>
    </row>
    <row r="669" spans="1:4" x14ac:dyDescent="0.3">
      <c r="A669" t="s">
        <v>397</v>
      </c>
      <c r="B669" t="s">
        <v>33</v>
      </c>
      <c r="C669" s="18">
        <v>44840</v>
      </c>
      <c r="D669">
        <v>27</v>
      </c>
    </row>
    <row r="670" spans="1:4" x14ac:dyDescent="0.3">
      <c r="A670" t="s">
        <v>398</v>
      </c>
      <c r="B670" t="s">
        <v>28</v>
      </c>
      <c r="C670" s="18">
        <v>44858</v>
      </c>
      <c r="D670">
        <v>66</v>
      </c>
    </row>
    <row r="671" spans="1:4" x14ac:dyDescent="0.3">
      <c r="A671" t="s">
        <v>398</v>
      </c>
      <c r="B671" t="s">
        <v>32</v>
      </c>
      <c r="C671" s="18">
        <v>44586</v>
      </c>
      <c r="D671">
        <v>14</v>
      </c>
    </row>
    <row r="672" spans="1:4" x14ac:dyDescent="0.3">
      <c r="A672" t="s">
        <v>399</v>
      </c>
      <c r="B672" t="s">
        <v>23</v>
      </c>
      <c r="C672" s="18">
        <v>44751</v>
      </c>
      <c r="D672">
        <v>65</v>
      </c>
    </row>
    <row r="673" spans="1:4" x14ac:dyDescent="0.3">
      <c r="A673" t="s">
        <v>399</v>
      </c>
      <c r="B673" t="s">
        <v>29</v>
      </c>
      <c r="C673" s="18">
        <v>44976</v>
      </c>
      <c r="D673">
        <v>28</v>
      </c>
    </row>
    <row r="674" spans="1:4" x14ac:dyDescent="0.3">
      <c r="A674" t="s">
        <v>399</v>
      </c>
      <c r="B674" t="s">
        <v>34</v>
      </c>
      <c r="C674" s="18">
        <v>44751</v>
      </c>
      <c r="D674">
        <v>22</v>
      </c>
    </row>
    <row r="675" spans="1:4" x14ac:dyDescent="0.3">
      <c r="A675" t="s">
        <v>400</v>
      </c>
      <c r="B675" t="s">
        <v>30</v>
      </c>
      <c r="C675" s="18">
        <v>45020</v>
      </c>
      <c r="D675">
        <v>75</v>
      </c>
    </row>
    <row r="676" spans="1:4" x14ac:dyDescent="0.3">
      <c r="A676" t="s">
        <v>400</v>
      </c>
      <c r="B676" t="s">
        <v>34</v>
      </c>
      <c r="C676" s="18">
        <v>44876</v>
      </c>
      <c r="D676">
        <v>22</v>
      </c>
    </row>
    <row r="677" spans="1:4" x14ac:dyDescent="0.3">
      <c r="A677" t="s">
        <v>401</v>
      </c>
      <c r="B677" t="s">
        <v>31</v>
      </c>
      <c r="C677" s="18">
        <v>44812</v>
      </c>
      <c r="D677">
        <v>62</v>
      </c>
    </row>
    <row r="678" spans="1:4" x14ac:dyDescent="0.3">
      <c r="A678" t="s">
        <v>401</v>
      </c>
      <c r="B678" t="s">
        <v>29</v>
      </c>
      <c r="C678" s="18">
        <v>44742</v>
      </c>
      <c r="D678">
        <v>28</v>
      </c>
    </row>
    <row r="679" spans="1:4" x14ac:dyDescent="0.3">
      <c r="A679" t="s">
        <v>402</v>
      </c>
      <c r="B679" t="s">
        <v>23</v>
      </c>
      <c r="C679" s="18">
        <v>45025</v>
      </c>
      <c r="D679">
        <v>65</v>
      </c>
    </row>
    <row r="680" spans="1:4" x14ac:dyDescent="0.3">
      <c r="A680" t="s">
        <v>402</v>
      </c>
      <c r="B680" t="s">
        <v>19</v>
      </c>
      <c r="C680" s="18">
        <v>44977</v>
      </c>
      <c r="D680">
        <v>25</v>
      </c>
    </row>
    <row r="681" spans="1:4" x14ac:dyDescent="0.3">
      <c r="A681" t="s">
        <v>402</v>
      </c>
      <c r="B681" t="s">
        <v>34</v>
      </c>
      <c r="C681" s="18">
        <v>44733</v>
      </c>
      <c r="D681">
        <v>22</v>
      </c>
    </row>
    <row r="682" spans="1:4" x14ac:dyDescent="0.3">
      <c r="A682" t="s">
        <v>403</v>
      </c>
      <c r="B682" t="s">
        <v>25</v>
      </c>
      <c r="C682" s="18">
        <v>44939</v>
      </c>
      <c r="D682">
        <v>16</v>
      </c>
    </row>
    <row r="683" spans="1:4" x14ac:dyDescent="0.3">
      <c r="A683" t="s">
        <v>404</v>
      </c>
      <c r="B683" t="s">
        <v>30</v>
      </c>
      <c r="C683" s="18">
        <v>44776</v>
      </c>
      <c r="D683">
        <v>75</v>
      </c>
    </row>
    <row r="684" spans="1:4" x14ac:dyDescent="0.3">
      <c r="A684" t="s">
        <v>404</v>
      </c>
      <c r="B684" t="s">
        <v>29</v>
      </c>
      <c r="C684" s="18">
        <v>45006</v>
      </c>
      <c r="D684">
        <v>28</v>
      </c>
    </row>
    <row r="685" spans="1:4" x14ac:dyDescent="0.3">
      <c r="A685" t="s">
        <v>405</v>
      </c>
      <c r="B685" t="s">
        <v>35</v>
      </c>
      <c r="C685" s="18">
        <v>44967</v>
      </c>
      <c r="D685">
        <v>26</v>
      </c>
    </row>
    <row r="686" spans="1:4" x14ac:dyDescent="0.3">
      <c r="A686" t="s">
        <v>405</v>
      </c>
      <c r="B686" t="s">
        <v>25</v>
      </c>
      <c r="C686" s="18">
        <v>44649</v>
      </c>
      <c r="D686">
        <v>16</v>
      </c>
    </row>
    <row r="687" spans="1:4" x14ac:dyDescent="0.3">
      <c r="A687" t="s">
        <v>406</v>
      </c>
      <c r="B687" t="s">
        <v>29</v>
      </c>
      <c r="C687" s="18">
        <v>44989</v>
      </c>
      <c r="D687">
        <v>28</v>
      </c>
    </row>
    <row r="688" spans="1:4" x14ac:dyDescent="0.3">
      <c r="A688" t="s">
        <v>406</v>
      </c>
      <c r="B688" t="s">
        <v>25</v>
      </c>
      <c r="C688" s="18">
        <v>44673</v>
      </c>
      <c r="D688">
        <v>16</v>
      </c>
    </row>
    <row r="689" spans="1:4" x14ac:dyDescent="0.3">
      <c r="A689" t="s">
        <v>407</v>
      </c>
      <c r="B689" t="s">
        <v>35</v>
      </c>
      <c r="C689" s="18">
        <v>44969</v>
      </c>
      <c r="D689">
        <v>26</v>
      </c>
    </row>
    <row r="690" spans="1:4" x14ac:dyDescent="0.3">
      <c r="A690" t="s">
        <v>407</v>
      </c>
      <c r="B690" t="s">
        <v>24</v>
      </c>
      <c r="C690" s="18">
        <v>44586</v>
      </c>
      <c r="D690">
        <v>13</v>
      </c>
    </row>
    <row r="691" spans="1:4" x14ac:dyDescent="0.3">
      <c r="A691" t="s">
        <v>408</v>
      </c>
      <c r="B691" t="s">
        <v>29</v>
      </c>
      <c r="C691" s="18">
        <v>44639</v>
      </c>
      <c r="D691">
        <v>28</v>
      </c>
    </row>
    <row r="692" spans="1:4" x14ac:dyDescent="0.3">
      <c r="A692" t="s">
        <v>408</v>
      </c>
      <c r="B692" t="s">
        <v>35</v>
      </c>
      <c r="C692" s="18">
        <v>44631</v>
      </c>
      <c r="D692">
        <v>26</v>
      </c>
    </row>
    <row r="693" spans="1:4" x14ac:dyDescent="0.3">
      <c r="A693" t="s">
        <v>409</v>
      </c>
      <c r="B693" t="s">
        <v>30</v>
      </c>
      <c r="C693" s="18">
        <v>44920</v>
      </c>
      <c r="D693">
        <v>75</v>
      </c>
    </row>
    <row r="694" spans="1:4" x14ac:dyDescent="0.3">
      <c r="A694" t="s">
        <v>409</v>
      </c>
      <c r="B694" t="s">
        <v>23</v>
      </c>
      <c r="C694" s="18">
        <v>44746</v>
      </c>
      <c r="D694">
        <v>65</v>
      </c>
    </row>
    <row r="695" spans="1:4" x14ac:dyDescent="0.3">
      <c r="A695" t="s">
        <v>410</v>
      </c>
      <c r="B695" t="s">
        <v>33</v>
      </c>
      <c r="C695" s="18">
        <v>44958</v>
      </c>
      <c r="D695">
        <v>27</v>
      </c>
    </row>
    <row r="696" spans="1:4" x14ac:dyDescent="0.3">
      <c r="A696" t="s">
        <v>410</v>
      </c>
      <c r="B696" t="s">
        <v>24</v>
      </c>
      <c r="C696" s="18">
        <v>44834</v>
      </c>
      <c r="D696">
        <v>13</v>
      </c>
    </row>
    <row r="697" spans="1:4" x14ac:dyDescent="0.3">
      <c r="A697" t="s">
        <v>410</v>
      </c>
      <c r="B697" t="s">
        <v>20</v>
      </c>
      <c r="C697" s="18">
        <v>44777</v>
      </c>
      <c r="D697">
        <v>10</v>
      </c>
    </row>
    <row r="698" spans="1:4" x14ac:dyDescent="0.3">
      <c r="A698" t="s">
        <v>411</v>
      </c>
      <c r="B698" t="s">
        <v>22</v>
      </c>
      <c r="C698" s="18">
        <v>44601</v>
      </c>
      <c r="D698">
        <v>62</v>
      </c>
    </row>
    <row r="699" spans="1:4" x14ac:dyDescent="0.3">
      <c r="A699" t="s">
        <v>412</v>
      </c>
      <c r="B699" t="s">
        <v>29</v>
      </c>
      <c r="C699" s="18">
        <v>44562</v>
      </c>
      <c r="D699">
        <v>28</v>
      </c>
    </row>
    <row r="700" spans="1:4" x14ac:dyDescent="0.3">
      <c r="A700" t="s">
        <v>412</v>
      </c>
      <c r="B700" t="s">
        <v>20</v>
      </c>
      <c r="C700" s="18">
        <v>44911</v>
      </c>
      <c r="D700">
        <v>10</v>
      </c>
    </row>
    <row r="701" spans="1:4" x14ac:dyDescent="0.3">
      <c r="A701" t="s">
        <v>413</v>
      </c>
      <c r="B701" t="s">
        <v>32</v>
      </c>
      <c r="C701" s="18">
        <v>44652</v>
      </c>
      <c r="D701">
        <v>14</v>
      </c>
    </row>
    <row r="702" spans="1:4" x14ac:dyDescent="0.3">
      <c r="A702" t="s">
        <v>413</v>
      </c>
      <c r="B702" t="s">
        <v>24</v>
      </c>
      <c r="C702" s="18">
        <v>45036</v>
      </c>
      <c r="D702">
        <v>13</v>
      </c>
    </row>
    <row r="703" spans="1:4" x14ac:dyDescent="0.3">
      <c r="A703" t="s">
        <v>414</v>
      </c>
      <c r="B703" t="s">
        <v>28</v>
      </c>
      <c r="C703" s="18">
        <v>44705</v>
      </c>
      <c r="D703">
        <v>66</v>
      </c>
    </row>
    <row r="704" spans="1:4" x14ac:dyDescent="0.3">
      <c r="A704" t="s">
        <v>414</v>
      </c>
      <c r="B704" t="s">
        <v>29</v>
      </c>
      <c r="C704" s="18">
        <v>45006</v>
      </c>
      <c r="D704">
        <v>28</v>
      </c>
    </row>
    <row r="705" spans="1:4" x14ac:dyDescent="0.3">
      <c r="A705" t="s">
        <v>415</v>
      </c>
      <c r="B705" t="s">
        <v>35</v>
      </c>
      <c r="C705" s="18">
        <v>45035</v>
      </c>
      <c r="D705">
        <v>26</v>
      </c>
    </row>
    <row r="706" spans="1:4" x14ac:dyDescent="0.3">
      <c r="A706" t="s">
        <v>415</v>
      </c>
      <c r="B706" t="s">
        <v>32</v>
      </c>
      <c r="C706" s="18">
        <v>44670</v>
      </c>
      <c r="D706">
        <v>14</v>
      </c>
    </row>
    <row r="707" spans="1:4" x14ac:dyDescent="0.3">
      <c r="A707" t="s">
        <v>416</v>
      </c>
      <c r="B707" t="s">
        <v>26</v>
      </c>
      <c r="C707" s="18">
        <v>44796</v>
      </c>
      <c r="D707">
        <v>29</v>
      </c>
    </row>
    <row r="708" spans="1:4" x14ac:dyDescent="0.3">
      <c r="A708" t="s">
        <v>416</v>
      </c>
      <c r="B708" t="s">
        <v>25</v>
      </c>
      <c r="C708" s="18">
        <v>44855</v>
      </c>
      <c r="D708">
        <v>16</v>
      </c>
    </row>
    <row r="709" spans="1:4" x14ac:dyDescent="0.3">
      <c r="A709" t="s">
        <v>416</v>
      </c>
      <c r="B709" t="s">
        <v>24</v>
      </c>
      <c r="C709" s="18">
        <v>44960</v>
      </c>
      <c r="D709">
        <v>13</v>
      </c>
    </row>
    <row r="710" spans="1:4" x14ac:dyDescent="0.3">
      <c r="A710" t="s">
        <v>417</v>
      </c>
      <c r="B710" t="s">
        <v>28</v>
      </c>
      <c r="C710" s="18">
        <v>44765</v>
      </c>
      <c r="D710">
        <v>66</v>
      </c>
    </row>
    <row r="711" spans="1:4" x14ac:dyDescent="0.3">
      <c r="A711" t="s">
        <v>417</v>
      </c>
      <c r="B711" t="s">
        <v>31</v>
      </c>
      <c r="C711" s="18">
        <v>44582</v>
      </c>
      <c r="D711">
        <v>62</v>
      </c>
    </row>
    <row r="712" spans="1:4" x14ac:dyDescent="0.3">
      <c r="A712" t="s">
        <v>418</v>
      </c>
      <c r="B712" t="s">
        <v>34</v>
      </c>
      <c r="C712" s="18">
        <v>44654</v>
      </c>
      <c r="D712">
        <v>22</v>
      </c>
    </row>
    <row r="713" spans="1:4" x14ac:dyDescent="0.3">
      <c r="A713" t="s">
        <v>418</v>
      </c>
      <c r="B713" t="s">
        <v>20</v>
      </c>
      <c r="C713" s="18">
        <v>44931</v>
      </c>
      <c r="D713">
        <v>10</v>
      </c>
    </row>
    <row r="714" spans="1:4" x14ac:dyDescent="0.3">
      <c r="A714" t="s">
        <v>419</v>
      </c>
      <c r="B714" t="s">
        <v>25</v>
      </c>
      <c r="C714" s="18">
        <v>44944</v>
      </c>
      <c r="D714">
        <v>16</v>
      </c>
    </row>
    <row r="715" spans="1:4" x14ac:dyDescent="0.3">
      <c r="A715" t="s">
        <v>419</v>
      </c>
      <c r="B715" t="s">
        <v>24</v>
      </c>
      <c r="C715" s="18">
        <v>44787</v>
      </c>
      <c r="D715">
        <v>13</v>
      </c>
    </row>
    <row r="716" spans="1:4" x14ac:dyDescent="0.3">
      <c r="A716" t="s">
        <v>420</v>
      </c>
      <c r="B716" t="s">
        <v>32</v>
      </c>
      <c r="C716" s="18">
        <v>44823</v>
      </c>
      <c r="D716">
        <v>14</v>
      </c>
    </row>
    <row r="717" spans="1:4" x14ac:dyDescent="0.3">
      <c r="A717" t="s">
        <v>421</v>
      </c>
      <c r="B717" t="s">
        <v>31</v>
      </c>
      <c r="C717" s="18">
        <v>44684</v>
      </c>
      <c r="D717">
        <v>62</v>
      </c>
    </row>
    <row r="718" spans="1:4" x14ac:dyDescent="0.3">
      <c r="A718" t="s">
        <v>421</v>
      </c>
      <c r="B718" t="s">
        <v>26</v>
      </c>
      <c r="C718" s="18">
        <v>44767</v>
      </c>
      <c r="D718">
        <v>29</v>
      </c>
    </row>
    <row r="719" spans="1:4" x14ac:dyDescent="0.3">
      <c r="A719" t="s">
        <v>421</v>
      </c>
      <c r="B719" t="s">
        <v>32</v>
      </c>
      <c r="C719" s="18">
        <v>44844</v>
      </c>
      <c r="D719">
        <v>14</v>
      </c>
    </row>
    <row r="720" spans="1:4" x14ac:dyDescent="0.3">
      <c r="A720" t="s">
        <v>422</v>
      </c>
      <c r="B720" t="s">
        <v>23</v>
      </c>
      <c r="C720" s="18">
        <v>44696</v>
      </c>
      <c r="D720">
        <v>65</v>
      </c>
    </row>
    <row r="721" spans="1:4" x14ac:dyDescent="0.3">
      <c r="A721" t="s">
        <v>423</v>
      </c>
      <c r="B721" t="s">
        <v>31</v>
      </c>
      <c r="C721" s="18">
        <v>44815</v>
      </c>
      <c r="D721">
        <v>62</v>
      </c>
    </row>
    <row r="722" spans="1:4" x14ac:dyDescent="0.3">
      <c r="A722" t="s">
        <v>423</v>
      </c>
      <c r="B722" t="s">
        <v>21</v>
      </c>
      <c r="C722" s="18">
        <v>44924</v>
      </c>
      <c r="D722">
        <v>26</v>
      </c>
    </row>
    <row r="723" spans="1:4" x14ac:dyDescent="0.3">
      <c r="A723" t="s">
        <v>424</v>
      </c>
      <c r="B723" t="s">
        <v>26</v>
      </c>
      <c r="C723" s="18">
        <v>44833</v>
      </c>
      <c r="D723">
        <v>29</v>
      </c>
    </row>
    <row r="724" spans="1:4" x14ac:dyDescent="0.3">
      <c r="A724" t="s">
        <v>424</v>
      </c>
      <c r="B724" t="s">
        <v>29</v>
      </c>
      <c r="C724" s="18">
        <v>44811</v>
      </c>
      <c r="D724">
        <v>28</v>
      </c>
    </row>
    <row r="725" spans="1:4" x14ac:dyDescent="0.3">
      <c r="A725" t="s">
        <v>424</v>
      </c>
      <c r="B725" t="s">
        <v>27</v>
      </c>
      <c r="C725" s="18">
        <v>44817</v>
      </c>
      <c r="D725">
        <v>25</v>
      </c>
    </row>
    <row r="726" spans="1:4" x14ac:dyDescent="0.3">
      <c r="A726" t="s">
        <v>425</v>
      </c>
      <c r="B726" t="s">
        <v>28</v>
      </c>
      <c r="C726" s="18">
        <v>44929</v>
      </c>
      <c r="D726">
        <v>66</v>
      </c>
    </row>
    <row r="727" spans="1:4" x14ac:dyDescent="0.3">
      <c r="A727" t="s">
        <v>425</v>
      </c>
      <c r="B727" t="s">
        <v>25</v>
      </c>
      <c r="C727" s="18">
        <v>44856</v>
      </c>
      <c r="D727">
        <v>16</v>
      </c>
    </row>
    <row r="728" spans="1:4" x14ac:dyDescent="0.3">
      <c r="A728" t="s">
        <v>426</v>
      </c>
      <c r="B728" t="s">
        <v>21</v>
      </c>
      <c r="C728" s="18">
        <v>44581</v>
      </c>
      <c r="D728">
        <v>26</v>
      </c>
    </row>
    <row r="729" spans="1:4" x14ac:dyDescent="0.3">
      <c r="A729" t="s">
        <v>426</v>
      </c>
      <c r="B729" t="s">
        <v>34</v>
      </c>
      <c r="C729" s="18">
        <v>44862</v>
      </c>
      <c r="D729">
        <v>22</v>
      </c>
    </row>
    <row r="730" spans="1:4" x14ac:dyDescent="0.3">
      <c r="A730" t="s">
        <v>427</v>
      </c>
      <c r="B730" t="s">
        <v>26</v>
      </c>
      <c r="C730" s="18">
        <v>45025</v>
      </c>
      <c r="D730">
        <v>29</v>
      </c>
    </row>
    <row r="731" spans="1:4" x14ac:dyDescent="0.3">
      <c r="A731" t="s">
        <v>427</v>
      </c>
      <c r="B731" t="s">
        <v>34</v>
      </c>
      <c r="C731" s="18">
        <v>44699</v>
      </c>
      <c r="D731">
        <v>22</v>
      </c>
    </row>
    <row r="732" spans="1:4" x14ac:dyDescent="0.3">
      <c r="A732" t="s">
        <v>428</v>
      </c>
      <c r="B732" t="s">
        <v>35</v>
      </c>
      <c r="C732" s="18">
        <v>44636</v>
      </c>
      <c r="D732">
        <v>26</v>
      </c>
    </row>
    <row r="733" spans="1:4" x14ac:dyDescent="0.3">
      <c r="A733" t="s">
        <v>428</v>
      </c>
      <c r="B733" t="s">
        <v>32</v>
      </c>
      <c r="C733" s="18">
        <v>44566</v>
      </c>
      <c r="D733">
        <v>14</v>
      </c>
    </row>
    <row r="734" spans="1:4" x14ac:dyDescent="0.3">
      <c r="A734" t="s">
        <v>429</v>
      </c>
      <c r="B734" t="s">
        <v>22</v>
      </c>
      <c r="C734" s="18">
        <v>44696</v>
      </c>
      <c r="D734">
        <v>62</v>
      </c>
    </row>
    <row r="735" spans="1:4" x14ac:dyDescent="0.3">
      <c r="A735" t="s">
        <v>429</v>
      </c>
      <c r="B735" t="s">
        <v>29</v>
      </c>
      <c r="C735" s="18">
        <v>44621</v>
      </c>
      <c r="D735">
        <v>28</v>
      </c>
    </row>
    <row r="736" spans="1:4" x14ac:dyDescent="0.3">
      <c r="A736" t="s">
        <v>430</v>
      </c>
      <c r="B736" t="s">
        <v>32</v>
      </c>
      <c r="C736" s="18">
        <v>44778</v>
      </c>
      <c r="D736">
        <v>14</v>
      </c>
    </row>
    <row r="737" spans="1:4" x14ac:dyDescent="0.3">
      <c r="A737" t="s">
        <v>430</v>
      </c>
      <c r="B737" t="s">
        <v>24</v>
      </c>
      <c r="C737" s="18">
        <v>44768</v>
      </c>
      <c r="D737">
        <v>13</v>
      </c>
    </row>
    <row r="738" spans="1:4" x14ac:dyDescent="0.3">
      <c r="A738" t="s">
        <v>431</v>
      </c>
      <c r="B738" t="s">
        <v>34</v>
      </c>
      <c r="C738" s="18">
        <v>44784</v>
      </c>
      <c r="D738">
        <v>22</v>
      </c>
    </row>
    <row r="739" spans="1:4" x14ac:dyDescent="0.3">
      <c r="A739" t="s">
        <v>431</v>
      </c>
      <c r="B739" t="s">
        <v>32</v>
      </c>
      <c r="C739" s="18">
        <v>45009</v>
      </c>
      <c r="D739">
        <v>14</v>
      </c>
    </row>
    <row r="740" spans="1:4" x14ac:dyDescent="0.3">
      <c r="A740" t="s">
        <v>432</v>
      </c>
      <c r="B740" t="s">
        <v>25</v>
      </c>
      <c r="C740" s="18">
        <v>44844</v>
      </c>
      <c r="D740">
        <v>16</v>
      </c>
    </row>
    <row r="741" spans="1:4" x14ac:dyDescent="0.3">
      <c r="A741" t="s">
        <v>433</v>
      </c>
      <c r="B741" t="s">
        <v>31</v>
      </c>
      <c r="C741" s="18">
        <v>44886</v>
      </c>
      <c r="D741">
        <v>62</v>
      </c>
    </row>
    <row r="742" spans="1:4" x14ac:dyDescent="0.3">
      <c r="A742" t="s">
        <v>433</v>
      </c>
      <c r="B742" t="s">
        <v>25</v>
      </c>
      <c r="C742" s="18">
        <v>45010</v>
      </c>
      <c r="D742">
        <v>16</v>
      </c>
    </row>
    <row r="743" spans="1:4" x14ac:dyDescent="0.3">
      <c r="A743" t="s">
        <v>434</v>
      </c>
      <c r="B743" t="s">
        <v>35</v>
      </c>
      <c r="C743" s="18">
        <v>44873</v>
      </c>
      <c r="D743">
        <v>26</v>
      </c>
    </row>
    <row r="744" spans="1:4" x14ac:dyDescent="0.3">
      <c r="A744" t="s">
        <v>434</v>
      </c>
      <c r="B744" t="s">
        <v>25</v>
      </c>
      <c r="C744" s="18">
        <v>44573</v>
      </c>
      <c r="D744">
        <v>16</v>
      </c>
    </row>
    <row r="745" spans="1:4" x14ac:dyDescent="0.3">
      <c r="A745" t="s">
        <v>435</v>
      </c>
      <c r="B745" t="s">
        <v>34</v>
      </c>
      <c r="C745" s="18">
        <v>45016</v>
      </c>
      <c r="D745">
        <v>22</v>
      </c>
    </row>
    <row r="746" spans="1:4" x14ac:dyDescent="0.3">
      <c r="A746" t="s">
        <v>435</v>
      </c>
      <c r="B746" t="s">
        <v>24</v>
      </c>
      <c r="C746" s="18">
        <v>44962</v>
      </c>
      <c r="D746">
        <v>13</v>
      </c>
    </row>
    <row r="747" spans="1:4" x14ac:dyDescent="0.3">
      <c r="A747" t="s">
        <v>436</v>
      </c>
      <c r="B747" t="s">
        <v>30</v>
      </c>
      <c r="C747" s="18">
        <v>44725</v>
      </c>
      <c r="D747">
        <v>75</v>
      </c>
    </row>
    <row r="748" spans="1:4" x14ac:dyDescent="0.3">
      <c r="A748" t="s">
        <v>436</v>
      </c>
      <c r="B748" t="s">
        <v>24</v>
      </c>
      <c r="C748" s="18">
        <v>44699</v>
      </c>
      <c r="D748">
        <v>13</v>
      </c>
    </row>
    <row r="749" spans="1:4" x14ac:dyDescent="0.3">
      <c r="A749" t="s">
        <v>437</v>
      </c>
      <c r="B749" t="s">
        <v>28</v>
      </c>
      <c r="C749" s="18">
        <v>44945</v>
      </c>
      <c r="D749">
        <v>66</v>
      </c>
    </row>
    <row r="750" spans="1:4" x14ac:dyDescent="0.3">
      <c r="A750" t="s">
        <v>437</v>
      </c>
      <c r="B750" t="s">
        <v>22</v>
      </c>
      <c r="C750" s="18">
        <v>44899</v>
      </c>
      <c r="D750">
        <v>62</v>
      </c>
    </row>
    <row r="751" spans="1:4" x14ac:dyDescent="0.3">
      <c r="A751" t="s">
        <v>438</v>
      </c>
      <c r="B751" t="s">
        <v>22</v>
      </c>
      <c r="C751" s="18">
        <v>44586</v>
      </c>
      <c r="D751">
        <v>62</v>
      </c>
    </row>
    <row r="752" spans="1:4" x14ac:dyDescent="0.3">
      <c r="A752" t="s">
        <v>438</v>
      </c>
      <c r="B752" t="s">
        <v>19</v>
      </c>
      <c r="C752" s="18">
        <v>44647</v>
      </c>
      <c r="D752">
        <v>25</v>
      </c>
    </row>
    <row r="753" spans="1:4" x14ac:dyDescent="0.3">
      <c r="A753" t="s">
        <v>439</v>
      </c>
      <c r="B753" t="s">
        <v>25</v>
      </c>
      <c r="C753" s="18">
        <v>44680</v>
      </c>
      <c r="D753">
        <v>16</v>
      </c>
    </row>
    <row r="754" spans="1:4" x14ac:dyDescent="0.3">
      <c r="A754" t="s">
        <v>439</v>
      </c>
      <c r="B754" t="s">
        <v>24</v>
      </c>
      <c r="C754" s="18">
        <v>44767</v>
      </c>
      <c r="D754">
        <v>13</v>
      </c>
    </row>
    <row r="755" spans="1:4" x14ac:dyDescent="0.3">
      <c r="A755" t="s">
        <v>440</v>
      </c>
      <c r="B755" t="s">
        <v>26</v>
      </c>
      <c r="C755" s="18">
        <v>44965</v>
      </c>
      <c r="D755">
        <v>29</v>
      </c>
    </row>
    <row r="756" spans="1:4" x14ac:dyDescent="0.3">
      <c r="A756" t="s">
        <v>440</v>
      </c>
      <c r="B756" t="s">
        <v>27</v>
      </c>
      <c r="C756" s="18">
        <v>44625</v>
      </c>
      <c r="D756">
        <v>25</v>
      </c>
    </row>
    <row r="757" spans="1:4" x14ac:dyDescent="0.3">
      <c r="A757" t="s">
        <v>441</v>
      </c>
      <c r="B757" t="s">
        <v>25</v>
      </c>
      <c r="C757" s="18">
        <v>44614</v>
      </c>
      <c r="D757">
        <v>16</v>
      </c>
    </row>
    <row r="758" spans="1:4" x14ac:dyDescent="0.3">
      <c r="A758" t="s">
        <v>442</v>
      </c>
      <c r="B758" t="s">
        <v>33</v>
      </c>
      <c r="C758" s="18">
        <v>44921</v>
      </c>
      <c r="D758">
        <v>27</v>
      </c>
    </row>
    <row r="759" spans="1:4" x14ac:dyDescent="0.3">
      <c r="A759" t="s">
        <v>442</v>
      </c>
      <c r="B759" t="s">
        <v>35</v>
      </c>
      <c r="C759" s="18">
        <v>44957</v>
      </c>
      <c r="D759">
        <v>26</v>
      </c>
    </row>
    <row r="760" spans="1:4" x14ac:dyDescent="0.3">
      <c r="A760" t="s">
        <v>443</v>
      </c>
      <c r="B760" t="s">
        <v>23</v>
      </c>
      <c r="C760" s="18">
        <v>45028</v>
      </c>
      <c r="D760">
        <v>65</v>
      </c>
    </row>
    <row r="761" spans="1:4" x14ac:dyDescent="0.3">
      <c r="A761" t="s">
        <v>443</v>
      </c>
      <c r="B761" t="s">
        <v>25</v>
      </c>
      <c r="C761" s="18">
        <v>44731</v>
      </c>
      <c r="D761">
        <v>16</v>
      </c>
    </row>
    <row r="762" spans="1:4" x14ac:dyDescent="0.3">
      <c r="A762" t="s">
        <v>444</v>
      </c>
      <c r="B762" t="s">
        <v>33</v>
      </c>
      <c r="C762" s="18">
        <v>44883</v>
      </c>
      <c r="D762">
        <v>27</v>
      </c>
    </row>
    <row r="763" spans="1:4" x14ac:dyDescent="0.3">
      <c r="A763" t="s">
        <v>444</v>
      </c>
      <c r="B763" t="s">
        <v>24</v>
      </c>
      <c r="C763" s="18">
        <v>44804</v>
      </c>
      <c r="D763">
        <v>13</v>
      </c>
    </row>
    <row r="764" spans="1:4" x14ac:dyDescent="0.3">
      <c r="A764" t="s">
        <v>445</v>
      </c>
      <c r="B764" t="s">
        <v>26</v>
      </c>
      <c r="C764" s="18">
        <v>45042</v>
      </c>
      <c r="D764">
        <v>29</v>
      </c>
    </row>
    <row r="765" spans="1:4" x14ac:dyDescent="0.3">
      <c r="A765" t="s">
        <v>445</v>
      </c>
      <c r="B765" t="s">
        <v>33</v>
      </c>
      <c r="C765" s="18">
        <v>45007</v>
      </c>
      <c r="D765">
        <v>27</v>
      </c>
    </row>
    <row r="766" spans="1:4" x14ac:dyDescent="0.3">
      <c r="A766" t="s">
        <v>446</v>
      </c>
      <c r="B766" t="s">
        <v>30</v>
      </c>
      <c r="C766" s="18">
        <v>44581</v>
      </c>
      <c r="D766">
        <v>75</v>
      </c>
    </row>
    <row r="767" spans="1:4" x14ac:dyDescent="0.3">
      <c r="A767" t="s">
        <v>446</v>
      </c>
      <c r="B767" t="s">
        <v>19</v>
      </c>
      <c r="C767" s="18">
        <v>45020</v>
      </c>
      <c r="D767">
        <v>25</v>
      </c>
    </row>
    <row r="768" spans="1:4" x14ac:dyDescent="0.3">
      <c r="A768" t="s">
        <v>447</v>
      </c>
      <c r="B768" t="s">
        <v>21</v>
      </c>
      <c r="C768" s="18">
        <v>44572</v>
      </c>
      <c r="D768">
        <v>26</v>
      </c>
    </row>
    <row r="769" spans="1:4" x14ac:dyDescent="0.3">
      <c r="A769" t="s">
        <v>448</v>
      </c>
      <c r="B769" t="s">
        <v>35</v>
      </c>
      <c r="C769" s="18">
        <v>44795</v>
      </c>
      <c r="D769">
        <v>26</v>
      </c>
    </row>
    <row r="770" spans="1:4" x14ac:dyDescent="0.3">
      <c r="A770" t="s">
        <v>448</v>
      </c>
      <c r="B770" t="s">
        <v>32</v>
      </c>
      <c r="C770" s="18">
        <v>44787</v>
      </c>
      <c r="D770">
        <v>14</v>
      </c>
    </row>
    <row r="771" spans="1:4" x14ac:dyDescent="0.3">
      <c r="A771" t="s">
        <v>449</v>
      </c>
      <c r="B771" t="s">
        <v>27</v>
      </c>
      <c r="C771" s="18">
        <v>44751</v>
      </c>
      <c r="D771">
        <v>25</v>
      </c>
    </row>
    <row r="772" spans="1:4" x14ac:dyDescent="0.3">
      <c r="A772" t="s">
        <v>449</v>
      </c>
      <c r="B772" t="s">
        <v>20</v>
      </c>
      <c r="C772" s="18">
        <v>44927</v>
      </c>
      <c r="D772">
        <v>10</v>
      </c>
    </row>
    <row r="773" spans="1:4" x14ac:dyDescent="0.3">
      <c r="A773" t="s">
        <v>450</v>
      </c>
      <c r="B773" t="s">
        <v>33</v>
      </c>
      <c r="C773" s="18">
        <v>44998</v>
      </c>
      <c r="D773">
        <v>27</v>
      </c>
    </row>
    <row r="774" spans="1:4" x14ac:dyDescent="0.3">
      <c r="A774" t="s">
        <v>450</v>
      </c>
      <c r="B774" t="s">
        <v>27</v>
      </c>
      <c r="C774" s="18">
        <v>44910</v>
      </c>
      <c r="D774">
        <v>25</v>
      </c>
    </row>
    <row r="775" spans="1:4" x14ac:dyDescent="0.3">
      <c r="A775" t="s">
        <v>451</v>
      </c>
      <c r="B775" t="s">
        <v>26</v>
      </c>
      <c r="C775" s="18">
        <v>44864</v>
      </c>
      <c r="D775">
        <v>29</v>
      </c>
    </row>
    <row r="776" spans="1:4" x14ac:dyDescent="0.3">
      <c r="A776" t="s">
        <v>451</v>
      </c>
      <c r="B776" t="s">
        <v>20</v>
      </c>
      <c r="C776" s="18">
        <v>45037</v>
      </c>
      <c r="D776">
        <v>10</v>
      </c>
    </row>
    <row r="777" spans="1:4" x14ac:dyDescent="0.3">
      <c r="A777" t="s">
        <v>452</v>
      </c>
      <c r="B777" t="s">
        <v>30</v>
      </c>
      <c r="C777" s="18">
        <v>44720</v>
      </c>
      <c r="D777">
        <v>75</v>
      </c>
    </row>
    <row r="778" spans="1:4" x14ac:dyDescent="0.3">
      <c r="A778" t="s">
        <v>452</v>
      </c>
      <c r="B778" t="s">
        <v>22</v>
      </c>
      <c r="C778" s="18">
        <v>45017</v>
      </c>
      <c r="D778">
        <v>62</v>
      </c>
    </row>
    <row r="779" spans="1:4" x14ac:dyDescent="0.3">
      <c r="A779" t="s">
        <v>453</v>
      </c>
      <c r="B779" t="s">
        <v>31</v>
      </c>
      <c r="C779" s="18">
        <v>44614</v>
      </c>
      <c r="D779">
        <v>62</v>
      </c>
    </row>
    <row r="780" spans="1:4" x14ac:dyDescent="0.3">
      <c r="A780" t="s">
        <v>453</v>
      </c>
      <c r="B780" t="s">
        <v>22</v>
      </c>
      <c r="C780" s="18">
        <v>44567</v>
      </c>
      <c r="D780">
        <v>62</v>
      </c>
    </row>
    <row r="781" spans="1:4" x14ac:dyDescent="0.3">
      <c r="A781" t="s">
        <v>454</v>
      </c>
      <c r="B781" t="s">
        <v>35</v>
      </c>
      <c r="C781" s="18">
        <v>45041</v>
      </c>
      <c r="D781">
        <v>26</v>
      </c>
    </row>
    <row r="782" spans="1:4" x14ac:dyDescent="0.3">
      <c r="A782" t="s">
        <v>454</v>
      </c>
      <c r="B782" t="s">
        <v>27</v>
      </c>
      <c r="C782" s="18">
        <v>44759</v>
      </c>
      <c r="D782">
        <v>25</v>
      </c>
    </row>
    <row r="783" spans="1:4" x14ac:dyDescent="0.3">
      <c r="A783" t="s">
        <v>455</v>
      </c>
      <c r="B783" t="s">
        <v>29</v>
      </c>
      <c r="C783" s="18">
        <v>44660</v>
      </c>
      <c r="D783">
        <v>28</v>
      </c>
    </row>
    <row r="784" spans="1:4" x14ac:dyDescent="0.3">
      <c r="A784" t="s">
        <v>455</v>
      </c>
      <c r="B784" t="s">
        <v>20</v>
      </c>
      <c r="C784" s="18">
        <v>44743</v>
      </c>
      <c r="D784">
        <v>10</v>
      </c>
    </row>
    <row r="785" spans="1:4" x14ac:dyDescent="0.3">
      <c r="A785" t="s">
        <v>456</v>
      </c>
      <c r="B785" t="s">
        <v>33</v>
      </c>
      <c r="C785" s="18">
        <v>44780</v>
      </c>
      <c r="D785">
        <v>27</v>
      </c>
    </row>
    <row r="786" spans="1:4" x14ac:dyDescent="0.3">
      <c r="A786" t="s">
        <v>456</v>
      </c>
      <c r="B786" t="s">
        <v>35</v>
      </c>
      <c r="C786" s="18">
        <v>45013</v>
      </c>
      <c r="D786">
        <v>26</v>
      </c>
    </row>
    <row r="787" spans="1:4" x14ac:dyDescent="0.3">
      <c r="A787" t="s">
        <v>457</v>
      </c>
      <c r="B787" t="s">
        <v>21</v>
      </c>
      <c r="C787" s="18">
        <v>45009</v>
      </c>
      <c r="D787">
        <v>26</v>
      </c>
    </row>
    <row r="788" spans="1:4" x14ac:dyDescent="0.3">
      <c r="A788" t="s">
        <v>457</v>
      </c>
      <c r="B788" t="s">
        <v>34</v>
      </c>
      <c r="C788" s="18">
        <v>44787</v>
      </c>
      <c r="D788">
        <v>22</v>
      </c>
    </row>
    <row r="789" spans="1:4" x14ac:dyDescent="0.3">
      <c r="A789" t="s">
        <v>458</v>
      </c>
      <c r="B789" t="s">
        <v>25</v>
      </c>
      <c r="C789" s="18">
        <v>44793</v>
      </c>
      <c r="D789">
        <v>16</v>
      </c>
    </row>
    <row r="790" spans="1:4" x14ac:dyDescent="0.3">
      <c r="A790" t="s">
        <v>459</v>
      </c>
      <c r="B790" t="s">
        <v>21</v>
      </c>
      <c r="C790" s="18">
        <v>44848</v>
      </c>
      <c r="D790">
        <v>26</v>
      </c>
    </row>
    <row r="791" spans="1:4" x14ac:dyDescent="0.3">
      <c r="A791" t="s">
        <v>459</v>
      </c>
      <c r="B791" t="s">
        <v>34</v>
      </c>
      <c r="C791" s="18">
        <v>44590</v>
      </c>
      <c r="D791">
        <v>22</v>
      </c>
    </row>
    <row r="792" spans="1:4" x14ac:dyDescent="0.3">
      <c r="A792" t="s">
        <v>459</v>
      </c>
      <c r="B792" t="s">
        <v>25</v>
      </c>
      <c r="C792" s="18">
        <v>44656</v>
      </c>
      <c r="D792">
        <v>16</v>
      </c>
    </row>
    <row r="793" spans="1:4" x14ac:dyDescent="0.3">
      <c r="A793" t="s">
        <v>460</v>
      </c>
      <c r="B793" t="s">
        <v>27</v>
      </c>
      <c r="C793" s="18">
        <v>44711</v>
      </c>
      <c r="D793">
        <v>25</v>
      </c>
    </row>
    <row r="794" spans="1:4" x14ac:dyDescent="0.3">
      <c r="A794" t="s">
        <v>460</v>
      </c>
      <c r="B794" t="s">
        <v>34</v>
      </c>
      <c r="C794" s="18">
        <v>44680</v>
      </c>
      <c r="D794">
        <v>22</v>
      </c>
    </row>
    <row r="795" spans="1:4" x14ac:dyDescent="0.3">
      <c r="A795" t="s">
        <v>460</v>
      </c>
      <c r="B795" t="s">
        <v>32</v>
      </c>
      <c r="C795" s="18">
        <v>44819</v>
      </c>
      <c r="D795">
        <v>14</v>
      </c>
    </row>
    <row r="796" spans="1:4" x14ac:dyDescent="0.3">
      <c r="A796" t="s">
        <v>461</v>
      </c>
      <c r="B796" t="s">
        <v>27</v>
      </c>
      <c r="C796" s="18">
        <v>44791</v>
      </c>
      <c r="D796">
        <v>25</v>
      </c>
    </row>
    <row r="797" spans="1:4" x14ac:dyDescent="0.3">
      <c r="A797" t="s">
        <v>462</v>
      </c>
      <c r="B797" t="s">
        <v>21</v>
      </c>
      <c r="C797" s="18">
        <v>44942</v>
      </c>
      <c r="D797">
        <v>26</v>
      </c>
    </row>
    <row r="798" spans="1:4" x14ac:dyDescent="0.3">
      <c r="A798" t="s">
        <v>462</v>
      </c>
      <c r="B798" t="s">
        <v>25</v>
      </c>
      <c r="C798" s="18">
        <v>44908</v>
      </c>
      <c r="D798">
        <v>16</v>
      </c>
    </row>
    <row r="799" spans="1:4" x14ac:dyDescent="0.3">
      <c r="A799" t="s">
        <v>463</v>
      </c>
      <c r="B799" t="s">
        <v>32</v>
      </c>
      <c r="C799" s="18">
        <v>44730</v>
      </c>
      <c r="D799">
        <v>14</v>
      </c>
    </row>
    <row r="800" spans="1:4" x14ac:dyDescent="0.3">
      <c r="A800" t="s">
        <v>464</v>
      </c>
      <c r="B800" t="s">
        <v>28</v>
      </c>
      <c r="C800" s="18">
        <v>44882</v>
      </c>
      <c r="D800">
        <v>66</v>
      </c>
    </row>
    <row r="801" spans="1:4" x14ac:dyDescent="0.3">
      <c r="A801" t="s">
        <v>465</v>
      </c>
      <c r="B801" t="s">
        <v>23</v>
      </c>
      <c r="C801" s="18">
        <v>44914</v>
      </c>
      <c r="D801">
        <v>65</v>
      </c>
    </row>
    <row r="802" spans="1:4" x14ac:dyDescent="0.3">
      <c r="A802" t="s">
        <v>466</v>
      </c>
      <c r="B802" t="s">
        <v>26</v>
      </c>
      <c r="C802" s="18">
        <v>44845</v>
      </c>
      <c r="D802">
        <v>29</v>
      </c>
    </row>
    <row r="803" spans="1:4" x14ac:dyDescent="0.3">
      <c r="A803" t="s">
        <v>466</v>
      </c>
      <c r="B803" t="s">
        <v>20</v>
      </c>
      <c r="C803" s="18">
        <v>44767</v>
      </c>
      <c r="D803">
        <v>10</v>
      </c>
    </row>
    <row r="804" spans="1:4" x14ac:dyDescent="0.3">
      <c r="A804" t="s">
        <v>467</v>
      </c>
      <c r="B804" t="s">
        <v>25</v>
      </c>
      <c r="C804" s="18">
        <v>44799</v>
      </c>
      <c r="D804">
        <v>16</v>
      </c>
    </row>
    <row r="805" spans="1:4" x14ac:dyDescent="0.3">
      <c r="A805" t="s">
        <v>467</v>
      </c>
      <c r="B805" t="s">
        <v>32</v>
      </c>
      <c r="C805" s="18">
        <v>44891</v>
      </c>
      <c r="D805">
        <v>14</v>
      </c>
    </row>
    <row r="806" spans="1:4" x14ac:dyDescent="0.3">
      <c r="A806" t="s">
        <v>468</v>
      </c>
      <c r="B806" t="s">
        <v>33</v>
      </c>
      <c r="C806" s="18">
        <v>44781</v>
      </c>
      <c r="D806">
        <v>27</v>
      </c>
    </row>
    <row r="807" spans="1:4" x14ac:dyDescent="0.3">
      <c r="A807" t="s">
        <v>468</v>
      </c>
      <c r="B807" t="s">
        <v>20</v>
      </c>
      <c r="C807" s="18">
        <v>45030</v>
      </c>
      <c r="D807">
        <v>10</v>
      </c>
    </row>
    <row r="808" spans="1:4" x14ac:dyDescent="0.3">
      <c r="A808" t="s">
        <v>469</v>
      </c>
      <c r="B808" t="s">
        <v>33</v>
      </c>
      <c r="C808" s="18">
        <v>45035</v>
      </c>
      <c r="D808">
        <v>27</v>
      </c>
    </row>
    <row r="809" spans="1:4" x14ac:dyDescent="0.3">
      <c r="A809" t="s">
        <v>469</v>
      </c>
      <c r="B809" t="s">
        <v>25</v>
      </c>
      <c r="C809" s="18">
        <v>44911</v>
      </c>
      <c r="D809">
        <v>16</v>
      </c>
    </row>
    <row r="810" spans="1:4" x14ac:dyDescent="0.3">
      <c r="A810" t="s">
        <v>469</v>
      </c>
      <c r="B810" t="s">
        <v>24</v>
      </c>
      <c r="C810" s="18">
        <v>44794</v>
      </c>
      <c r="D810">
        <v>13</v>
      </c>
    </row>
    <row r="811" spans="1:4" x14ac:dyDescent="0.3">
      <c r="A811" t="s">
        <v>470</v>
      </c>
      <c r="B811" t="s">
        <v>33</v>
      </c>
      <c r="C811" s="18">
        <v>44883</v>
      </c>
      <c r="D811">
        <v>27</v>
      </c>
    </row>
    <row r="812" spans="1:4" x14ac:dyDescent="0.3">
      <c r="A812" t="s">
        <v>470</v>
      </c>
      <c r="B812" t="s">
        <v>19</v>
      </c>
      <c r="C812" s="18">
        <v>44918</v>
      </c>
      <c r="D812">
        <v>25</v>
      </c>
    </row>
    <row r="813" spans="1:4" x14ac:dyDescent="0.3">
      <c r="A813" t="s">
        <v>470</v>
      </c>
      <c r="B813" t="s">
        <v>20</v>
      </c>
      <c r="C813" s="18">
        <v>45045</v>
      </c>
      <c r="D813">
        <v>10</v>
      </c>
    </row>
    <row r="814" spans="1:4" x14ac:dyDescent="0.3">
      <c r="A814" t="s">
        <v>471</v>
      </c>
      <c r="B814" t="s">
        <v>28</v>
      </c>
      <c r="C814" s="18">
        <v>44637</v>
      </c>
      <c r="D814">
        <v>66</v>
      </c>
    </row>
    <row r="815" spans="1:4" x14ac:dyDescent="0.3">
      <c r="A815" t="s">
        <v>471</v>
      </c>
      <c r="B815" t="s">
        <v>19</v>
      </c>
      <c r="C815" s="18">
        <v>44691</v>
      </c>
      <c r="D815">
        <v>25</v>
      </c>
    </row>
    <row r="816" spans="1:4" x14ac:dyDescent="0.3">
      <c r="A816" t="s">
        <v>472</v>
      </c>
      <c r="B816" t="s">
        <v>33</v>
      </c>
      <c r="C816" s="18">
        <v>44752</v>
      </c>
      <c r="D816">
        <v>27</v>
      </c>
    </row>
    <row r="817" spans="1:4" x14ac:dyDescent="0.3">
      <c r="A817" t="s">
        <v>472</v>
      </c>
      <c r="B817" t="s">
        <v>32</v>
      </c>
      <c r="C817" s="18">
        <v>44754</v>
      </c>
      <c r="D817">
        <v>14</v>
      </c>
    </row>
    <row r="818" spans="1:4" x14ac:dyDescent="0.3">
      <c r="A818" t="s">
        <v>473</v>
      </c>
      <c r="B818" t="s">
        <v>34</v>
      </c>
      <c r="C818" s="18">
        <v>45041</v>
      </c>
      <c r="D818">
        <v>22</v>
      </c>
    </row>
    <row r="819" spans="1:4" x14ac:dyDescent="0.3">
      <c r="A819" t="s">
        <v>473</v>
      </c>
      <c r="B819" t="s">
        <v>24</v>
      </c>
      <c r="C819" s="18">
        <v>44902</v>
      </c>
      <c r="D819">
        <v>13</v>
      </c>
    </row>
    <row r="820" spans="1:4" x14ac:dyDescent="0.3">
      <c r="A820" t="s">
        <v>474</v>
      </c>
      <c r="B820" t="s">
        <v>33</v>
      </c>
      <c r="C820" s="18">
        <v>44934</v>
      </c>
      <c r="D820">
        <v>27</v>
      </c>
    </row>
    <row r="821" spans="1:4" x14ac:dyDescent="0.3">
      <c r="A821" t="s">
        <v>474</v>
      </c>
      <c r="B821" t="s">
        <v>19</v>
      </c>
      <c r="C821" s="18">
        <v>45009</v>
      </c>
      <c r="D821">
        <v>25</v>
      </c>
    </row>
    <row r="822" spans="1:4" x14ac:dyDescent="0.3">
      <c r="A822" t="s">
        <v>475</v>
      </c>
      <c r="B822" t="s">
        <v>28</v>
      </c>
      <c r="C822" s="18">
        <v>44944</v>
      </c>
      <c r="D822">
        <v>66</v>
      </c>
    </row>
    <row r="823" spans="1:4" x14ac:dyDescent="0.3">
      <c r="A823" t="s">
        <v>475</v>
      </c>
      <c r="B823" t="s">
        <v>27</v>
      </c>
      <c r="C823" s="18">
        <v>45041</v>
      </c>
      <c r="D823">
        <v>25</v>
      </c>
    </row>
    <row r="824" spans="1:4" x14ac:dyDescent="0.3">
      <c r="A824" t="s">
        <v>476</v>
      </c>
      <c r="B824" t="s">
        <v>33</v>
      </c>
      <c r="C824" s="18">
        <v>44960</v>
      </c>
      <c r="D824">
        <v>27</v>
      </c>
    </row>
    <row r="825" spans="1:4" x14ac:dyDescent="0.3">
      <c r="A825" t="s">
        <v>476</v>
      </c>
      <c r="B825" t="s">
        <v>34</v>
      </c>
      <c r="C825" s="18">
        <v>44951</v>
      </c>
      <c r="D825">
        <v>22</v>
      </c>
    </row>
    <row r="826" spans="1:4" x14ac:dyDescent="0.3">
      <c r="A826" t="s">
        <v>477</v>
      </c>
      <c r="B826" t="s">
        <v>23</v>
      </c>
      <c r="C826" s="18">
        <v>44867</v>
      </c>
      <c r="D826">
        <v>65</v>
      </c>
    </row>
    <row r="827" spans="1:4" x14ac:dyDescent="0.3">
      <c r="A827" t="s">
        <v>477</v>
      </c>
      <c r="B827" t="s">
        <v>27</v>
      </c>
      <c r="C827" s="18">
        <v>44625</v>
      </c>
      <c r="D827">
        <v>25</v>
      </c>
    </row>
    <row r="828" spans="1:4" x14ac:dyDescent="0.3">
      <c r="A828" t="s">
        <v>478</v>
      </c>
      <c r="B828" t="s">
        <v>33</v>
      </c>
      <c r="C828" s="18">
        <v>44973</v>
      </c>
      <c r="D828">
        <v>27</v>
      </c>
    </row>
    <row r="829" spans="1:4" x14ac:dyDescent="0.3">
      <c r="A829" t="s">
        <v>479</v>
      </c>
      <c r="B829" t="s">
        <v>23</v>
      </c>
      <c r="C829" s="18">
        <v>44870</v>
      </c>
      <c r="D829">
        <v>65</v>
      </c>
    </row>
    <row r="830" spans="1:4" x14ac:dyDescent="0.3">
      <c r="A830" t="s">
        <v>480</v>
      </c>
      <c r="B830" t="s">
        <v>29</v>
      </c>
      <c r="C830" s="18">
        <v>44725</v>
      </c>
      <c r="D830">
        <v>28</v>
      </c>
    </row>
    <row r="831" spans="1:4" x14ac:dyDescent="0.3">
      <c r="A831" t="s">
        <v>480</v>
      </c>
      <c r="B831" t="s">
        <v>25</v>
      </c>
      <c r="C831" s="18">
        <v>44574</v>
      </c>
      <c r="D831">
        <v>16</v>
      </c>
    </row>
    <row r="832" spans="1:4" x14ac:dyDescent="0.3">
      <c r="A832" t="s">
        <v>481</v>
      </c>
      <c r="B832" t="s">
        <v>22</v>
      </c>
      <c r="C832" s="18">
        <v>44883</v>
      </c>
      <c r="D832">
        <v>62</v>
      </c>
    </row>
    <row r="833" spans="1:4" x14ac:dyDescent="0.3">
      <c r="A833" t="s">
        <v>481</v>
      </c>
      <c r="B833" t="s">
        <v>33</v>
      </c>
      <c r="C833" s="18">
        <v>45032</v>
      </c>
      <c r="D833">
        <v>27</v>
      </c>
    </row>
    <row r="834" spans="1:4" x14ac:dyDescent="0.3">
      <c r="A834" t="s">
        <v>482</v>
      </c>
      <c r="B834" t="s">
        <v>21</v>
      </c>
      <c r="C834" s="18">
        <v>44717</v>
      </c>
      <c r="D834">
        <v>26</v>
      </c>
    </row>
    <row r="835" spans="1:4" x14ac:dyDescent="0.3">
      <c r="A835" t="s">
        <v>482</v>
      </c>
      <c r="B835" t="s">
        <v>32</v>
      </c>
      <c r="C835" s="18">
        <v>44706</v>
      </c>
      <c r="D835">
        <v>14</v>
      </c>
    </row>
    <row r="836" spans="1:4" x14ac:dyDescent="0.3">
      <c r="A836" t="s">
        <v>483</v>
      </c>
      <c r="B836" t="s">
        <v>33</v>
      </c>
      <c r="C836" s="18">
        <v>44992</v>
      </c>
      <c r="D836">
        <v>27</v>
      </c>
    </row>
    <row r="837" spans="1:4" x14ac:dyDescent="0.3">
      <c r="A837" t="s">
        <v>483</v>
      </c>
      <c r="B837" t="s">
        <v>25</v>
      </c>
      <c r="C837" s="18">
        <v>44867</v>
      </c>
      <c r="D837">
        <v>16</v>
      </c>
    </row>
    <row r="838" spans="1:4" x14ac:dyDescent="0.3">
      <c r="A838" t="s">
        <v>484</v>
      </c>
      <c r="B838" t="s">
        <v>31</v>
      </c>
      <c r="C838" s="18">
        <v>44639</v>
      </c>
      <c r="D838">
        <v>62</v>
      </c>
    </row>
    <row r="839" spans="1:4" x14ac:dyDescent="0.3">
      <c r="A839" t="s">
        <v>484</v>
      </c>
      <c r="B839" t="s">
        <v>33</v>
      </c>
      <c r="C839" s="18">
        <v>44885</v>
      </c>
      <c r="D839">
        <v>27</v>
      </c>
    </row>
    <row r="840" spans="1:4" x14ac:dyDescent="0.3">
      <c r="A840" t="s">
        <v>485</v>
      </c>
      <c r="B840" t="s">
        <v>28</v>
      </c>
      <c r="C840" s="18">
        <v>44955</v>
      </c>
      <c r="D840">
        <v>66</v>
      </c>
    </row>
    <row r="841" spans="1:4" x14ac:dyDescent="0.3">
      <c r="A841" t="s">
        <v>485</v>
      </c>
      <c r="B841" t="s">
        <v>23</v>
      </c>
      <c r="C841" s="18">
        <v>44667</v>
      </c>
      <c r="D841">
        <v>65</v>
      </c>
    </row>
    <row r="842" spans="1:4" x14ac:dyDescent="0.3">
      <c r="A842" t="s">
        <v>486</v>
      </c>
      <c r="B842" t="s">
        <v>26</v>
      </c>
      <c r="C842" s="18">
        <v>44848</v>
      </c>
      <c r="D842">
        <v>29</v>
      </c>
    </row>
    <row r="843" spans="1:4" x14ac:dyDescent="0.3">
      <c r="A843" t="s">
        <v>486</v>
      </c>
      <c r="B843" t="s">
        <v>34</v>
      </c>
      <c r="C843" s="18">
        <v>44602</v>
      </c>
      <c r="D843">
        <v>22</v>
      </c>
    </row>
    <row r="844" spans="1:4" x14ac:dyDescent="0.3">
      <c r="A844" t="s">
        <v>486</v>
      </c>
      <c r="B844" t="s">
        <v>25</v>
      </c>
      <c r="C844" s="18">
        <v>44755</v>
      </c>
      <c r="D844">
        <v>16</v>
      </c>
    </row>
    <row r="845" spans="1:4" x14ac:dyDescent="0.3">
      <c r="A845" t="s">
        <v>487</v>
      </c>
      <c r="B845" t="s">
        <v>27</v>
      </c>
      <c r="C845" s="18">
        <v>44884</v>
      </c>
      <c r="D845">
        <v>25</v>
      </c>
    </row>
    <row r="846" spans="1:4" x14ac:dyDescent="0.3">
      <c r="A846" t="s">
        <v>487</v>
      </c>
      <c r="B846" t="s">
        <v>34</v>
      </c>
      <c r="C846" s="18">
        <v>44683</v>
      </c>
      <c r="D846">
        <v>22</v>
      </c>
    </row>
    <row r="847" spans="1:4" x14ac:dyDescent="0.3">
      <c r="A847" t="s">
        <v>488</v>
      </c>
      <c r="B847" t="s">
        <v>23</v>
      </c>
      <c r="C847" s="18">
        <v>44842</v>
      </c>
      <c r="D847">
        <v>65</v>
      </c>
    </row>
    <row r="848" spans="1:4" x14ac:dyDescent="0.3">
      <c r="A848" t="s">
        <v>488</v>
      </c>
      <c r="B848" t="s">
        <v>22</v>
      </c>
      <c r="C848" s="18">
        <v>44799</v>
      </c>
      <c r="D848">
        <v>62</v>
      </c>
    </row>
    <row r="849" spans="1:4" x14ac:dyDescent="0.3">
      <c r="A849" t="s">
        <v>489</v>
      </c>
      <c r="B849" t="s">
        <v>21</v>
      </c>
      <c r="C849" s="18">
        <v>44674</v>
      </c>
      <c r="D849">
        <v>26</v>
      </c>
    </row>
    <row r="850" spans="1:4" x14ac:dyDescent="0.3">
      <c r="A850" t="s">
        <v>490</v>
      </c>
      <c r="B850" t="s">
        <v>23</v>
      </c>
      <c r="C850" s="18">
        <v>44673</v>
      </c>
      <c r="D850">
        <v>65</v>
      </c>
    </row>
    <row r="851" spans="1:4" x14ac:dyDescent="0.3">
      <c r="A851" t="s">
        <v>490</v>
      </c>
      <c r="B851" t="s">
        <v>22</v>
      </c>
      <c r="C851" s="18">
        <v>44644</v>
      </c>
      <c r="D851">
        <v>62</v>
      </c>
    </row>
    <row r="852" spans="1:4" x14ac:dyDescent="0.3">
      <c r="A852" t="s">
        <v>490</v>
      </c>
      <c r="B852" t="s">
        <v>33</v>
      </c>
      <c r="C852" s="18">
        <v>45012</v>
      </c>
      <c r="D852">
        <v>27</v>
      </c>
    </row>
    <row r="853" spans="1:4" x14ac:dyDescent="0.3">
      <c r="A853" t="s">
        <v>491</v>
      </c>
      <c r="B853" t="s">
        <v>28</v>
      </c>
      <c r="C853" s="18">
        <v>44850</v>
      </c>
      <c r="D853">
        <v>66</v>
      </c>
    </row>
    <row r="854" spans="1:4" x14ac:dyDescent="0.3">
      <c r="A854" t="s">
        <v>491</v>
      </c>
      <c r="B854" t="s">
        <v>26</v>
      </c>
      <c r="C854" s="18">
        <v>45042</v>
      </c>
      <c r="D854">
        <v>29</v>
      </c>
    </row>
    <row r="855" spans="1:4" x14ac:dyDescent="0.3">
      <c r="A855" t="s">
        <v>492</v>
      </c>
      <c r="B855" t="s">
        <v>26</v>
      </c>
      <c r="C855" s="18">
        <v>44941</v>
      </c>
      <c r="D855">
        <v>29</v>
      </c>
    </row>
    <row r="856" spans="1:4" x14ac:dyDescent="0.3">
      <c r="A856" t="s">
        <v>492</v>
      </c>
      <c r="B856" t="s">
        <v>34</v>
      </c>
      <c r="C856" s="18">
        <v>44810</v>
      </c>
      <c r="D856">
        <v>22</v>
      </c>
    </row>
    <row r="857" spans="1:4" x14ac:dyDescent="0.3">
      <c r="A857" t="s">
        <v>493</v>
      </c>
      <c r="B857" t="s">
        <v>28</v>
      </c>
      <c r="C857" s="18">
        <v>44857</v>
      </c>
      <c r="D857">
        <v>66</v>
      </c>
    </row>
    <row r="858" spans="1:4" x14ac:dyDescent="0.3">
      <c r="A858" t="s">
        <v>493</v>
      </c>
      <c r="B858" t="s">
        <v>34</v>
      </c>
      <c r="C858" s="18">
        <v>44852</v>
      </c>
      <c r="D858">
        <v>22</v>
      </c>
    </row>
    <row r="859" spans="1:4" x14ac:dyDescent="0.3">
      <c r="A859" t="s">
        <v>494</v>
      </c>
      <c r="B859" t="s">
        <v>30</v>
      </c>
      <c r="C859" s="18">
        <v>44769</v>
      </c>
      <c r="D859">
        <v>75</v>
      </c>
    </row>
    <row r="860" spans="1:4" x14ac:dyDescent="0.3">
      <c r="A860" t="s">
        <v>494</v>
      </c>
      <c r="B860" t="s">
        <v>28</v>
      </c>
      <c r="C860" s="18">
        <v>44646</v>
      </c>
      <c r="D860">
        <v>66</v>
      </c>
    </row>
    <row r="861" spans="1:4" x14ac:dyDescent="0.3">
      <c r="A861" t="s">
        <v>494</v>
      </c>
      <c r="B861" t="s">
        <v>20</v>
      </c>
      <c r="C861" s="18">
        <v>44741</v>
      </c>
      <c r="D861">
        <v>10</v>
      </c>
    </row>
    <row r="862" spans="1:4" x14ac:dyDescent="0.3">
      <c r="A862" t="s">
        <v>495</v>
      </c>
      <c r="B862" t="s">
        <v>33</v>
      </c>
      <c r="C862" s="18">
        <v>45021</v>
      </c>
      <c r="D862">
        <v>27</v>
      </c>
    </row>
    <row r="863" spans="1:4" x14ac:dyDescent="0.3">
      <c r="A863" t="s">
        <v>496</v>
      </c>
      <c r="B863" t="s">
        <v>28</v>
      </c>
      <c r="C863" s="18">
        <v>45036</v>
      </c>
      <c r="D863">
        <v>66</v>
      </c>
    </row>
    <row r="864" spans="1:4" x14ac:dyDescent="0.3">
      <c r="A864" t="s">
        <v>496</v>
      </c>
      <c r="B864" t="s">
        <v>35</v>
      </c>
      <c r="C864" s="18">
        <v>44819</v>
      </c>
      <c r="D864">
        <v>26</v>
      </c>
    </row>
    <row r="865" spans="1:4" x14ac:dyDescent="0.3">
      <c r="A865" t="s">
        <v>497</v>
      </c>
      <c r="B865" t="s">
        <v>26</v>
      </c>
      <c r="C865" s="18">
        <v>44760</v>
      </c>
      <c r="D865">
        <v>29</v>
      </c>
    </row>
    <row r="866" spans="1:4" x14ac:dyDescent="0.3">
      <c r="A866" t="s">
        <v>497</v>
      </c>
      <c r="B866" t="s">
        <v>29</v>
      </c>
      <c r="C866" s="18">
        <v>44641</v>
      </c>
      <c r="D866">
        <v>28</v>
      </c>
    </row>
    <row r="867" spans="1:4" x14ac:dyDescent="0.3">
      <c r="A867" t="s">
        <v>498</v>
      </c>
      <c r="B867" t="s">
        <v>19</v>
      </c>
      <c r="C867" s="18">
        <v>45036</v>
      </c>
      <c r="D867">
        <v>25</v>
      </c>
    </row>
    <row r="868" spans="1:4" x14ac:dyDescent="0.3">
      <c r="A868" t="s">
        <v>498</v>
      </c>
      <c r="B868" t="s">
        <v>20</v>
      </c>
      <c r="C868" s="18">
        <v>44699</v>
      </c>
      <c r="D868">
        <v>10</v>
      </c>
    </row>
    <row r="869" spans="1:4" x14ac:dyDescent="0.3">
      <c r="A869" t="s">
        <v>499</v>
      </c>
      <c r="B869" t="s">
        <v>33</v>
      </c>
      <c r="C869" s="18">
        <v>44785</v>
      </c>
      <c r="D869">
        <v>27</v>
      </c>
    </row>
    <row r="870" spans="1:4" x14ac:dyDescent="0.3">
      <c r="A870" t="s">
        <v>499</v>
      </c>
      <c r="B870" t="s">
        <v>35</v>
      </c>
      <c r="C870" s="18">
        <v>44951</v>
      </c>
      <c r="D870">
        <v>26</v>
      </c>
    </row>
    <row r="871" spans="1:4" x14ac:dyDescent="0.3">
      <c r="A871" t="s">
        <v>500</v>
      </c>
      <c r="B871" t="s">
        <v>22</v>
      </c>
      <c r="C871" s="18">
        <v>45004</v>
      </c>
      <c r="D871">
        <v>62</v>
      </c>
    </row>
    <row r="872" spans="1:4" x14ac:dyDescent="0.3">
      <c r="A872" t="s">
        <v>500</v>
      </c>
      <c r="B872" t="s">
        <v>19</v>
      </c>
      <c r="C872" s="18">
        <v>44853</v>
      </c>
      <c r="D872">
        <v>25</v>
      </c>
    </row>
    <row r="873" spans="1:4" x14ac:dyDescent="0.3">
      <c r="A873" t="s">
        <v>501</v>
      </c>
      <c r="B873" t="s">
        <v>21</v>
      </c>
      <c r="C873" s="18">
        <v>44902</v>
      </c>
      <c r="D873">
        <v>26</v>
      </c>
    </row>
    <row r="874" spans="1:4" x14ac:dyDescent="0.3">
      <c r="A874" t="s">
        <v>501</v>
      </c>
      <c r="B874" t="s">
        <v>20</v>
      </c>
      <c r="C874" s="18">
        <v>44853</v>
      </c>
      <c r="D874">
        <v>10</v>
      </c>
    </row>
    <row r="875" spans="1:4" x14ac:dyDescent="0.3">
      <c r="A875" t="s">
        <v>502</v>
      </c>
      <c r="B875" t="s">
        <v>27</v>
      </c>
      <c r="C875" s="18">
        <v>44955</v>
      </c>
      <c r="D875">
        <v>25</v>
      </c>
    </row>
    <row r="876" spans="1:4" x14ac:dyDescent="0.3">
      <c r="A876" t="s">
        <v>502</v>
      </c>
      <c r="B876" t="s">
        <v>34</v>
      </c>
      <c r="C876" s="18">
        <v>44581</v>
      </c>
      <c r="D876">
        <v>22</v>
      </c>
    </row>
    <row r="877" spans="1:4" x14ac:dyDescent="0.3">
      <c r="A877" t="s">
        <v>503</v>
      </c>
      <c r="B877" t="s">
        <v>26</v>
      </c>
      <c r="C877" s="18">
        <v>45039</v>
      </c>
      <c r="D877">
        <v>29</v>
      </c>
    </row>
    <row r="878" spans="1:4" x14ac:dyDescent="0.3">
      <c r="A878" t="s">
        <v>503</v>
      </c>
      <c r="B878" t="s">
        <v>34</v>
      </c>
      <c r="C878" s="18">
        <v>44686</v>
      </c>
      <c r="D878">
        <v>22</v>
      </c>
    </row>
    <row r="879" spans="1:4" x14ac:dyDescent="0.3">
      <c r="A879" t="s">
        <v>504</v>
      </c>
      <c r="B879" t="s">
        <v>34</v>
      </c>
      <c r="C879" s="18">
        <v>45017</v>
      </c>
      <c r="D879">
        <v>22</v>
      </c>
    </row>
    <row r="880" spans="1:4" x14ac:dyDescent="0.3">
      <c r="A880" t="s">
        <v>505</v>
      </c>
      <c r="B880" t="s">
        <v>22</v>
      </c>
      <c r="C880" s="18">
        <v>44568</v>
      </c>
      <c r="D880">
        <v>62</v>
      </c>
    </row>
    <row r="881" spans="1:4" x14ac:dyDescent="0.3">
      <c r="A881" t="s">
        <v>505</v>
      </c>
      <c r="B881" t="s">
        <v>21</v>
      </c>
      <c r="C881" s="18">
        <v>44830</v>
      </c>
      <c r="D881">
        <v>26</v>
      </c>
    </row>
    <row r="882" spans="1:4" x14ac:dyDescent="0.3">
      <c r="A882" t="s">
        <v>506</v>
      </c>
      <c r="B882" t="s">
        <v>35</v>
      </c>
      <c r="C882" s="18">
        <v>44848</v>
      </c>
      <c r="D882">
        <v>26</v>
      </c>
    </row>
    <row r="883" spans="1:4" x14ac:dyDescent="0.3">
      <c r="A883" t="s">
        <v>506</v>
      </c>
      <c r="B883" t="s">
        <v>34</v>
      </c>
      <c r="C883" s="18">
        <v>44615</v>
      </c>
      <c r="D883">
        <v>22</v>
      </c>
    </row>
    <row r="884" spans="1:4" x14ac:dyDescent="0.3">
      <c r="A884" t="s">
        <v>507</v>
      </c>
      <c r="B884" t="s">
        <v>34</v>
      </c>
      <c r="C884" s="18">
        <v>44768</v>
      </c>
      <c r="D884">
        <v>22</v>
      </c>
    </row>
    <row r="885" spans="1:4" x14ac:dyDescent="0.3">
      <c r="A885" t="s">
        <v>507</v>
      </c>
      <c r="B885" t="s">
        <v>25</v>
      </c>
      <c r="C885" s="18">
        <v>45039</v>
      </c>
      <c r="D885">
        <v>16</v>
      </c>
    </row>
    <row r="886" spans="1:4" x14ac:dyDescent="0.3">
      <c r="A886" t="s">
        <v>508</v>
      </c>
      <c r="B886" t="s">
        <v>22</v>
      </c>
      <c r="C886" s="18">
        <v>44748</v>
      </c>
      <c r="D886">
        <v>62</v>
      </c>
    </row>
    <row r="887" spans="1:4" x14ac:dyDescent="0.3">
      <c r="A887" t="s">
        <v>509</v>
      </c>
      <c r="B887" t="s">
        <v>30</v>
      </c>
      <c r="C887" s="18">
        <v>44620</v>
      </c>
      <c r="D887">
        <v>75</v>
      </c>
    </row>
    <row r="888" spans="1:4" x14ac:dyDescent="0.3">
      <c r="A888" t="s">
        <v>509</v>
      </c>
      <c r="B888" t="s">
        <v>35</v>
      </c>
      <c r="C888" s="18">
        <v>44961</v>
      </c>
      <c r="D888">
        <v>26</v>
      </c>
    </row>
    <row r="889" spans="1:4" x14ac:dyDescent="0.3">
      <c r="A889" t="s">
        <v>510</v>
      </c>
      <c r="B889" t="s">
        <v>35</v>
      </c>
      <c r="C889" s="18">
        <v>45037</v>
      </c>
      <c r="D889">
        <v>26</v>
      </c>
    </row>
    <row r="890" spans="1:4" x14ac:dyDescent="0.3">
      <c r="A890" t="s">
        <v>510</v>
      </c>
      <c r="B890" t="s">
        <v>27</v>
      </c>
      <c r="C890" s="18">
        <v>44649</v>
      </c>
      <c r="D890">
        <v>25</v>
      </c>
    </row>
    <row r="891" spans="1:4" x14ac:dyDescent="0.3">
      <c r="A891" t="s">
        <v>511</v>
      </c>
      <c r="B891" t="s">
        <v>27</v>
      </c>
      <c r="C891" s="18">
        <v>44855</v>
      </c>
      <c r="D891">
        <v>25</v>
      </c>
    </row>
    <row r="892" spans="1:4" x14ac:dyDescent="0.3">
      <c r="A892" t="s">
        <v>511</v>
      </c>
      <c r="B892" t="s">
        <v>24</v>
      </c>
      <c r="C892" s="18">
        <v>44976</v>
      </c>
      <c r="D892">
        <v>13</v>
      </c>
    </row>
    <row r="893" spans="1:4" x14ac:dyDescent="0.3">
      <c r="A893" t="s">
        <v>512</v>
      </c>
      <c r="B893" t="s">
        <v>28</v>
      </c>
      <c r="C893" s="18">
        <v>44608</v>
      </c>
      <c r="D893">
        <v>66</v>
      </c>
    </row>
    <row r="894" spans="1:4" x14ac:dyDescent="0.3">
      <c r="A894" t="s">
        <v>512</v>
      </c>
      <c r="B894" t="s">
        <v>33</v>
      </c>
      <c r="C894" s="18">
        <v>44831</v>
      </c>
      <c r="D894">
        <v>27</v>
      </c>
    </row>
    <row r="895" spans="1:4" x14ac:dyDescent="0.3">
      <c r="A895" t="s">
        <v>513</v>
      </c>
      <c r="B895" t="s">
        <v>29</v>
      </c>
      <c r="C895" s="18">
        <v>44881</v>
      </c>
      <c r="D895">
        <v>28</v>
      </c>
    </row>
    <row r="896" spans="1:4" x14ac:dyDescent="0.3">
      <c r="A896" t="s">
        <v>513</v>
      </c>
      <c r="B896" t="s">
        <v>33</v>
      </c>
      <c r="C896" s="18">
        <v>44846</v>
      </c>
      <c r="D896">
        <v>27</v>
      </c>
    </row>
    <row r="897" spans="1:4" x14ac:dyDescent="0.3">
      <c r="A897" t="s">
        <v>514</v>
      </c>
      <c r="B897" t="s">
        <v>26</v>
      </c>
      <c r="C897" s="18">
        <v>45018</v>
      </c>
      <c r="D897">
        <v>29</v>
      </c>
    </row>
    <row r="898" spans="1:4" x14ac:dyDescent="0.3">
      <c r="A898" t="s">
        <v>514</v>
      </c>
      <c r="B898" t="s">
        <v>32</v>
      </c>
      <c r="C898" s="18">
        <v>44744</v>
      </c>
      <c r="D898">
        <v>14</v>
      </c>
    </row>
    <row r="899" spans="1:4" x14ac:dyDescent="0.3">
      <c r="A899" t="s">
        <v>515</v>
      </c>
      <c r="B899" t="s">
        <v>35</v>
      </c>
      <c r="C899" s="18">
        <v>44741</v>
      </c>
      <c r="D899">
        <v>26</v>
      </c>
    </row>
    <row r="900" spans="1:4" x14ac:dyDescent="0.3">
      <c r="A900" t="s">
        <v>515</v>
      </c>
      <c r="B900" t="s">
        <v>34</v>
      </c>
      <c r="C900" s="18">
        <v>44821</v>
      </c>
      <c r="D900">
        <v>22</v>
      </c>
    </row>
    <row r="901" spans="1:4" x14ac:dyDescent="0.3">
      <c r="A901" t="s">
        <v>516</v>
      </c>
      <c r="B901" t="s">
        <v>24</v>
      </c>
      <c r="C901" s="18">
        <v>44796</v>
      </c>
      <c r="D901">
        <v>13</v>
      </c>
    </row>
    <row r="902" spans="1:4" x14ac:dyDescent="0.3">
      <c r="A902" t="s">
        <v>517</v>
      </c>
      <c r="B902" t="s">
        <v>33</v>
      </c>
      <c r="C902" s="18">
        <v>44825</v>
      </c>
      <c r="D902">
        <v>27</v>
      </c>
    </row>
    <row r="903" spans="1:4" x14ac:dyDescent="0.3">
      <c r="A903" t="s">
        <v>517</v>
      </c>
      <c r="B903" t="s">
        <v>35</v>
      </c>
      <c r="C903" s="18">
        <v>44742</v>
      </c>
      <c r="D903">
        <v>26</v>
      </c>
    </row>
    <row r="904" spans="1:4" x14ac:dyDescent="0.3">
      <c r="A904" t="s">
        <v>518</v>
      </c>
      <c r="B904" t="s">
        <v>29</v>
      </c>
      <c r="C904" s="18">
        <v>44918</v>
      </c>
      <c r="D904">
        <v>28</v>
      </c>
    </row>
    <row r="905" spans="1:4" x14ac:dyDescent="0.3">
      <c r="A905" t="s">
        <v>518</v>
      </c>
      <c r="B905" t="s">
        <v>32</v>
      </c>
      <c r="C905" s="18">
        <v>44961</v>
      </c>
      <c r="D905">
        <v>14</v>
      </c>
    </row>
    <row r="906" spans="1:4" x14ac:dyDescent="0.3">
      <c r="A906" t="s">
        <v>519</v>
      </c>
      <c r="B906" t="s">
        <v>29</v>
      </c>
      <c r="C906" s="18">
        <v>45030</v>
      </c>
      <c r="D906">
        <v>28</v>
      </c>
    </row>
    <row r="907" spans="1:4" x14ac:dyDescent="0.3">
      <c r="A907" t="s">
        <v>519</v>
      </c>
      <c r="B907" t="s">
        <v>21</v>
      </c>
      <c r="C907" s="18">
        <v>44778</v>
      </c>
      <c r="D907">
        <v>26</v>
      </c>
    </row>
    <row r="908" spans="1:4" x14ac:dyDescent="0.3">
      <c r="A908" t="s">
        <v>520</v>
      </c>
      <c r="B908" t="s">
        <v>26</v>
      </c>
      <c r="C908" s="18">
        <v>45025</v>
      </c>
      <c r="D908">
        <v>29</v>
      </c>
    </row>
    <row r="909" spans="1:4" x14ac:dyDescent="0.3">
      <c r="A909" t="s">
        <v>520</v>
      </c>
      <c r="B909" t="s">
        <v>19</v>
      </c>
      <c r="C909" s="18">
        <v>44932</v>
      </c>
      <c r="D909">
        <v>25</v>
      </c>
    </row>
    <row r="910" spans="1:4" x14ac:dyDescent="0.3">
      <c r="A910" t="s">
        <v>521</v>
      </c>
      <c r="B910" t="s">
        <v>34</v>
      </c>
      <c r="C910" s="18">
        <v>44605</v>
      </c>
      <c r="D910">
        <v>22</v>
      </c>
    </row>
    <row r="911" spans="1:4" x14ac:dyDescent="0.3">
      <c r="A911" t="s">
        <v>521</v>
      </c>
      <c r="B911" t="s">
        <v>32</v>
      </c>
      <c r="C911" s="18">
        <v>44585</v>
      </c>
      <c r="D911">
        <v>14</v>
      </c>
    </row>
    <row r="912" spans="1:4" x14ac:dyDescent="0.3">
      <c r="A912" t="s">
        <v>522</v>
      </c>
      <c r="B912" t="s">
        <v>30</v>
      </c>
      <c r="C912" s="18">
        <v>45009</v>
      </c>
      <c r="D912">
        <v>75</v>
      </c>
    </row>
    <row r="913" spans="1:4" x14ac:dyDescent="0.3">
      <c r="A913" t="s">
        <v>522</v>
      </c>
      <c r="B913" t="s">
        <v>35</v>
      </c>
      <c r="C913" s="18">
        <v>45011</v>
      </c>
      <c r="D913">
        <v>26</v>
      </c>
    </row>
    <row r="914" spans="1:4" x14ac:dyDescent="0.3">
      <c r="A914" t="s">
        <v>523</v>
      </c>
      <c r="B914" t="s">
        <v>23</v>
      </c>
      <c r="C914" s="18">
        <v>45010</v>
      </c>
      <c r="D914">
        <v>65</v>
      </c>
    </row>
    <row r="915" spans="1:4" x14ac:dyDescent="0.3">
      <c r="A915" t="s">
        <v>523</v>
      </c>
      <c r="B915" t="s">
        <v>29</v>
      </c>
      <c r="C915" s="18">
        <v>44968</v>
      </c>
      <c r="D915">
        <v>28</v>
      </c>
    </row>
    <row r="916" spans="1:4" x14ac:dyDescent="0.3">
      <c r="A916" t="s">
        <v>524</v>
      </c>
      <c r="B916" t="s">
        <v>30</v>
      </c>
      <c r="C916" s="18">
        <v>44865</v>
      </c>
      <c r="D916">
        <v>75</v>
      </c>
    </row>
    <row r="917" spans="1:4" x14ac:dyDescent="0.3">
      <c r="A917" t="s">
        <v>524</v>
      </c>
      <c r="B917" t="s">
        <v>29</v>
      </c>
      <c r="C917" s="18">
        <v>44753</v>
      </c>
      <c r="D917">
        <v>28</v>
      </c>
    </row>
    <row r="918" spans="1:4" x14ac:dyDescent="0.3">
      <c r="A918" t="s">
        <v>525</v>
      </c>
      <c r="B918" t="s">
        <v>30</v>
      </c>
      <c r="C918" s="18">
        <v>44938</v>
      </c>
      <c r="D918">
        <v>75</v>
      </c>
    </row>
    <row r="919" spans="1:4" x14ac:dyDescent="0.3">
      <c r="A919" t="s">
        <v>525</v>
      </c>
      <c r="B919" t="s">
        <v>32</v>
      </c>
      <c r="C919" s="18">
        <v>44978</v>
      </c>
      <c r="D919">
        <v>14</v>
      </c>
    </row>
    <row r="920" spans="1:4" x14ac:dyDescent="0.3">
      <c r="A920" t="s">
        <v>526</v>
      </c>
      <c r="B920" t="s">
        <v>29</v>
      </c>
      <c r="C920" s="18">
        <v>44955</v>
      </c>
      <c r="D920">
        <v>28</v>
      </c>
    </row>
    <row r="921" spans="1:4" x14ac:dyDescent="0.3">
      <c r="A921" t="s">
        <v>526</v>
      </c>
      <c r="B921" t="s">
        <v>33</v>
      </c>
      <c r="C921" s="18">
        <v>44872</v>
      </c>
      <c r="D921">
        <v>27</v>
      </c>
    </row>
    <row r="922" spans="1:4" x14ac:dyDescent="0.3">
      <c r="A922" t="s">
        <v>527</v>
      </c>
      <c r="B922" t="s">
        <v>32</v>
      </c>
      <c r="C922" s="18">
        <v>44670</v>
      </c>
      <c r="D922">
        <v>14</v>
      </c>
    </row>
    <row r="923" spans="1:4" x14ac:dyDescent="0.3">
      <c r="A923" t="s">
        <v>527</v>
      </c>
      <c r="B923" t="s">
        <v>20</v>
      </c>
      <c r="C923" s="18">
        <v>44750</v>
      </c>
      <c r="D923">
        <v>10</v>
      </c>
    </row>
    <row r="924" spans="1:4" x14ac:dyDescent="0.3">
      <c r="A924" t="s">
        <v>528</v>
      </c>
      <c r="B924" t="s">
        <v>22</v>
      </c>
      <c r="C924" s="18">
        <v>44734</v>
      </c>
      <c r="D924">
        <v>62</v>
      </c>
    </row>
    <row r="925" spans="1:4" x14ac:dyDescent="0.3">
      <c r="A925" t="s">
        <v>528</v>
      </c>
      <c r="B925" t="s">
        <v>29</v>
      </c>
      <c r="C925" s="18">
        <v>44966</v>
      </c>
      <c r="D925">
        <v>28</v>
      </c>
    </row>
    <row r="926" spans="1:4" x14ac:dyDescent="0.3">
      <c r="A926" t="s">
        <v>529</v>
      </c>
      <c r="B926" t="s">
        <v>31</v>
      </c>
      <c r="C926" s="18">
        <v>44778</v>
      </c>
      <c r="D926">
        <v>62</v>
      </c>
    </row>
    <row r="927" spans="1:4" x14ac:dyDescent="0.3">
      <c r="A927" t="s">
        <v>529</v>
      </c>
      <c r="B927" t="s">
        <v>19</v>
      </c>
      <c r="C927" s="18">
        <v>44578</v>
      </c>
      <c r="D927">
        <v>25</v>
      </c>
    </row>
    <row r="928" spans="1:4" x14ac:dyDescent="0.3">
      <c r="A928" t="s">
        <v>529</v>
      </c>
      <c r="B928" t="s">
        <v>32</v>
      </c>
      <c r="C928" s="18">
        <v>44794</v>
      </c>
      <c r="D928">
        <v>14</v>
      </c>
    </row>
    <row r="929" spans="1:4" x14ac:dyDescent="0.3">
      <c r="A929" t="s">
        <v>530</v>
      </c>
      <c r="B929" t="s">
        <v>23</v>
      </c>
      <c r="C929" s="18">
        <v>45006</v>
      </c>
      <c r="D929">
        <v>65</v>
      </c>
    </row>
    <row r="930" spans="1:4" x14ac:dyDescent="0.3">
      <c r="A930" t="s">
        <v>530</v>
      </c>
      <c r="B930" t="s">
        <v>25</v>
      </c>
      <c r="C930" s="18">
        <v>44830</v>
      </c>
      <c r="D930">
        <v>16</v>
      </c>
    </row>
    <row r="931" spans="1:4" x14ac:dyDescent="0.3">
      <c r="A931" t="s">
        <v>531</v>
      </c>
      <c r="B931" t="s">
        <v>30</v>
      </c>
      <c r="C931" s="18">
        <v>44684</v>
      </c>
      <c r="D931">
        <v>75</v>
      </c>
    </row>
    <row r="932" spans="1:4" x14ac:dyDescent="0.3">
      <c r="A932" t="s">
        <v>531</v>
      </c>
      <c r="B932" t="s">
        <v>25</v>
      </c>
      <c r="C932" s="18">
        <v>44566</v>
      </c>
      <c r="D932">
        <v>16</v>
      </c>
    </row>
    <row r="933" spans="1:4" x14ac:dyDescent="0.3">
      <c r="A933" t="s">
        <v>532</v>
      </c>
      <c r="B933" t="s">
        <v>24</v>
      </c>
      <c r="C933" s="18">
        <v>44703</v>
      </c>
      <c r="D933">
        <v>13</v>
      </c>
    </row>
    <row r="934" spans="1:4" x14ac:dyDescent="0.3">
      <c r="A934" t="s">
        <v>533</v>
      </c>
      <c r="B934" t="s">
        <v>33</v>
      </c>
      <c r="C934" s="18">
        <v>44923</v>
      </c>
      <c r="D934">
        <v>27</v>
      </c>
    </row>
    <row r="935" spans="1:4" x14ac:dyDescent="0.3">
      <c r="A935" t="s">
        <v>534</v>
      </c>
      <c r="B935" t="s">
        <v>27</v>
      </c>
      <c r="C935" s="18">
        <v>44678</v>
      </c>
      <c r="D935">
        <v>25</v>
      </c>
    </row>
    <row r="936" spans="1:4" x14ac:dyDescent="0.3">
      <c r="A936" t="s">
        <v>534</v>
      </c>
      <c r="B936" t="s">
        <v>32</v>
      </c>
      <c r="C936" s="18">
        <v>44570</v>
      </c>
      <c r="D936">
        <v>14</v>
      </c>
    </row>
    <row r="937" spans="1:4" x14ac:dyDescent="0.3">
      <c r="A937" t="s">
        <v>535</v>
      </c>
      <c r="B937" t="s">
        <v>28</v>
      </c>
      <c r="C937" s="18">
        <v>44722</v>
      </c>
      <c r="D937">
        <v>66</v>
      </c>
    </row>
    <row r="938" spans="1:4" x14ac:dyDescent="0.3">
      <c r="A938" t="s">
        <v>535</v>
      </c>
      <c r="B938" t="s">
        <v>35</v>
      </c>
      <c r="C938" s="18">
        <v>44922</v>
      </c>
      <c r="D938">
        <v>26</v>
      </c>
    </row>
    <row r="939" spans="1:4" x14ac:dyDescent="0.3">
      <c r="A939" t="s">
        <v>535</v>
      </c>
      <c r="B939" t="s">
        <v>34</v>
      </c>
      <c r="C939" s="18">
        <v>44619</v>
      </c>
      <c r="D939">
        <v>22</v>
      </c>
    </row>
    <row r="940" spans="1:4" x14ac:dyDescent="0.3">
      <c r="A940" t="s">
        <v>536</v>
      </c>
      <c r="B940" t="s">
        <v>31</v>
      </c>
      <c r="C940" s="18">
        <v>44603</v>
      </c>
      <c r="D940">
        <v>62</v>
      </c>
    </row>
    <row r="941" spans="1:4" x14ac:dyDescent="0.3">
      <c r="A941" t="s">
        <v>536</v>
      </c>
      <c r="B941" t="s">
        <v>26</v>
      </c>
      <c r="C941" s="18">
        <v>44752</v>
      </c>
      <c r="D941">
        <v>29</v>
      </c>
    </row>
    <row r="942" spans="1:4" x14ac:dyDescent="0.3">
      <c r="A942" t="s">
        <v>536</v>
      </c>
      <c r="B942" t="s">
        <v>25</v>
      </c>
      <c r="C942" s="18">
        <v>44939</v>
      </c>
      <c r="D942">
        <v>16</v>
      </c>
    </row>
    <row r="943" spans="1:4" x14ac:dyDescent="0.3">
      <c r="A943" t="s">
        <v>537</v>
      </c>
      <c r="B943" t="s">
        <v>22</v>
      </c>
      <c r="C943" s="18">
        <v>44844</v>
      </c>
      <c r="D943">
        <v>62</v>
      </c>
    </row>
    <row r="944" spans="1:4" x14ac:dyDescent="0.3">
      <c r="A944" t="s">
        <v>537</v>
      </c>
      <c r="B944" t="s">
        <v>32</v>
      </c>
      <c r="C944" s="18">
        <v>44788</v>
      </c>
      <c r="D944">
        <v>14</v>
      </c>
    </row>
    <row r="945" spans="1:4" x14ac:dyDescent="0.3">
      <c r="A945" t="s">
        <v>538</v>
      </c>
      <c r="B945" t="s">
        <v>23</v>
      </c>
      <c r="C945" s="18">
        <v>44739</v>
      </c>
      <c r="D945">
        <v>65</v>
      </c>
    </row>
    <row r="946" spans="1:4" x14ac:dyDescent="0.3">
      <c r="A946" t="s">
        <v>538</v>
      </c>
      <c r="B946" t="s">
        <v>27</v>
      </c>
      <c r="C946" s="18">
        <v>44863</v>
      </c>
      <c r="D946">
        <v>25</v>
      </c>
    </row>
    <row r="947" spans="1:4" x14ac:dyDescent="0.3">
      <c r="A947" t="s">
        <v>539</v>
      </c>
      <c r="B947" t="s">
        <v>28</v>
      </c>
      <c r="C947" s="18">
        <v>44877</v>
      </c>
      <c r="D947">
        <v>66</v>
      </c>
    </row>
    <row r="948" spans="1:4" x14ac:dyDescent="0.3">
      <c r="A948" t="s">
        <v>539</v>
      </c>
      <c r="B948" t="s">
        <v>29</v>
      </c>
      <c r="C948" s="18">
        <v>44751</v>
      </c>
      <c r="D948">
        <v>28</v>
      </c>
    </row>
    <row r="949" spans="1:4" x14ac:dyDescent="0.3">
      <c r="A949" t="s">
        <v>540</v>
      </c>
      <c r="B949" t="s">
        <v>28</v>
      </c>
      <c r="C949" s="18">
        <v>44845</v>
      </c>
      <c r="D949">
        <v>66</v>
      </c>
    </row>
    <row r="950" spans="1:4" x14ac:dyDescent="0.3">
      <c r="A950" t="s">
        <v>540</v>
      </c>
      <c r="B950" t="s">
        <v>27</v>
      </c>
      <c r="C950" s="18">
        <v>45003</v>
      </c>
      <c r="D950">
        <v>25</v>
      </c>
    </row>
    <row r="951" spans="1:4" x14ac:dyDescent="0.3">
      <c r="A951" t="s">
        <v>540</v>
      </c>
      <c r="B951" t="s">
        <v>24</v>
      </c>
      <c r="C951" s="18">
        <v>44599</v>
      </c>
      <c r="D951">
        <v>13</v>
      </c>
    </row>
    <row r="952" spans="1:4" x14ac:dyDescent="0.3">
      <c r="A952" t="s">
        <v>541</v>
      </c>
      <c r="B952" t="s">
        <v>33</v>
      </c>
      <c r="C952" s="18">
        <v>44863</v>
      </c>
      <c r="D952">
        <v>27</v>
      </c>
    </row>
    <row r="953" spans="1:4" x14ac:dyDescent="0.3">
      <c r="A953" t="s">
        <v>541</v>
      </c>
      <c r="B953" t="s">
        <v>34</v>
      </c>
      <c r="C953" s="18">
        <v>44691</v>
      </c>
      <c r="D953">
        <v>22</v>
      </c>
    </row>
    <row r="954" spans="1:4" x14ac:dyDescent="0.3">
      <c r="A954" t="s">
        <v>542</v>
      </c>
      <c r="B954" t="s">
        <v>26</v>
      </c>
      <c r="C954" s="18">
        <v>44906</v>
      </c>
      <c r="D954">
        <v>29</v>
      </c>
    </row>
    <row r="955" spans="1:4" x14ac:dyDescent="0.3">
      <c r="A955" t="s">
        <v>542</v>
      </c>
      <c r="B955" t="s">
        <v>35</v>
      </c>
      <c r="C955" s="18">
        <v>44767</v>
      </c>
      <c r="D955">
        <v>26</v>
      </c>
    </row>
    <row r="956" spans="1:4" x14ac:dyDescent="0.3">
      <c r="A956" t="s">
        <v>543</v>
      </c>
      <c r="B956" t="s">
        <v>23</v>
      </c>
      <c r="C956" s="18">
        <v>44683</v>
      </c>
      <c r="D956">
        <v>65</v>
      </c>
    </row>
    <row r="957" spans="1:4" x14ac:dyDescent="0.3">
      <c r="A957" t="s">
        <v>543</v>
      </c>
      <c r="B957" t="s">
        <v>34</v>
      </c>
      <c r="C957" s="18">
        <v>44676</v>
      </c>
      <c r="D957">
        <v>22</v>
      </c>
    </row>
    <row r="958" spans="1:4" x14ac:dyDescent="0.3">
      <c r="A958" t="s">
        <v>544</v>
      </c>
      <c r="B958" t="s">
        <v>29</v>
      </c>
      <c r="C958" s="18">
        <v>44919</v>
      </c>
      <c r="D958">
        <v>28</v>
      </c>
    </row>
    <row r="959" spans="1:4" x14ac:dyDescent="0.3">
      <c r="A959" t="s">
        <v>544</v>
      </c>
      <c r="B959" t="s">
        <v>35</v>
      </c>
      <c r="C959" s="18">
        <v>44795</v>
      </c>
      <c r="D959">
        <v>26</v>
      </c>
    </row>
    <row r="960" spans="1:4" x14ac:dyDescent="0.3">
      <c r="A960" t="s">
        <v>545</v>
      </c>
      <c r="B960" t="s">
        <v>23</v>
      </c>
      <c r="C960" s="18">
        <v>44944</v>
      </c>
      <c r="D960">
        <v>65</v>
      </c>
    </row>
    <row r="961" spans="1:4" x14ac:dyDescent="0.3">
      <c r="A961" t="s">
        <v>545</v>
      </c>
      <c r="B961" t="s">
        <v>22</v>
      </c>
      <c r="C961" s="18">
        <v>44964</v>
      </c>
      <c r="D961">
        <v>62</v>
      </c>
    </row>
    <row r="962" spans="1:4" x14ac:dyDescent="0.3">
      <c r="A962" t="s">
        <v>545</v>
      </c>
      <c r="B962" t="s">
        <v>35</v>
      </c>
      <c r="C962" s="18">
        <v>44998</v>
      </c>
      <c r="D962">
        <v>26</v>
      </c>
    </row>
    <row r="963" spans="1:4" x14ac:dyDescent="0.3">
      <c r="A963" t="s">
        <v>546</v>
      </c>
      <c r="B963" t="s">
        <v>35</v>
      </c>
      <c r="C963" s="18">
        <v>44691</v>
      </c>
      <c r="D963">
        <v>26</v>
      </c>
    </row>
    <row r="964" spans="1:4" x14ac:dyDescent="0.3">
      <c r="A964" t="s">
        <v>546</v>
      </c>
      <c r="B964" t="s">
        <v>34</v>
      </c>
      <c r="C964" s="18">
        <v>44789</v>
      </c>
      <c r="D964">
        <v>22</v>
      </c>
    </row>
    <row r="965" spans="1:4" x14ac:dyDescent="0.3">
      <c r="A965" t="s">
        <v>547</v>
      </c>
      <c r="B965" t="s">
        <v>26</v>
      </c>
      <c r="C965" s="18">
        <v>44886</v>
      </c>
      <c r="D965">
        <v>29</v>
      </c>
    </row>
    <row r="966" spans="1:4" x14ac:dyDescent="0.3">
      <c r="A966" t="s">
        <v>547</v>
      </c>
      <c r="B966" t="s">
        <v>20</v>
      </c>
      <c r="C966" s="18">
        <v>44977</v>
      </c>
      <c r="D966">
        <v>10</v>
      </c>
    </row>
    <row r="967" spans="1:4" x14ac:dyDescent="0.3">
      <c r="A967" t="s">
        <v>548</v>
      </c>
      <c r="B967" t="s">
        <v>35</v>
      </c>
      <c r="C967" s="18">
        <v>44988</v>
      </c>
      <c r="D967">
        <v>26</v>
      </c>
    </row>
    <row r="968" spans="1:4" x14ac:dyDescent="0.3">
      <c r="A968" t="s">
        <v>548</v>
      </c>
      <c r="B968" t="s">
        <v>19</v>
      </c>
      <c r="C968" s="18">
        <v>44943</v>
      </c>
      <c r="D968">
        <v>25</v>
      </c>
    </row>
    <row r="969" spans="1:4" x14ac:dyDescent="0.3">
      <c r="A969" t="s">
        <v>549</v>
      </c>
      <c r="B969" t="s">
        <v>30</v>
      </c>
      <c r="C969" s="18">
        <v>44742</v>
      </c>
      <c r="D969">
        <v>75</v>
      </c>
    </row>
    <row r="970" spans="1:4" x14ac:dyDescent="0.3">
      <c r="A970" t="s">
        <v>549</v>
      </c>
      <c r="B970" t="s">
        <v>23</v>
      </c>
      <c r="C970" s="18">
        <v>44583</v>
      </c>
      <c r="D970">
        <v>65</v>
      </c>
    </row>
    <row r="971" spans="1:4" x14ac:dyDescent="0.3">
      <c r="A971" t="s">
        <v>549</v>
      </c>
      <c r="B971" t="s">
        <v>24</v>
      </c>
      <c r="C971" s="18">
        <v>44900</v>
      </c>
      <c r="D971">
        <v>13</v>
      </c>
    </row>
    <row r="972" spans="1:4" x14ac:dyDescent="0.3">
      <c r="A972" t="s">
        <v>550</v>
      </c>
      <c r="B972" t="s">
        <v>31</v>
      </c>
      <c r="C972" s="18">
        <v>44637</v>
      </c>
      <c r="D972">
        <v>62</v>
      </c>
    </row>
    <row r="973" spans="1:4" x14ac:dyDescent="0.3">
      <c r="A973" t="s">
        <v>550</v>
      </c>
      <c r="B973" t="s">
        <v>26</v>
      </c>
      <c r="C973" s="18">
        <v>44800</v>
      </c>
      <c r="D973">
        <v>29</v>
      </c>
    </row>
    <row r="974" spans="1:4" x14ac:dyDescent="0.3">
      <c r="A974" t="s">
        <v>551</v>
      </c>
      <c r="B974" t="s">
        <v>29</v>
      </c>
      <c r="C974" s="18">
        <v>44918</v>
      </c>
      <c r="D974">
        <v>28</v>
      </c>
    </row>
    <row r="975" spans="1:4" x14ac:dyDescent="0.3">
      <c r="A975" t="s">
        <v>551</v>
      </c>
      <c r="B975" t="s">
        <v>35</v>
      </c>
      <c r="C975" s="18">
        <v>45032</v>
      </c>
      <c r="D975">
        <v>26</v>
      </c>
    </row>
    <row r="976" spans="1:4" x14ac:dyDescent="0.3">
      <c r="A976" t="s">
        <v>552</v>
      </c>
      <c r="B976" t="s">
        <v>24</v>
      </c>
      <c r="C976" s="18">
        <v>44577</v>
      </c>
      <c r="D976">
        <v>13</v>
      </c>
    </row>
    <row r="977" spans="1:4" x14ac:dyDescent="0.3">
      <c r="A977" t="s">
        <v>553</v>
      </c>
      <c r="B977" t="s">
        <v>24</v>
      </c>
      <c r="C977" s="18">
        <v>44895</v>
      </c>
      <c r="D977">
        <v>13</v>
      </c>
    </row>
    <row r="978" spans="1:4" x14ac:dyDescent="0.3">
      <c r="A978" t="s">
        <v>553</v>
      </c>
      <c r="B978" t="s">
        <v>20</v>
      </c>
      <c r="C978" s="18">
        <v>44929</v>
      </c>
      <c r="D978">
        <v>10</v>
      </c>
    </row>
    <row r="979" spans="1:4" x14ac:dyDescent="0.3">
      <c r="A979" t="s">
        <v>554</v>
      </c>
      <c r="B979" t="s">
        <v>31</v>
      </c>
      <c r="C979" s="18">
        <v>44570</v>
      </c>
      <c r="D979">
        <v>62</v>
      </c>
    </row>
    <row r="980" spans="1:4" x14ac:dyDescent="0.3">
      <c r="A980" t="s">
        <v>554</v>
      </c>
      <c r="B980" t="s">
        <v>29</v>
      </c>
      <c r="C980" s="18">
        <v>44953</v>
      </c>
      <c r="D980">
        <v>28</v>
      </c>
    </row>
    <row r="981" spans="1:4" x14ac:dyDescent="0.3">
      <c r="A981" t="s">
        <v>554</v>
      </c>
      <c r="B981" t="s">
        <v>24</v>
      </c>
      <c r="C981" s="18">
        <v>44802</v>
      </c>
      <c r="D981">
        <v>13</v>
      </c>
    </row>
    <row r="982" spans="1:4" x14ac:dyDescent="0.3">
      <c r="A982" t="s">
        <v>555</v>
      </c>
      <c r="B982" t="s">
        <v>29</v>
      </c>
      <c r="C982" s="18">
        <v>44591</v>
      </c>
      <c r="D982">
        <v>28</v>
      </c>
    </row>
    <row r="983" spans="1:4" x14ac:dyDescent="0.3">
      <c r="A983" t="s">
        <v>555</v>
      </c>
      <c r="B983" t="s">
        <v>33</v>
      </c>
      <c r="C983" s="18">
        <v>44999</v>
      </c>
      <c r="D983">
        <v>27</v>
      </c>
    </row>
    <row r="984" spans="1:4" x14ac:dyDescent="0.3">
      <c r="A984" t="s">
        <v>555</v>
      </c>
      <c r="B984" t="s">
        <v>25</v>
      </c>
      <c r="C984" s="18">
        <v>44593</v>
      </c>
      <c r="D984">
        <v>16</v>
      </c>
    </row>
    <row r="985" spans="1:4" x14ac:dyDescent="0.3">
      <c r="A985" t="s">
        <v>556</v>
      </c>
      <c r="B985" t="s">
        <v>23</v>
      </c>
      <c r="C985" s="18">
        <v>44811</v>
      </c>
      <c r="D985">
        <v>65</v>
      </c>
    </row>
    <row r="986" spans="1:4" x14ac:dyDescent="0.3">
      <c r="A986" t="s">
        <v>556</v>
      </c>
      <c r="B986" t="s">
        <v>29</v>
      </c>
      <c r="C986" s="18">
        <v>44592</v>
      </c>
      <c r="D986">
        <v>28</v>
      </c>
    </row>
    <row r="987" spans="1:4" x14ac:dyDescent="0.3">
      <c r="A987" t="s">
        <v>557</v>
      </c>
      <c r="B987" t="s">
        <v>31</v>
      </c>
      <c r="C987" s="18">
        <v>44776</v>
      </c>
      <c r="D987">
        <v>62</v>
      </c>
    </row>
    <row r="988" spans="1:4" x14ac:dyDescent="0.3">
      <c r="A988" t="s">
        <v>557</v>
      </c>
      <c r="B988" t="s">
        <v>27</v>
      </c>
      <c r="C988" s="18">
        <v>44769</v>
      </c>
      <c r="D988">
        <v>25</v>
      </c>
    </row>
    <row r="989" spans="1:4" x14ac:dyDescent="0.3">
      <c r="A989" t="s">
        <v>557</v>
      </c>
      <c r="B989" t="s">
        <v>24</v>
      </c>
      <c r="C989" s="18">
        <v>44940</v>
      </c>
      <c r="D989">
        <v>13</v>
      </c>
    </row>
    <row r="990" spans="1:4" x14ac:dyDescent="0.3">
      <c r="A990" t="s">
        <v>558</v>
      </c>
      <c r="B990" t="s">
        <v>30</v>
      </c>
      <c r="C990" s="18">
        <v>45008</v>
      </c>
      <c r="D990">
        <v>75</v>
      </c>
    </row>
    <row r="991" spans="1:4" x14ac:dyDescent="0.3">
      <c r="A991" t="s">
        <v>558</v>
      </c>
      <c r="B991" t="s">
        <v>23</v>
      </c>
      <c r="C991" s="18">
        <v>44598</v>
      </c>
      <c r="D991">
        <v>65</v>
      </c>
    </row>
    <row r="992" spans="1:4" x14ac:dyDescent="0.3">
      <c r="A992" t="s">
        <v>559</v>
      </c>
      <c r="B992" t="s">
        <v>22</v>
      </c>
      <c r="C992" s="18">
        <v>45008</v>
      </c>
      <c r="D992">
        <v>62</v>
      </c>
    </row>
    <row r="993" spans="1:4" x14ac:dyDescent="0.3">
      <c r="A993" t="s">
        <v>559</v>
      </c>
      <c r="B993" t="s">
        <v>31</v>
      </c>
      <c r="C993" s="18">
        <v>44945</v>
      </c>
      <c r="D993">
        <v>62</v>
      </c>
    </row>
    <row r="994" spans="1:4" x14ac:dyDescent="0.3">
      <c r="A994" t="s">
        <v>559</v>
      </c>
      <c r="B994" t="s">
        <v>29</v>
      </c>
      <c r="C994" s="18">
        <v>44963</v>
      </c>
      <c r="D994">
        <v>28</v>
      </c>
    </row>
    <row r="995" spans="1:4" x14ac:dyDescent="0.3">
      <c r="A995" t="s">
        <v>560</v>
      </c>
      <c r="B995" t="s">
        <v>33</v>
      </c>
      <c r="C995" s="18">
        <v>45022</v>
      </c>
      <c r="D995">
        <v>27</v>
      </c>
    </row>
    <row r="996" spans="1:4" x14ac:dyDescent="0.3">
      <c r="A996" t="s">
        <v>560</v>
      </c>
      <c r="B996" t="s">
        <v>25</v>
      </c>
      <c r="C996" s="18">
        <v>44740</v>
      </c>
      <c r="D996">
        <v>16</v>
      </c>
    </row>
    <row r="997" spans="1:4" x14ac:dyDescent="0.3">
      <c r="A997" t="s">
        <v>561</v>
      </c>
      <c r="B997" t="s">
        <v>32</v>
      </c>
      <c r="C997" s="18">
        <v>44654</v>
      </c>
      <c r="D997">
        <v>14</v>
      </c>
    </row>
    <row r="998" spans="1:4" x14ac:dyDescent="0.3">
      <c r="A998" t="s">
        <v>562</v>
      </c>
      <c r="B998" t="s">
        <v>28</v>
      </c>
      <c r="C998" s="18">
        <v>44789</v>
      </c>
      <c r="D998">
        <v>66</v>
      </c>
    </row>
    <row r="999" spans="1:4" x14ac:dyDescent="0.3">
      <c r="A999" t="s">
        <v>562</v>
      </c>
      <c r="B999" t="s">
        <v>22</v>
      </c>
      <c r="C999" s="18">
        <v>44929</v>
      </c>
      <c r="D999">
        <v>62</v>
      </c>
    </row>
    <row r="1000" spans="1:4" x14ac:dyDescent="0.3">
      <c r="A1000" t="s">
        <v>563</v>
      </c>
      <c r="B1000" t="s">
        <v>35</v>
      </c>
      <c r="C1000" s="18">
        <v>44731</v>
      </c>
      <c r="D1000">
        <v>26</v>
      </c>
    </row>
    <row r="1001" spans="1:4" x14ac:dyDescent="0.3">
      <c r="A1001" t="s">
        <v>563</v>
      </c>
      <c r="B1001" t="s">
        <v>32</v>
      </c>
      <c r="C1001" s="18">
        <v>44781</v>
      </c>
      <c r="D1001">
        <v>14</v>
      </c>
    </row>
    <row r="1002" spans="1:4" x14ac:dyDescent="0.3">
      <c r="A1002" t="s">
        <v>564</v>
      </c>
      <c r="B1002" t="s">
        <v>23</v>
      </c>
      <c r="C1002" s="18">
        <v>44700</v>
      </c>
      <c r="D1002">
        <v>65</v>
      </c>
    </row>
    <row r="1003" spans="1:4" x14ac:dyDescent="0.3">
      <c r="A1003" t="s">
        <v>564</v>
      </c>
      <c r="B1003" t="s">
        <v>19</v>
      </c>
      <c r="C1003" s="18">
        <v>44949</v>
      </c>
      <c r="D1003">
        <v>25</v>
      </c>
    </row>
    <row r="1004" spans="1:4" x14ac:dyDescent="0.3">
      <c r="A1004" t="s">
        <v>565</v>
      </c>
      <c r="B1004" t="s">
        <v>31</v>
      </c>
      <c r="C1004" s="18">
        <v>44951</v>
      </c>
      <c r="D1004">
        <v>62</v>
      </c>
    </row>
    <row r="1005" spans="1:4" x14ac:dyDescent="0.3">
      <c r="A1005" t="s">
        <v>565</v>
      </c>
      <c r="B1005" t="s">
        <v>22</v>
      </c>
      <c r="C1005" s="18">
        <v>44921</v>
      </c>
      <c r="D1005">
        <v>62</v>
      </c>
    </row>
    <row r="1006" spans="1:4" x14ac:dyDescent="0.3">
      <c r="A1006" t="s">
        <v>566</v>
      </c>
      <c r="B1006" t="s">
        <v>22</v>
      </c>
      <c r="C1006" s="18">
        <v>44736</v>
      </c>
      <c r="D1006">
        <v>62</v>
      </c>
    </row>
    <row r="1007" spans="1:4" x14ac:dyDescent="0.3">
      <c r="A1007" t="s">
        <v>566</v>
      </c>
      <c r="B1007" t="s">
        <v>24</v>
      </c>
      <c r="C1007" s="18">
        <v>44715</v>
      </c>
      <c r="D1007">
        <v>13</v>
      </c>
    </row>
    <row r="1008" spans="1:4" x14ac:dyDescent="0.3">
      <c r="A1008" t="s">
        <v>567</v>
      </c>
      <c r="B1008" t="s">
        <v>23</v>
      </c>
      <c r="C1008" s="18">
        <v>44594</v>
      </c>
      <c r="D1008">
        <v>65</v>
      </c>
    </row>
    <row r="1009" spans="1:4" x14ac:dyDescent="0.3">
      <c r="A1009" t="s">
        <v>567</v>
      </c>
      <c r="B1009" t="s">
        <v>34</v>
      </c>
      <c r="C1009" s="18">
        <v>44887</v>
      </c>
      <c r="D1009">
        <v>22</v>
      </c>
    </row>
    <row r="1010" spans="1:4" x14ac:dyDescent="0.3">
      <c r="A1010" t="s">
        <v>568</v>
      </c>
      <c r="B1010" t="s">
        <v>29</v>
      </c>
      <c r="C1010" s="18">
        <v>44725</v>
      </c>
      <c r="D1010">
        <v>28</v>
      </c>
    </row>
    <row r="1011" spans="1:4" x14ac:dyDescent="0.3">
      <c r="A1011" t="s">
        <v>568</v>
      </c>
      <c r="B1011" t="s">
        <v>24</v>
      </c>
      <c r="C1011" s="18">
        <v>44705</v>
      </c>
      <c r="D1011">
        <v>13</v>
      </c>
    </row>
    <row r="1012" spans="1:4" x14ac:dyDescent="0.3">
      <c r="A1012" t="s">
        <v>569</v>
      </c>
      <c r="B1012" t="s">
        <v>26</v>
      </c>
      <c r="C1012" s="18">
        <v>44893</v>
      </c>
      <c r="D1012">
        <v>29</v>
      </c>
    </row>
    <row r="1013" spans="1:4" x14ac:dyDescent="0.3">
      <c r="A1013" t="s">
        <v>569</v>
      </c>
      <c r="B1013" t="s">
        <v>29</v>
      </c>
      <c r="C1013" s="18">
        <v>44769</v>
      </c>
      <c r="D1013">
        <v>28</v>
      </c>
    </row>
    <row r="1014" spans="1:4" x14ac:dyDescent="0.3">
      <c r="A1014" t="s">
        <v>570</v>
      </c>
      <c r="B1014" t="s">
        <v>22</v>
      </c>
      <c r="C1014" s="18">
        <v>44930</v>
      </c>
      <c r="D1014">
        <v>62</v>
      </c>
    </row>
    <row r="1015" spans="1:4" x14ac:dyDescent="0.3">
      <c r="A1015" t="s">
        <v>571</v>
      </c>
      <c r="B1015" t="s">
        <v>35</v>
      </c>
      <c r="C1015" s="18">
        <v>44841</v>
      </c>
      <c r="D1015">
        <v>26</v>
      </c>
    </row>
    <row r="1016" spans="1:4" x14ac:dyDescent="0.3">
      <c r="A1016" t="s">
        <v>571</v>
      </c>
      <c r="B1016" t="s">
        <v>21</v>
      </c>
      <c r="C1016" s="18">
        <v>44916</v>
      </c>
      <c r="D1016">
        <v>26</v>
      </c>
    </row>
    <row r="1017" spans="1:4" x14ac:dyDescent="0.3">
      <c r="A1017" t="s">
        <v>572</v>
      </c>
      <c r="B1017" t="s">
        <v>33</v>
      </c>
      <c r="C1017" s="18">
        <v>44880</v>
      </c>
      <c r="D1017">
        <v>27</v>
      </c>
    </row>
    <row r="1018" spans="1:4" x14ac:dyDescent="0.3">
      <c r="A1018" t="s">
        <v>572</v>
      </c>
      <c r="B1018" t="s">
        <v>34</v>
      </c>
      <c r="C1018" s="18">
        <v>44593</v>
      </c>
      <c r="D1018">
        <v>22</v>
      </c>
    </row>
    <row r="1019" spans="1:4" x14ac:dyDescent="0.3">
      <c r="A1019" t="s">
        <v>573</v>
      </c>
      <c r="B1019" t="s">
        <v>29</v>
      </c>
      <c r="C1019" s="18">
        <v>44786</v>
      </c>
      <c r="D1019">
        <v>28</v>
      </c>
    </row>
    <row r="1020" spans="1:4" x14ac:dyDescent="0.3">
      <c r="A1020" t="s">
        <v>573</v>
      </c>
      <c r="B1020" t="s">
        <v>19</v>
      </c>
      <c r="C1020" s="18">
        <v>44807</v>
      </c>
      <c r="D1020">
        <v>25</v>
      </c>
    </row>
    <row r="1021" spans="1:4" x14ac:dyDescent="0.3">
      <c r="A1021" t="s">
        <v>574</v>
      </c>
      <c r="B1021" t="s">
        <v>30</v>
      </c>
      <c r="C1021" s="18">
        <v>44779</v>
      </c>
      <c r="D1021">
        <v>75</v>
      </c>
    </row>
    <row r="1022" spans="1:4" x14ac:dyDescent="0.3">
      <c r="A1022" t="s">
        <v>575</v>
      </c>
      <c r="B1022" t="s">
        <v>21</v>
      </c>
      <c r="C1022" s="18">
        <v>44838</v>
      </c>
      <c r="D1022">
        <v>26</v>
      </c>
    </row>
    <row r="1023" spans="1:4" x14ac:dyDescent="0.3">
      <c r="A1023" t="s">
        <v>575</v>
      </c>
      <c r="B1023" t="s">
        <v>27</v>
      </c>
      <c r="C1023" s="18">
        <v>44917</v>
      </c>
      <c r="D1023">
        <v>25</v>
      </c>
    </row>
    <row r="1024" spans="1:4" x14ac:dyDescent="0.3">
      <c r="A1024" t="s">
        <v>575</v>
      </c>
      <c r="B1024" t="s">
        <v>32</v>
      </c>
      <c r="C1024" s="18">
        <v>44774</v>
      </c>
      <c r="D1024">
        <v>14</v>
      </c>
    </row>
    <row r="1025" spans="1:4" x14ac:dyDescent="0.3">
      <c r="A1025" t="s">
        <v>576</v>
      </c>
      <c r="B1025" t="s">
        <v>32</v>
      </c>
      <c r="C1025" s="18">
        <v>44641</v>
      </c>
      <c r="D1025">
        <v>14</v>
      </c>
    </row>
    <row r="1026" spans="1:4" x14ac:dyDescent="0.3">
      <c r="A1026" t="s">
        <v>577</v>
      </c>
      <c r="B1026" t="s">
        <v>28</v>
      </c>
      <c r="C1026" s="18">
        <v>44811</v>
      </c>
      <c r="D1026">
        <v>66</v>
      </c>
    </row>
    <row r="1027" spans="1:4" x14ac:dyDescent="0.3">
      <c r="A1027" t="s">
        <v>577</v>
      </c>
      <c r="B1027" t="s">
        <v>27</v>
      </c>
      <c r="C1027" s="18">
        <v>44789</v>
      </c>
      <c r="D1027">
        <v>25</v>
      </c>
    </row>
    <row r="1028" spans="1:4" x14ac:dyDescent="0.3">
      <c r="A1028" t="s">
        <v>577</v>
      </c>
      <c r="B1028" t="s">
        <v>20</v>
      </c>
      <c r="C1028" s="18">
        <v>44929</v>
      </c>
      <c r="D1028">
        <v>10</v>
      </c>
    </row>
    <row r="1029" spans="1:4" x14ac:dyDescent="0.3">
      <c r="A1029" t="s">
        <v>578</v>
      </c>
      <c r="B1029" t="s">
        <v>21</v>
      </c>
      <c r="C1029" s="18">
        <v>44751</v>
      </c>
      <c r="D1029">
        <v>26</v>
      </c>
    </row>
    <row r="1030" spans="1:4" x14ac:dyDescent="0.3">
      <c r="A1030" t="s">
        <v>578</v>
      </c>
      <c r="B1030" t="s">
        <v>25</v>
      </c>
      <c r="C1030" s="18">
        <v>44758</v>
      </c>
      <c r="D1030">
        <v>16</v>
      </c>
    </row>
    <row r="1031" spans="1:4" x14ac:dyDescent="0.3">
      <c r="A1031" t="s">
        <v>579</v>
      </c>
      <c r="B1031" t="s">
        <v>22</v>
      </c>
      <c r="C1031" s="18">
        <v>44649</v>
      </c>
      <c r="D1031">
        <v>62</v>
      </c>
    </row>
    <row r="1032" spans="1:4" x14ac:dyDescent="0.3">
      <c r="A1032" t="s">
        <v>579</v>
      </c>
      <c r="B1032" t="s">
        <v>34</v>
      </c>
      <c r="C1032" s="18">
        <v>44948</v>
      </c>
      <c r="D1032">
        <v>22</v>
      </c>
    </row>
    <row r="1033" spans="1:4" x14ac:dyDescent="0.3">
      <c r="A1033" t="s">
        <v>580</v>
      </c>
      <c r="B1033" t="s">
        <v>21</v>
      </c>
      <c r="C1033" s="18">
        <v>44615</v>
      </c>
      <c r="D1033">
        <v>26</v>
      </c>
    </row>
    <row r="1034" spans="1:4" x14ac:dyDescent="0.3">
      <c r="A1034" t="s">
        <v>580</v>
      </c>
      <c r="B1034" t="s">
        <v>24</v>
      </c>
      <c r="C1034" s="18">
        <v>45036</v>
      </c>
      <c r="D1034">
        <v>13</v>
      </c>
    </row>
    <row r="1035" spans="1:4" x14ac:dyDescent="0.3">
      <c r="A1035" t="s">
        <v>581</v>
      </c>
      <c r="B1035" t="s">
        <v>32</v>
      </c>
      <c r="C1035" s="18">
        <v>45022</v>
      </c>
      <c r="D1035">
        <v>14</v>
      </c>
    </row>
    <row r="1036" spans="1:4" x14ac:dyDescent="0.3">
      <c r="A1036" t="s">
        <v>581</v>
      </c>
      <c r="B1036" t="s">
        <v>20</v>
      </c>
      <c r="C1036" s="18">
        <v>44876</v>
      </c>
      <c r="D1036">
        <v>10</v>
      </c>
    </row>
    <row r="1037" spans="1:4" x14ac:dyDescent="0.3">
      <c r="A1037" t="s">
        <v>582</v>
      </c>
      <c r="B1037" t="s">
        <v>28</v>
      </c>
      <c r="C1037" s="18">
        <v>44848</v>
      </c>
      <c r="D1037">
        <v>66</v>
      </c>
    </row>
    <row r="1038" spans="1:4" x14ac:dyDescent="0.3">
      <c r="A1038" t="s">
        <v>583</v>
      </c>
      <c r="B1038" t="s">
        <v>31</v>
      </c>
      <c r="C1038" s="18">
        <v>44636</v>
      </c>
      <c r="D1038">
        <v>62</v>
      </c>
    </row>
    <row r="1039" spans="1:4" x14ac:dyDescent="0.3">
      <c r="A1039" t="s">
        <v>583</v>
      </c>
      <c r="B1039" t="s">
        <v>26</v>
      </c>
      <c r="C1039" s="18">
        <v>45013</v>
      </c>
      <c r="D1039">
        <v>29</v>
      </c>
    </row>
    <row r="1040" spans="1:4" x14ac:dyDescent="0.3">
      <c r="A1040" t="s">
        <v>584</v>
      </c>
      <c r="B1040" t="s">
        <v>31</v>
      </c>
      <c r="C1040" s="18">
        <v>44715</v>
      </c>
      <c r="D1040">
        <v>62</v>
      </c>
    </row>
    <row r="1041" spans="1:4" x14ac:dyDescent="0.3">
      <c r="A1041" t="s">
        <v>584</v>
      </c>
      <c r="B1041" t="s">
        <v>20</v>
      </c>
      <c r="C1041" s="18">
        <v>44968</v>
      </c>
      <c r="D1041">
        <v>10</v>
      </c>
    </row>
    <row r="1042" spans="1:4" x14ac:dyDescent="0.3">
      <c r="A1042" t="s">
        <v>585</v>
      </c>
      <c r="B1042" t="s">
        <v>22</v>
      </c>
      <c r="C1042" s="18">
        <v>44721</v>
      </c>
      <c r="D1042">
        <v>62</v>
      </c>
    </row>
    <row r="1043" spans="1:4" x14ac:dyDescent="0.3">
      <c r="A1043" t="s">
        <v>585</v>
      </c>
      <c r="B1043" t="s">
        <v>33</v>
      </c>
      <c r="C1043" s="18">
        <v>44953</v>
      </c>
      <c r="D1043">
        <v>27</v>
      </c>
    </row>
    <row r="1044" spans="1:4" x14ac:dyDescent="0.3">
      <c r="A1044" t="s">
        <v>586</v>
      </c>
      <c r="B1044" t="s">
        <v>25</v>
      </c>
      <c r="C1044" s="18">
        <v>44753</v>
      </c>
      <c r="D1044">
        <v>16</v>
      </c>
    </row>
    <row r="1045" spans="1:4" x14ac:dyDescent="0.3">
      <c r="A1045" t="s">
        <v>586</v>
      </c>
      <c r="B1045" t="s">
        <v>32</v>
      </c>
      <c r="C1045" s="18">
        <v>44812</v>
      </c>
      <c r="D1045">
        <v>14</v>
      </c>
    </row>
    <row r="1046" spans="1:4" x14ac:dyDescent="0.3">
      <c r="A1046" t="s">
        <v>587</v>
      </c>
      <c r="B1046" t="s">
        <v>30</v>
      </c>
      <c r="C1046" s="18">
        <v>44603</v>
      </c>
      <c r="D1046">
        <v>75</v>
      </c>
    </row>
    <row r="1047" spans="1:4" x14ac:dyDescent="0.3">
      <c r="A1047" t="s">
        <v>587</v>
      </c>
      <c r="B1047" t="s">
        <v>27</v>
      </c>
      <c r="C1047" s="18">
        <v>44992</v>
      </c>
      <c r="D1047">
        <v>25</v>
      </c>
    </row>
    <row r="1048" spans="1:4" x14ac:dyDescent="0.3">
      <c r="A1048" t="s">
        <v>588</v>
      </c>
      <c r="B1048" t="s">
        <v>30</v>
      </c>
      <c r="C1048" s="18">
        <v>45035</v>
      </c>
      <c r="D1048">
        <v>75</v>
      </c>
    </row>
    <row r="1049" spans="1:4" x14ac:dyDescent="0.3">
      <c r="A1049" t="s">
        <v>588</v>
      </c>
      <c r="B1049" t="s">
        <v>29</v>
      </c>
      <c r="C1049" s="18">
        <v>44755</v>
      </c>
      <c r="D1049">
        <v>28</v>
      </c>
    </row>
    <row r="1050" spans="1:4" x14ac:dyDescent="0.3">
      <c r="A1050" t="s">
        <v>588</v>
      </c>
      <c r="B1050" t="s">
        <v>21</v>
      </c>
      <c r="C1050" s="18">
        <v>44693</v>
      </c>
      <c r="D1050">
        <v>26</v>
      </c>
    </row>
    <row r="1051" spans="1:4" x14ac:dyDescent="0.3">
      <c r="A1051" t="s">
        <v>589</v>
      </c>
      <c r="B1051" t="s">
        <v>23</v>
      </c>
      <c r="C1051" s="18">
        <v>44926</v>
      </c>
      <c r="D1051">
        <v>65</v>
      </c>
    </row>
    <row r="1052" spans="1:4" x14ac:dyDescent="0.3">
      <c r="A1052" t="s">
        <v>589</v>
      </c>
      <c r="B1052" t="s">
        <v>34</v>
      </c>
      <c r="C1052" s="18">
        <v>44807</v>
      </c>
      <c r="D1052">
        <v>22</v>
      </c>
    </row>
    <row r="1053" spans="1:4" x14ac:dyDescent="0.3">
      <c r="A1053" t="s">
        <v>590</v>
      </c>
      <c r="B1053" t="s">
        <v>31</v>
      </c>
      <c r="C1053" s="18">
        <v>44660</v>
      </c>
      <c r="D1053">
        <v>62</v>
      </c>
    </row>
    <row r="1054" spans="1:4" x14ac:dyDescent="0.3">
      <c r="A1054" t="s">
        <v>590</v>
      </c>
      <c r="B1054" t="s">
        <v>33</v>
      </c>
      <c r="C1054" s="18">
        <v>45009</v>
      </c>
      <c r="D1054">
        <v>27</v>
      </c>
    </row>
    <row r="1055" spans="1:4" x14ac:dyDescent="0.3">
      <c r="A1055" t="s">
        <v>590</v>
      </c>
      <c r="B1055" t="s">
        <v>25</v>
      </c>
      <c r="C1055" s="18">
        <v>44703</v>
      </c>
      <c r="D1055">
        <v>16</v>
      </c>
    </row>
    <row r="1056" spans="1:4" x14ac:dyDescent="0.3">
      <c r="A1056" t="s">
        <v>591</v>
      </c>
      <c r="B1056" t="s">
        <v>30</v>
      </c>
      <c r="C1056" s="18">
        <v>44872</v>
      </c>
      <c r="D1056">
        <v>75</v>
      </c>
    </row>
    <row r="1057" spans="1:4" x14ac:dyDescent="0.3">
      <c r="A1057" t="s">
        <v>591</v>
      </c>
      <c r="B1057" t="s">
        <v>31</v>
      </c>
      <c r="C1057" s="18">
        <v>44570</v>
      </c>
      <c r="D1057">
        <v>62</v>
      </c>
    </row>
    <row r="1058" spans="1:4" x14ac:dyDescent="0.3">
      <c r="A1058" t="s">
        <v>591</v>
      </c>
      <c r="B1058" t="s">
        <v>35</v>
      </c>
      <c r="C1058" s="18">
        <v>44761</v>
      </c>
      <c r="D1058">
        <v>26</v>
      </c>
    </row>
    <row r="1059" spans="1:4" x14ac:dyDescent="0.3">
      <c r="A1059" t="s">
        <v>592</v>
      </c>
      <c r="B1059" t="s">
        <v>23</v>
      </c>
      <c r="C1059" s="18">
        <v>44688</v>
      </c>
      <c r="D1059">
        <v>65</v>
      </c>
    </row>
    <row r="1060" spans="1:4" x14ac:dyDescent="0.3">
      <c r="A1060" t="s">
        <v>592</v>
      </c>
      <c r="B1060" t="s">
        <v>32</v>
      </c>
      <c r="C1060" s="18">
        <v>44605</v>
      </c>
      <c r="D1060">
        <v>14</v>
      </c>
    </row>
    <row r="1061" spans="1:4" x14ac:dyDescent="0.3">
      <c r="A1061" t="s">
        <v>593</v>
      </c>
      <c r="B1061" t="s">
        <v>28</v>
      </c>
      <c r="C1061" s="18">
        <v>44611</v>
      </c>
      <c r="D1061">
        <v>66</v>
      </c>
    </row>
    <row r="1062" spans="1:4" x14ac:dyDescent="0.3">
      <c r="A1062" t="s">
        <v>593</v>
      </c>
      <c r="B1062" t="s">
        <v>32</v>
      </c>
      <c r="C1062" s="18">
        <v>44848</v>
      </c>
      <c r="D1062">
        <v>14</v>
      </c>
    </row>
    <row r="1063" spans="1:4" x14ac:dyDescent="0.3">
      <c r="A1063" t="s">
        <v>594</v>
      </c>
      <c r="B1063" t="s">
        <v>33</v>
      </c>
      <c r="C1063" s="18">
        <v>44997</v>
      </c>
      <c r="D1063">
        <v>27</v>
      </c>
    </row>
    <row r="1064" spans="1:4" x14ac:dyDescent="0.3">
      <c r="A1064" t="s">
        <v>594</v>
      </c>
      <c r="B1064" t="s">
        <v>19</v>
      </c>
      <c r="C1064" s="18">
        <v>44624</v>
      </c>
      <c r="D1064">
        <v>25</v>
      </c>
    </row>
    <row r="1065" spans="1:4" x14ac:dyDescent="0.3">
      <c r="A1065" t="s">
        <v>594</v>
      </c>
      <c r="B1065" t="s">
        <v>20</v>
      </c>
      <c r="C1065" s="18">
        <v>44866</v>
      </c>
      <c r="D1065">
        <v>10</v>
      </c>
    </row>
    <row r="1066" spans="1:4" x14ac:dyDescent="0.3">
      <c r="A1066" t="s">
        <v>595</v>
      </c>
      <c r="B1066" t="s">
        <v>31</v>
      </c>
      <c r="C1066" s="18">
        <v>44828</v>
      </c>
      <c r="D1066">
        <v>62</v>
      </c>
    </row>
    <row r="1067" spans="1:4" x14ac:dyDescent="0.3">
      <c r="A1067" t="s">
        <v>596</v>
      </c>
      <c r="B1067" t="s">
        <v>35</v>
      </c>
      <c r="C1067" s="18">
        <v>44661</v>
      </c>
      <c r="D1067">
        <v>26</v>
      </c>
    </row>
    <row r="1068" spans="1:4" x14ac:dyDescent="0.3">
      <c r="A1068" t="s">
        <v>596</v>
      </c>
      <c r="B1068" t="s">
        <v>21</v>
      </c>
      <c r="C1068" s="18">
        <v>44866</v>
      </c>
      <c r="D1068">
        <v>26</v>
      </c>
    </row>
    <row r="1069" spans="1:4" x14ac:dyDescent="0.3">
      <c r="A1069" t="s">
        <v>597</v>
      </c>
      <c r="B1069" t="s">
        <v>30</v>
      </c>
      <c r="C1069" s="18">
        <v>44565</v>
      </c>
      <c r="D1069">
        <v>75</v>
      </c>
    </row>
    <row r="1070" spans="1:4" x14ac:dyDescent="0.3">
      <c r="A1070" t="s">
        <v>597</v>
      </c>
      <c r="B1070" t="s">
        <v>20</v>
      </c>
      <c r="C1070" s="18">
        <v>44746</v>
      </c>
      <c r="D1070">
        <v>10</v>
      </c>
    </row>
    <row r="1071" spans="1:4" x14ac:dyDescent="0.3">
      <c r="A1071" t="s">
        <v>598</v>
      </c>
      <c r="B1071" t="s">
        <v>28</v>
      </c>
      <c r="C1071" s="18">
        <v>44621</v>
      </c>
      <c r="D1071">
        <v>66</v>
      </c>
    </row>
    <row r="1072" spans="1:4" x14ac:dyDescent="0.3">
      <c r="A1072" t="s">
        <v>598</v>
      </c>
      <c r="B1072" t="s">
        <v>29</v>
      </c>
      <c r="C1072" s="18">
        <v>44602</v>
      </c>
      <c r="D1072">
        <v>28</v>
      </c>
    </row>
    <row r="1073" spans="1:4" x14ac:dyDescent="0.3">
      <c r="A1073" t="s">
        <v>599</v>
      </c>
      <c r="B1073" t="s">
        <v>24</v>
      </c>
      <c r="C1073" s="18">
        <v>44701</v>
      </c>
      <c r="D1073">
        <v>13</v>
      </c>
    </row>
    <row r="1074" spans="1:4" x14ac:dyDescent="0.3">
      <c r="A1074" t="s">
        <v>599</v>
      </c>
      <c r="B1074" t="s">
        <v>20</v>
      </c>
      <c r="C1074" s="18">
        <v>44970</v>
      </c>
      <c r="D1074">
        <v>10</v>
      </c>
    </row>
    <row r="1075" spans="1:4" x14ac:dyDescent="0.3">
      <c r="A1075" t="s">
        <v>600</v>
      </c>
      <c r="B1075" t="s">
        <v>23</v>
      </c>
      <c r="C1075" s="18">
        <v>44975</v>
      </c>
      <c r="D1075">
        <v>65</v>
      </c>
    </row>
    <row r="1076" spans="1:4" x14ac:dyDescent="0.3">
      <c r="A1076" t="s">
        <v>600</v>
      </c>
      <c r="B1076" t="s">
        <v>24</v>
      </c>
      <c r="C1076" s="18">
        <v>44865</v>
      </c>
      <c r="D1076">
        <v>13</v>
      </c>
    </row>
    <row r="1077" spans="1:4" x14ac:dyDescent="0.3">
      <c r="A1077" t="s">
        <v>601</v>
      </c>
      <c r="B1077" t="s">
        <v>30</v>
      </c>
      <c r="C1077" s="18">
        <v>44935</v>
      </c>
      <c r="D1077">
        <v>75</v>
      </c>
    </row>
    <row r="1078" spans="1:4" x14ac:dyDescent="0.3">
      <c r="A1078" t="s">
        <v>601</v>
      </c>
      <c r="B1078" t="s">
        <v>25</v>
      </c>
      <c r="C1078" s="18">
        <v>45024</v>
      </c>
      <c r="D1078">
        <v>16</v>
      </c>
    </row>
    <row r="1079" spans="1:4" x14ac:dyDescent="0.3">
      <c r="A1079" t="s">
        <v>602</v>
      </c>
      <c r="B1079" t="s">
        <v>30</v>
      </c>
      <c r="C1079" s="18">
        <v>45012</v>
      </c>
      <c r="D1079">
        <v>75</v>
      </c>
    </row>
    <row r="1080" spans="1:4" x14ac:dyDescent="0.3">
      <c r="A1080" t="s">
        <v>602</v>
      </c>
      <c r="B1080" t="s">
        <v>29</v>
      </c>
      <c r="C1080" s="18">
        <v>44835</v>
      </c>
      <c r="D1080">
        <v>28</v>
      </c>
    </row>
    <row r="1081" spans="1:4" x14ac:dyDescent="0.3">
      <c r="A1081" t="s">
        <v>602</v>
      </c>
      <c r="B1081" t="s">
        <v>35</v>
      </c>
      <c r="C1081" s="18">
        <v>44924</v>
      </c>
      <c r="D1081">
        <v>26</v>
      </c>
    </row>
    <row r="1082" spans="1:4" x14ac:dyDescent="0.3">
      <c r="A1082" t="s">
        <v>603</v>
      </c>
      <c r="B1082" t="s">
        <v>28</v>
      </c>
      <c r="C1082" s="18">
        <v>44674</v>
      </c>
      <c r="D1082">
        <v>66</v>
      </c>
    </row>
    <row r="1083" spans="1:4" x14ac:dyDescent="0.3">
      <c r="A1083" t="s">
        <v>603</v>
      </c>
      <c r="B1083" t="s">
        <v>29</v>
      </c>
      <c r="C1083" s="18">
        <v>44869</v>
      </c>
      <c r="D1083">
        <v>28</v>
      </c>
    </row>
    <row r="1084" spans="1:4" x14ac:dyDescent="0.3">
      <c r="A1084" t="s">
        <v>604</v>
      </c>
      <c r="B1084" t="s">
        <v>22</v>
      </c>
      <c r="C1084" s="18">
        <v>44829</v>
      </c>
      <c r="D1084">
        <v>62</v>
      </c>
    </row>
    <row r="1085" spans="1:4" x14ac:dyDescent="0.3">
      <c r="A1085" t="s">
        <v>604</v>
      </c>
      <c r="B1085" t="s">
        <v>26</v>
      </c>
      <c r="C1085" s="18">
        <v>45014</v>
      </c>
      <c r="D1085">
        <v>29</v>
      </c>
    </row>
    <row r="1086" spans="1:4" x14ac:dyDescent="0.3">
      <c r="A1086" t="s">
        <v>605</v>
      </c>
      <c r="B1086" t="s">
        <v>26</v>
      </c>
      <c r="C1086" s="18">
        <v>44858</v>
      </c>
      <c r="D1086">
        <v>29</v>
      </c>
    </row>
    <row r="1087" spans="1:4" x14ac:dyDescent="0.3">
      <c r="A1087" t="s">
        <v>606</v>
      </c>
      <c r="B1087" t="s">
        <v>28</v>
      </c>
      <c r="C1087" s="18">
        <v>44803</v>
      </c>
      <c r="D1087">
        <v>66</v>
      </c>
    </row>
    <row r="1088" spans="1:4" x14ac:dyDescent="0.3">
      <c r="A1088" t="s">
        <v>606</v>
      </c>
      <c r="B1088" t="s">
        <v>34</v>
      </c>
      <c r="C1088" s="18">
        <v>44592</v>
      </c>
      <c r="D1088">
        <v>22</v>
      </c>
    </row>
    <row r="1089" spans="1:4" x14ac:dyDescent="0.3">
      <c r="A1089" t="s">
        <v>607</v>
      </c>
      <c r="B1089" t="s">
        <v>33</v>
      </c>
      <c r="C1089" s="18">
        <v>44889</v>
      </c>
      <c r="D1089">
        <v>27</v>
      </c>
    </row>
    <row r="1090" spans="1:4" x14ac:dyDescent="0.3">
      <c r="A1090" t="s">
        <v>607</v>
      </c>
      <c r="B1090" t="s">
        <v>35</v>
      </c>
      <c r="C1090" s="18">
        <v>44608</v>
      </c>
      <c r="D1090">
        <v>26</v>
      </c>
    </row>
    <row r="1091" spans="1:4" x14ac:dyDescent="0.3">
      <c r="A1091" t="s">
        <v>608</v>
      </c>
      <c r="B1091" t="s">
        <v>31</v>
      </c>
      <c r="C1091" s="18">
        <v>44767</v>
      </c>
      <c r="D1091">
        <v>62</v>
      </c>
    </row>
    <row r="1092" spans="1:4" x14ac:dyDescent="0.3">
      <c r="A1092" t="s">
        <v>608</v>
      </c>
      <c r="B1092" t="s">
        <v>29</v>
      </c>
      <c r="C1092" s="18">
        <v>45010</v>
      </c>
      <c r="D1092">
        <v>28</v>
      </c>
    </row>
    <row r="1093" spans="1:4" x14ac:dyDescent="0.3">
      <c r="A1093" t="s">
        <v>609</v>
      </c>
      <c r="B1093" t="s">
        <v>35</v>
      </c>
      <c r="C1093" s="18">
        <v>44776</v>
      </c>
      <c r="D1093">
        <v>26</v>
      </c>
    </row>
    <row r="1094" spans="1:4" x14ac:dyDescent="0.3">
      <c r="A1094" t="s">
        <v>609</v>
      </c>
      <c r="B1094" t="s">
        <v>32</v>
      </c>
      <c r="C1094" s="18">
        <v>44746</v>
      </c>
      <c r="D1094">
        <v>14</v>
      </c>
    </row>
    <row r="1095" spans="1:4" x14ac:dyDescent="0.3">
      <c r="A1095" t="s">
        <v>610</v>
      </c>
      <c r="B1095" t="s">
        <v>28</v>
      </c>
      <c r="C1095" s="18">
        <v>44723</v>
      </c>
      <c r="D1095">
        <v>66</v>
      </c>
    </row>
    <row r="1096" spans="1:4" x14ac:dyDescent="0.3">
      <c r="A1096" t="s">
        <v>610</v>
      </c>
      <c r="B1096" t="s">
        <v>19</v>
      </c>
      <c r="C1096" s="18">
        <v>44884</v>
      </c>
      <c r="D1096">
        <v>25</v>
      </c>
    </row>
    <row r="1097" spans="1:4" x14ac:dyDescent="0.3">
      <c r="A1097" t="s">
        <v>611</v>
      </c>
      <c r="B1097" t="s">
        <v>30</v>
      </c>
      <c r="C1097" s="18">
        <v>44988</v>
      </c>
      <c r="D1097">
        <v>75</v>
      </c>
    </row>
    <row r="1098" spans="1:4" x14ac:dyDescent="0.3">
      <c r="A1098" t="s">
        <v>611</v>
      </c>
      <c r="B1098" t="s">
        <v>20</v>
      </c>
      <c r="C1098" s="18">
        <v>44807</v>
      </c>
      <c r="D1098">
        <v>10</v>
      </c>
    </row>
    <row r="1099" spans="1:4" x14ac:dyDescent="0.3">
      <c r="A1099" t="s">
        <v>612</v>
      </c>
      <c r="B1099" t="s">
        <v>23</v>
      </c>
      <c r="C1099" s="18">
        <v>44574</v>
      </c>
      <c r="D1099">
        <v>65</v>
      </c>
    </row>
    <row r="1100" spans="1:4" x14ac:dyDescent="0.3">
      <c r="A1100" t="s">
        <v>612</v>
      </c>
      <c r="B1100" t="s">
        <v>33</v>
      </c>
      <c r="C1100" s="18">
        <v>44809</v>
      </c>
      <c r="D1100">
        <v>27</v>
      </c>
    </row>
    <row r="1101" spans="1:4" x14ac:dyDescent="0.3">
      <c r="A1101" t="s">
        <v>612</v>
      </c>
      <c r="B1101" t="s">
        <v>25</v>
      </c>
      <c r="C1101" s="18">
        <v>44663</v>
      </c>
      <c r="D1101">
        <v>16</v>
      </c>
    </row>
    <row r="1102" spans="1:4" x14ac:dyDescent="0.3">
      <c r="A1102" t="s">
        <v>613</v>
      </c>
      <c r="B1102" t="s">
        <v>31</v>
      </c>
      <c r="C1102" s="18">
        <v>44967</v>
      </c>
      <c r="D1102">
        <v>62</v>
      </c>
    </row>
    <row r="1103" spans="1:4" x14ac:dyDescent="0.3">
      <c r="A1103" t="s">
        <v>613</v>
      </c>
      <c r="B1103" t="s">
        <v>26</v>
      </c>
      <c r="C1103" s="18">
        <v>44788</v>
      </c>
      <c r="D1103">
        <v>29</v>
      </c>
    </row>
    <row r="1104" spans="1:4" x14ac:dyDescent="0.3">
      <c r="A1104" t="s">
        <v>614</v>
      </c>
      <c r="B1104" t="s">
        <v>28</v>
      </c>
      <c r="C1104" s="18">
        <v>44923</v>
      </c>
      <c r="D1104">
        <v>66</v>
      </c>
    </row>
    <row r="1105" spans="1:4" x14ac:dyDescent="0.3">
      <c r="A1105" t="s">
        <v>614</v>
      </c>
      <c r="B1105" t="s">
        <v>27</v>
      </c>
      <c r="C1105" s="18">
        <v>44980</v>
      </c>
      <c r="D1105">
        <v>25</v>
      </c>
    </row>
    <row r="1106" spans="1:4" x14ac:dyDescent="0.3">
      <c r="A1106" t="s">
        <v>615</v>
      </c>
      <c r="B1106" t="s">
        <v>23</v>
      </c>
      <c r="C1106" s="18">
        <v>44579</v>
      </c>
      <c r="D1106">
        <v>65</v>
      </c>
    </row>
    <row r="1107" spans="1:4" x14ac:dyDescent="0.3">
      <c r="A1107" t="s">
        <v>615</v>
      </c>
      <c r="B1107" t="s">
        <v>29</v>
      </c>
      <c r="C1107" s="18">
        <v>44810</v>
      </c>
      <c r="D1107">
        <v>28</v>
      </c>
    </row>
    <row r="1108" spans="1:4" x14ac:dyDescent="0.3">
      <c r="A1108" t="s">
        <v>616</v>
      </c>
      <c r="B1108" t="s">
        <v>33</v>
      </c>
      <c r="C1108" s="18">
        <v>44863</v>
      </c>
      <c r="D1108">
        <v>27</v>
      </c>
    </row>
    <row r="1109" spans="1:4" x14ac:dyDescent="0.3">
      <c r="A1109" t="s">
        <v>616</v>
      </c>
      <c r="B1109" t="s">
        <v>24</v>
      </c>
      <c r="C1109" s="18">
        <v>44710</v>
      </c>
      <c r="D1109">
        <v>13</v>
      </c>
    </row>
    <row r="1110" spans="1:4" x14ac:dyDescent="0.3">
      <c r="A1110" t="s">
        <v>617</v>
      </c>
      <c r="B1110" t="s">
        <v>33</v>
      </c>
      <c r="C1110" s="18">
        <v>44860</v>
      </c>
      <c r="D1110">
        <v>27</v>
      </c>
    </row>
    <row r="1111" spans="1:4" x14ac:dyDescent="0.3">
      <c r="A1111" t="s">
        <v>617</v>
      </c>
      <c r="B1111" t="s">
        <v>27</v>
      </c>
      <c r="C1111" s="18">
        <v>45012</v>
      </c>
      <c r="D1111">
        <v>25</v>
      </c>
    </row>
    <row r="1112" spans="1:4" x14ac:dyDescent="0.3">
      <c r="A1112" t="s">
        <v>618</v>
      </c>
      <c r="B1112" t="s">
        <v>34</v>
      </c>
      <c r="C1112" s="18">
        <v>44586</v>
      </c>
      <c r="D1112">
        <v>22</v>
      </c>
    </row>
    <row r="1113" spans="1:4" x14ac:dyDescent="0.3">
      <c r="A1113" t="s">
        <v>618</v>
      </c>
      <c r="B1113" t="s">
        <v>32</v>
      </c>
      <c r="C1113" s="18">
        <v>44668</v>
      </c>
      <c r="D1113">
        <v>14</v>
      </c>
    </row>
    <row r="1114" spans="1:4" x14ac:dyDescent="0.3">
      <c r="A1114" t="s">
        <v>619</v>
      </c>
      <c r="B1114" t="s">
        <v>21</v>
      </c>
      <c r="C1114" s="18">
        <v>44568</v>
      </c>
      <c r="D1114">
        <v>26</v>
      </c>
    </row>
    <row r="1115" spans="1:4" x14ac:dyDescent="0.3">
      <c r="A1115" t="s">
        <v>619</v>
      </c>
      <c r="B1115" t="s">
        <v>27</v>
      </c>
      <c r="C1115" s="18">
        <v>44977</v>
      </c>
      <c r="D1115">
        <v>25</v>
      </c>
    </row>
    <row r="1116" spans="1:4" x14ac:dyDescent="0.3">
      <c r="A1116" t="s">
        <v>620</v>
      </c>
      <c r="B1116" t="s">
        <v>28</v>
      </c>
      <c r="C1116" s="18">
        <v>44627</v>
      </c>
      <c r="D1116">
        <v>66</v>
      </c>
    </row>
    <row r="1117" spans="1:4" x14ac:dyDescent="0.3">
      <c r="A1117" t="s">
        <v>620</v>
      </c>
      <c r="B1117" t="s">
        <v>22</v>
      </c>
      <c r="C1117" s="18">
        <v>44959</v>
      </c>
      <c r="D1117">
        <v>62</v>
      </c>
    </row>
    <row r="1118" spans="1:4" x14ac:dyDescent="0.3">
      <c r="A1118" t="s">
        <v>620</v>
      </c>
      <c r="B1118" t="s">
        <v>34</v>
      </c>
      <c r="C1118" s="18">
        <v>44711</v>
      </c>
      <c r="D1118">
        <v>22</v>
      </c>
    </row>
    <row r="1119" spans="1:4" x14ac:dyDescent="0.3">
      <c r="A1119" t="s">
        <v>621</v>
      </c>
      <c r="B1119" t="s">
        <v>31</v>
      </c>
      <c r="C1119" s="18">
        <v>44802</v>
      </c>
      <c r="D1119">
        <v>62</v>
      </c>
    </row>
    <row r="1120" spans="1:4" x14ac:dyDescent="0.3">
      <c r="A1120" t="s">
        <v>621</v>
      </c>
      <c r="B1120" t="s">
        <v>19</v>
      </c>
      <c r="C1120" s="18">
        <v>44853</v>
      </c>
      <c r="D1120">
        <v>25</v>
      </c>
    </row>
    <row r="1121" spans="1:4" x14ac:dyDescent="0.3">
      <c r="A1121" t="s">
        <v>621</v>
      </c>
      <c r="B1121" t="s">
        <v>20</v>
      </c>
      <c r="C1121" s="18">
        <v>44883</v>
      </c>
      <c r="D1121">
        <v>10</v>
      </c>
    </row>
    <row r="1122" spans="1:4" x14ac:dyDescent="0.3">
      <c r="A1122" t="s">
        <v>622</v>
      </c>
      <c r="B1122" t="s">
        <v>23</v>
      </c>
      <c r="C1122" s="18">
        <v>44900</v>
      </c>
      <c r="D1122">
        <v>65</v>
      </c>
    </row>
    <row r="1123" spans="1:4" x14ac:dyDescent="0.3">
      <c r="A1123" t="s">
        <v>622</v>
      </c>
      <c r="B1123" t="s">
        <v>25</v>
      </c>
      <c r="C1123" s="18">
        <v>44749</v>
      </c>
      <c r="D1123">
        <v>16</v>
      </c>
    </row>
    <row r="1124" spans="1:4" x14ac:dyDescent="0.3">
      <c r="A1124" t="s">
        <v>623</v>
      </c>
      <c r="B1124" t="s">
        <v>22</v>
      </c>
      <c r="C1124" s="18">
        <v>44834</v>
      </c>
      <c r="D1124">
        <v>62</v>
      </c>
    </row>
    <row r="1125" spans="1:4" x14ac:dyDescent="0.3">
      <c r="A1125" t="s">
        <v>623</v>
      </c>
      <c r="B1125" t="s">
        <v>26</v>
      </c>
      <c r="C1125" s="18">
        <v>44907</v>
      </c>
      <c r="D1125">
        <v>29</v>
      </c>
    </row>
    <row r="1126" spans="1:4" x14ac:dyDescent="0.3">
      <c r="A1126" t="s">
        <v>624</v>
      </c>
      <c r="B1126" t="s">
        <v>31</v>
      </c>
      <c r="C1126" s="18">
        <v>44728</v>
      </c>
      <c r="D1126">
        <v>62</v>
      </c>
    </row>
    <row r="1127" spans="1:4" x14ac:dyDescent="0.3">
      <c r="A1127" t="s">
        <v>624</v>
      </c>
      <c r="B1127" t="s">
        <v>24</v>
      </c>
      <c r="C1127" s="18">
        <v>44648</v>
      </c>
      <c r="D1127">
        <v>13</v>
      </c>
    </row>
    <row r="1128" spans="1:4" x14ac:dyDescent="0.3">
      <c r="A1128" t="s">
        <v>625</v>
      </c>
      <c r="B1128" t="s">
        <v>27</v>
      </c>
      <c r="C1128" s="18">
        <v>44735</v>
      </c>
      <c r="D1128">
        <v>25</v>
      </c>
    </row>
    <row r="1129" spans="1:4" x14ac:dyDescent="0.3">
      <c r="A1129" t="s">
        <v>625</v>
      </c>
      <c r="B1129" t="s">
        <v>19</v>
      </c>
      <c r="C1129" s="18">
        <v>44937</v>
      </c>
      <c r="D1129">
        <v>25</v>
      </c>
    </row>
    <row r="1130" spans="1:4" x14ac:dyDescent="0.3">
      <c r="A1130" t="s">
        <v>626</v>
      </c>
      <c r="B1130" t="s">
        <v>33</v>
      </c>
      <c r="C1130" s="18">
        <v>44793</v>
      </c>
      <c r="D1130">
        <v>27</v>
      </c>
    </row>
    <row r="1131" spans="1:4" x14ac:dyDescent="0.3">
      <c r="A1131" t="s">
        <v>627</v>
      </c>
      <c r="B1131" t="s">
        <v>33</v>
      </c>
      <c r="C1131" s="18">
        <v>45036</v>
      </c>
      <c r="D1131">
        <v>27</v>
      </c>
    </row>
    <row r="1132" spans="1:4" x14ac:dyDescent="0.3">
      <c r="A1132" t="s">
        <v>627</v>
      </c>
      <c r="B1132" t="s">
        <v>27</v>
      </c>
      <c r="C1132" s="18">
        <v>44635</v>
      </c>
      <c r="D1132">
        <v>25</v>
      </c>
    </row>
    <row r="1133" spans="1:4" x14ac:dyDescent="0.3">
      <c r="A1133" t="s">
        <v>628</v>
      </c>
      <c r="B1133" t="s">
        <v>30</v>
      </c>
      <c r="C1133" s="18">
        <v>44685</v>
      </c>
      <c r="D1133">
        <v>75</v>
      </c>
    </row>
    <row r="1134" spans="1:4" x14ac:dyDescent="0.3">
      <c r="A1134" t="s">
        <v>628</v>
      </c>
      <c r="B1134" t="s">
        <v>35</v>
      </c>
      <c r="C1134" s="18">
        <v>44993</v>
      </c>
      <c r="D1134">
        <v>26</v>
      </c>
    </row>
    <row r="1135" spans="1:4" x14ac:dyDescent="0.3">
      <c r="A1135" t="s">
        <v>629</v>
      </c>
      <c r="B1135" t="s">
        <v>35</v>
      </c>
      <c r="C1135" s="18">
        <v>44752</v>
      </c>
      <c r="D1135">
        <v>26</v>
      </c>
    </row>
    <row r="1136" spans="1:4" x14ac:dyDescent="0.3">
      <c r="A1136" t="s">
        <v>629</v>
      </c>
      <c r="B1136" t="s">
        <v>25</v>
      </c>
      <c r="C1136" s="18">
        <v>44584</v>
      </c>
      <c r="D1136">
        <v>16</v>
      </c>
    </row>
    <row r="1137" spans="1:4" x14ac:dyDescent="0.3">
      <c r="A1137" t="s">
        <v>630</v>
      </c>
      <c r="B1137" t="s">
        <v>30</v>
      </c>
      <c r="C1137" s="18">
        <v>44857</v>
      </c>
      <c r="D1137">
        <v>75</v>
      </c>
    </row>
    <row r="1138" spans="1:4" x14ac:dyDescent="0.3">
      <c r="A1138" t="s">
        <v>630</v>
      </c>
      <c r="B1138" t="s">
        <v>20</v>
      </c>
      <c r="C1138" s="18">
        <v>44741</v>
      </c>
      <c r="D1138">
        <v>10</v>
      </c>
    </row>
    <row r="1139" spans="1:4" x14ac:dyDescent="0.3">
      <c r="A1139" t="s">
        <v>631</v>
      </c>
      <c r="B1139" t="s">
        <v>22</v>
      </c>
      <c r="C1139" s="18">
        <v>44779</v>
      </c>
      <c r="D1139">
        <v>62</v>
      </c>
    </row>
    <row r="1140" spans="1:4" x14ac:dyDescent="0.3">
      <c r="A1140" t="s">
        <v>631</v>
      </c>
      <c r="B1140" t="s">
        <v>19</v>
      </c>
      <c r="C1140" s="18">
        <v>44741</v>
      </c>
      <c r="D1140">
        <v>25</v>
      </c>
    </row>
    <row r="1141" spans="1:4" x14ac:dyDescent="0.3">
      <c r="A1141" t="s">
        <v>632</v>
      </c>
      <c r="B1141" t="s">
        <v>35</v>
      </c>
      <c r="C1141" s="18">
        <v>44816</v>
      </c>
      <c r="D1141">
        <v>26</v>
      </c>
    </row>
    <row r="1142" spans="1:4" x14ac:dyDescent="0.3">
      <c r="A1142" t="s">
        <v>633</v>
      </c>
      <c r="B1142" t="s">
        <v>33</v>
      </c>
      <c r="C1142" s="18">
        <v>44834</v>
      </c>
      <c r="D1142">
        <v>27</v>
      </c>
    </row>
    <row r="1143" spans="1:4" x14ac:dyDescent="0.3">
      <c r="A1143" t="s">
        <v>633</v>
      </c>
      <c r="B1143" t="s">
        <v>20</v>
      </c>
      <c r="C1143" s="18">
        <v>45041</v>
      </c>
      <c r="D1143">
        <v>10</v>
      </c>
    </row>
    <row r="1144" spans="1:4" x14ac:dyDescent="0.3">
      <c r="A1144" t="s">
        <v>634</v>
      </c>
      <c r="B1144" t="s">
        <v>28</v>
      </c>
      <c r="C1144" s="18">
        <v>44844</v>
      </c>
      <c r="D1144">
        <v>66</v>
      </c>
    </row>
    <row r="1145" spans="1:4" x14ac:dyDescent="0.3">
      <c r="A1145" t="s">
        <v>634</v>
      </c>
      <c r="B1145" t="s">
        <v>25</v>
      </c>
      <c r="C1145" s="18">
        <v>44762</v>
      </c>
      <c r="D1145">
        <v>16</v>
      </c>
    </row>
    <row r="1146" spans="1:4" x14ac:dyDescent="0.3">
      <c r="A1146" t="s">
        <v>635</v>
      </c>
      <c r="B1146" t="s">
        <v>35</v>
      </c>
      <c r="C1146" s="18">
        <v>44665</v>
      </c>
      <c r="D1146">
        <v>26</v>
      </c>
    </row>
    <row r="1147" spans="1:4" x14ac:dyDescent="0.3">
      <c r="A1147" t="s">
        <v>636</v>
      </c>
      <c r="B1147" t="s">
        <v>25</v>
      </c>
      <c r="C1147" s="18">
        <v>44807</v>
      </c>
      <c r="D1147">
        <v>16</v>
      </c>
    </row>
    <row r="1148" spans="1:4" x14ac:dyDescent="0.3">
      <c r="A1148" t="s">
        <v>636</v>
      </c>
      <c r="B1148" t="s">
        <v>24</v>
      </c>
      <c r="C1148" s="18">
        <v>44607</v>
      </c>
      <c r="D1148">
        <v>13</v>
      </c>
    </row>
    <row r="1149" spans="1:4" x14ac:dyDescent="0.3">
      <c r="A1149" t="s">
        <v>637</v>
      </c>
      <c r="B1149" t="s">
        <v>22</v>
      </c>
      <c r="C1149" s="18">
        <v>44843</v>
      </c>
      <c r="D1149">
        <v>62</v>
      </c>
    </row>
    <row r="1150" spans="1:4" x14ac:dyDescent="0.3">
      <c r="A1150" t="s">
        <v>637</v>
      </c>
      <c r="B1150" t="s">
        <v>31</v>
      </c>
      <c r="C1150" s="18">
        <v>44809</v>
      </c>
      <c r="D1150">
        <v>62</v>
      </c>
    </row>
    <row r="1151" spans="1:4" x14ac:dyDescent="0.3">
      <c r="A1151" t="s">
        <v>637</v>
      </c>
      <c r="B1151" t="s">
        <v>34</v>
      </c>
      <c r="C1151" s="18">
        <v>44727</v>
      </c>
      <c r="D1151">
        <v>22</v>
      </c>
    </row>
    <row r="1152" spans="1:4" x14ac:dyDescent="0.3">
      <c r="A1152" t="s">
        <v>638</v>
      </c>
      <c r="B1152" t="s">
        <v>31</v>
      </c>
      <c r="C1152" s="18">
        <v>44978</v>
      </c>
      <c r="D1152">
        <v>62</v>
      </c>
    </row>
    <row r="1153" spans="1:4" x14ac:dyDescent="0.3">
      <c r="A1153" t="s">
        <v>638</v>
      </c>
      <c r="B1153" t="s">
        <v>19</v>
      </c>
      <c r="C1153" s="18">
        <v>45022</v>
      </c>
      <c r="D1153">
        <v>25</v>
      </c>
    </row>
    <row r="1154" spans="1:4" x14ac:dyDescent="0.3">
      <c r="A1154" t="s">
        <v>639</v>
      </c>
      <c r="B1154" t="s">
        <v>27</v>
      </c>
      <c r="C1154" s="18">
        <v>44938</v>
      </c>
      <c r="D1154">
        <v>25</v>
      </c>
    </row>
    <row r="1155" spans="1:4" x14ac:dyDescent="0.3">
      <c r="A1155" t="s">
        <v>639</v>
      </c>
      <c r="B1155" t="s">
        <v>34</v>
      </c>
      <c r="C1155" s="18">
        <v>45014</v>
      </c>
      <c r="D1155">
        <v>22</v>
      </c>
    </row>
    <row r="1156" spans="1:4" x14ac:dyDescent="0.3">
      <c r="A1156" t="s">
        <v>639</v>
      </c>
      <c r="B1156" t="s">
        <v>25</v>
      </c>
      <c r="C1156" s="18">
        <v>45041</v>
      </c>
      <c r="D1156">
        <v>16</v>
      </c>
    </row>
    <row r="1157" spans="1:4" x14ac:dyDescent="0.3">
      <c r="A1157" t="s">
        <v>640</v>
      </c>
      <c r="B1157" t="s">
        <v>28</v>
      </c>
      <c r="C1157" s="18">
        <v>44933</v>
      </c>
      <c r="D1157">
        <v>66</v>
      </c>
    </row>
    <row r="1158" spans="1:4" x14ac:dyDescent="0.3">
      <c r="A1158" t="s">
        <v>640</v>
      </c>
      <c r="B1158" t="s">
        <v>29</v>
      </c>
      <c r="C1158" s="18">
        <v>44717</v>
      </c>
      <c r="D1158">
        <v>28</v>
      </c>
    </row>
    <row r="1159" spans="1:4" x14ac:dyDescent="0.3">
      <c r="A1159" t="s">
        <v>640</v>
      </c>
      <c r="B1159" t="s">
        <v>34</v>
      </c>
      <c r="C1159" s="18">
        <v>44726</v>
      </c>
      <c r="D1159">
        <v>22</v>
      </c>
    </row>
    <row r="1160" spans="1:4" x14ac:dyDescent="0.3">
      <c r="A1160" t="s">
        <v>641</v>
      </c>
      <c r="B1160" t="s">
        <v>28</v>
      </c>
      <c r="C1160" s="18">
        <v>45011</v>
      </c>
      <c r="D1160">
        <v>66</v>
      </c>
    </row>
    <row r="1161" spans="1:4" x14ac:dyDescent="0.3">
      <c r="A1161" t="s">
        <v>641</v>
      </c>
      <c r="B1161" t="s">
        <v>23</v>
      </c>
      <c r="C1161" s="18">
        <v>44740</v>
      </c>
      <c r="D1161">
        <v>65</v>
      </c>
    </row>
    <row r="1162" spans="1:4" x14ac:dyDescent="0.3">
      <c r="A1162" t="s">
        <v>641</v>
      </c>
      <c r="B1162" t="s">
        <v>20</v>
      </c>
      <c r="C1162" s="18">
        <v>44960</v>
      </c>
      <c r="D1162">
        <v>10</v>
      </c>
    </row>
    <row r="1163" spans="1:4" x14ac:dyDescent="0.3">
      <c r="A1163" t="s">
        <v>642</v>
      </c>
      <c r="B1163" t="s">
        <v>33</v>
      </c>
      <c r="C1163" s="18">
        <v>44894</v>
      </c>
      <c r="D1163">
        <v>27</v>
      </c>
    </row>
    <row r="1164" spans="1:4" x14ac:dyDescent="0.3">
      <c r="A1164" t="s">
        <v>642</v>
      </c>
      <c r="B1164" t="s">
        <v>20</v>
      </c>
      <c r="C1164" s="18">
        <v>45003</v>
      </c>
      <c r="D1164">
        <v>10</v>
      </c>
    </row>
    <row r="1165" spans="1:4" x14ac:dyDescent="0.3">
      <c r="A1165" t="s">
        <v>643</v>
      </c>
      <c r="B1165" t="s">
        <v>28</v>
      </c>
      <c r="C1165" s="18">
        <v>44951</v>
      </c>
      <c r="D1165">
        <v>66</v>
      </c>
    </row>
    <row r="1166" spans="1:4" x14ac:dyDescent="0.3">
      <c r="A1166" t="s">
        <v>644</v>
      </c>
      <c r="B1166" t="s">
        <v>34</v>
      </c>
      <c r="C1166" s="18">
        <v>44941</v>
      </c>
      <c r="D1166">
        <v>22</v>
      </c>
    </row>
    <row r="1167" spans="1:4" x14ac:dyDescent="0.3">
      <c r="A1167" t="s">
        <v>644</v>
      </c>
      <c r="B1167" t="s">
        <v>25</v>
      </c>
      <c r="C1167" s="18">
        <v>44744</v>
      </c>
      <c r="D1167">
        <v>16</v>
      </c>
    </row>
    <row r="1168" spans="1:4" x14ac:dyDescent="0.3">
      <c r="A1168" t="s">
        <v>645</v>
      </c>
      <c r="B1168" t="s">
        <v>25</v>
      </c>
      <c r="C1168" s="18">
        <v>44601</v>
      </c>
      <c r="D1168">
        <v>16</v>
      </c>
    </row>
    <row r="1169" spans="1:4" x14ac:dyDescent="0.3">
      <c r="A1169" t="s">
        <v>645</v>
      </c>
      <c r="B1169" t="s">
        <v>20</v>
      </c>
      <c r="C1169" s="18">
        <v>44797</v>
      </c>
      <c r="D1169">
        <v>10</v>
      </c>
    </row>
    <row r="1170" spans="1:4" x14ac:dyDescent="0.3">
      <c r="A1170" t="s">
        <v>646</v>
      </c>
      <c r="B1170" t="s">
        <v>27</v>
      </c>
      <c r="C1170" s="18">
        <v>44788</v>
      </c>
      <c r="D1170">
        <v>25</v>
      </c>
    </row>
    <row r="1171" spans="1:4" x14ac:dyDescent="0.3">
      <c r="A1171" t="s">
        <v>646</v>
      </c>
      <c r="B1171" t="s">
        <v>34</v>
      </c>
      <c r="C1171" s="18">
        <v>44577</v>
      </c>
      <c r="D1171">
        <v>22</v>
      </c>
    </row>
    <row r="1172" spans="1:4" x14ac:dyDescent="0.3">
      <c r="A1172" t="s">
        <v>647</v>
      </c>
      <c r="B1172" t="s">
        <v>27</v>
      </c>
      <c r="C1172" s="18">
        <v>44632</v>
      </c>
      <c r="D1172">
        <v>25</v>
      </c>
    </row>
    <row r="1173" spans="1:4" x14ac:dyDescent="0.3">
      <c r="A1173" t="s">
        <v>647</v>
      </c>
      <c r="B1173" t="s">
        <v>25</v>
      </c>
      <c r="C1173" s="18">
        <v>44849</v>
      </c>
      <c r="D1173">
        <v>16</v>
      </c>
    </row>
    <row r="1174" spans="1:4" x14ac:dyDescent="0.3">
      <c r="A1174" t="s">
        <v>648</v>
      </c>
      <c r="B1174" t="s">
        <v>31</v>
      </c>
      <c r="C1174" s="18">
        <v>44571</v>
      </c>
      <c r="D1174">
        <v>62</v>
      </c>
    </row>
    <row r="1175" spans="1:4" x14ac:dyDescent="0.3">
      <c r="A1175" t="s">
        <v>648</v>
      </c>
      <c r="B1175" t="s">
        <v>24</v>
      </c>
      <c r="C1175" s="18">
        <v>44825</v>
      </c>
      <c r="D1175">
        <v>13</v>
      </c>
    </row>
    <row r="1176" spans="1:4" x14ac:dyDescent="0.3">
      <c r="A1176" t="s">
        <v>649</v>
      </c>
      <c r="B1176" t="s">
        <v>22</v>
      </c>
      <c r="C1176" s="18">
        <v>44922</v>
      </c>
      <c r="D1176">
        <v>62</v>
      </c>
    </row>
    <row r="1177" spans="1:4" x14ac:dyDescent="0.3">
      <c r="A1177" t="s">
        <v>649</v>
      </c>
      <c r="B1177" t="s">
        <v>29</v>
      </c>
      <c r="C1177" s="18">
        <v>45005</v>
      </c>
      <c r="D1177">
        <v>28</v>
      </c>
    </row>
    <row r="1178" spans="1:4" x14ac:dyDescent="0.3">
      <c r="A1178" t="s">
        <v>650</v>
      </c>
      <c r="B1178" t="s">
        <v>26</v>
      </c>
      <c r="C1178" s="18">
        <v>44861</v>
      </c>
      <c r="D1178">
        <v>29</v>
      </c>
    </row>
    <row r="1179" spans="1:4" x14ac:dyDescent="0.3">
      <c r="A1179" t="s">
        <v>650</v>
      </c>
      <c r="B1179" t="s">
        <v>24</v>
      </c>
      <c r="C1179" s="18">
        <v>45017</v>
      </c>
      <c r="D1179">
        <v>13</v>
      </c>
    </row>
    <row r="1180" spans="1:4" x14ac:dyDescent="0.3">
      <c r="A1180" t="s">
        <v>651</v>
      </c>
      <c r="B1180" t="s">
        <v>35</v>
      </c>
      <c r="C1180" s="18">
        <v>44845</v>
      </c>
      <c r="D1180">
        <v>26</v>
      </c>
    </row>
    <row r="1181" spans="1:4" x14ac:dyDescent="0.3">
      <c r="A1181" t="s">
        <v>651</v>
      </c>
      <c r="B1181" t="s">
        <v>25</v>
      </c>
      <c r="C1181" s="18">
        <v>44809</v>
      </c>
      <c r="D1181">
        <v>16</v>
      </c>
    </row>
    <row r="1182" spans="1:4" x14ac:dyDescent="0.3">
      <c r="A1182" t="s">
        <v>652</v>
      </c>
      <c r="B1182" t="s">
        <v>22</v>
      </c>
      <c r="C1182" s="18">
        <v>44750</v>
      </c>
      <c r="D1182">
        <v>62</v>
      </c>
    </row>
    <row r="1183" spans="1:4" x14ac:dyDescent="0.3">
      <c r="A1183" t="s">
        <v>652</v>
      </c>
      <c r="B1183" t="s">
        <v>19</v>
      </c>
      <c r="C1183" s="18">
        <v>44839</v>
      </c>
      <c r="D1183">
        <v>25</v>
      </c>
    </row>
    <row r="1184" spans="1:4" x14ac:dyDescent="0.3">
      <c r="A1184" t="s">
        <v>653</v>
      </c>
      <c r="B1184" t="s">
        <v>34</v>
      </c>
      <c r="C1184" s="18">
        <v>44866</v>
      </c>
      <c r="D1184">
        <v>22</v>
      </c>
    </row>
    <row r="1185" spans="1:4" x14ac:dyDescent="0.3">
      <c r="A1185" t="s">
        <v>653</v>
      </c>
      <c r="B1185" t="s">
        <v>24</v>
      </c>
      <c r="C1185" s="18">
        <v>44719</v>
      </c>
      <c r="D1185">
        <v>13</v>
      </c>
    </row>
    <row r="1186" spans="1:4" x14ac:dyDescent="0.3">
      <c r="A1186" t="s">
        <v>654</v>
      </c>
      <c r="B1186" t="s">
        <v>26</v>
      </c>
      <c r="C1186" s="18">
        <v>44859</v>
      </c>
      <c r="D1186">
        <v>29</v>
      </c>
    </row>
    <row r="1187" spans="1:4" x14ac:dyDescent="0.3">
      <c r="A1187" t="s">
        <v>654</v>
      </c>
      <c r="B1187" t="s">
        <v>35</v>
      </c>
      <c r="C1187" s="18">
        <v>44785</v>
      </c>
      <c r="D1187">
        <v>26</v>
      </c>
    </row>
    <row r="1188" spans="1:4" x14ac:dyDescent="0.3">
      <c r="A1188" t="s">
        <v>655</v>
      </c>
      <c r="B1188" t="s">
        <v>25</v>
      </c>
      <c r="C1188" s="18">
        <v>45043</v>
      </c>
      <c r="D1188">
        <v>16</v>
      </c>
    </row>
    <row r="1189" spans="1:4" x14ac:dyDescent="0.3">
      <c r="A1189" t="s">
        <v>656</v>
      </c>
      <c r="B1189" t="s">
        <v>22</v>
      </c>
      <c r="C1189" s="18">
        <v>44939</v>
      </c>
      <c r="D1189">
        <v>62</v>
      </c>
    </row>
    <row r="1190" spans="1:4" x14ac:dyDescent="0.3">
      <c r="A1190" t="s">
        <v>656</v>
      </c>
      <c r="B1190" t="s">
        <v>26</v>
      </c>
      <c r="C1190" s="18">
        <v>45014</v>
      </c>
      <c r="D1190">
        <v>29</v>
      </c>
    </row>
    <row r="1191" spans="1:4" x14ac:dyDescent="0.3">
      <c r="A1191" t="s">
        <v>657</v>
      </c>
      <c r="B1191" t="s">
        <v>22</v>
      </c>
      <c r="C1191" s="18">
        <v>45010</v>
      </c>
      <c r="D1191">
        <v>62</v>
      </c>
    </row>
    <row r="1192" spans="1:4" x14ac:dyDescent="0.3">
      <c r="A1192" t="s">
        <v>657</v>
      </c>
      <c r="B1192" t="s">
        <v>31</v>
      </c>
      <c r="C1192" s="18">
        <v>44926</v>
      </c>
      <c r="D1192">
        <v>62</v>
      </c>
    </row>
    <row r="1193" spans="1:4" x14ac:dyDescent="0.3">
      <c r="A1193" t="s">
        <v>657</v>
      </c>
      <c r="B1193" t="s">
        <v>33</v>
      </c>
      <c r="C1193" s="18">
        <v>44975</v>
      </c>
      <c r="D1193">
        <v>27</v>
      </c>
    </row>
    <row r="1194" spans="1:4" x14ac:dyDescent="0.3">
      <c r="A1194" t="s">
        <v>658</v>
      </c>
      <c r="B1194" t="s">
        <v>26</v>
      </c>
      <c r="C1194" s="18">
        <v>45012</v>
      </c>
      <c r="D1194">
        <v>29</v>
      </c>
    </row>
    <row r="1195" spans="1:4" x14ac:dyDescent="0.3">
      <c r="A1195" t="s">
        <v>658</v>
      </c>
      <c r="B1195" t="s">
        <v>27</v>
      </c>
      <c r="C1195" s="18">
        <v>44705</v>
      </c>
      <c r="D1195">
        <v>25</v>
      </c>
    </row>
    <row r="1196" spans="1:4" x14ac:dyDescent="0.3">
      <c r="A1196" t="s">
        <v>659</v>
      </c>
      <c r="B1196" t="s">
        <v>30</v>
      </c>
      <c r="C1196" s="18">
        <v>44930</v>
      </c>
      <c r="D1196">
        <v>75</v>
      </c>
    </row>
    <row r="1197" spans="1:4" x14ac:dyDescent="0.3">
      <c r="A1197" t="s">
        <v>659</v>
      </c>
      <c r="B1197" t="s">
        <v>26</v>
      </c>
      <c r="C1197" s="18">
        <v>45011</v>
      </c>
      <c r="D1197">
        <v>29</v>
      </c>
    </row>
    <row r="1198" spans="1:4" x14ac:dyDescent="0.3">
      <c r="A1198" t="s">
        <v>659</v>
      </c>
      <c r="B1198" t="s">
        <v>27</v>
      </c>
      <c r="C1198" s="18">
        <v>44928</v>
      </c>
      <c r="D1198">
        <v>25</v>
      </c>
    </row>
    <row r="1199" spans="1:4" x14ac:dyDescent="0.3">
      <c r="A1199" t="s">
        <v>660</v>
      </c>
      <c r="B1199" t="s">
        <v>22</v>
      </c>
      <c r="C1199" s="18">
        <v>44775</v>
      </c>
      <c r="D1199">
        <v>62</v>
      </c>
    </row>
    <row r="1200" spans="1:4" x14ac:dyDescent="0.3">
      <c r="A1200" t="s">
        <v>660</v>
      </c>
      <c r="B1200" t="s">
        <v>20</v>
      </c>
      <c r="C1200" s="18">
        <v>44929</v>
      </c>
      <c r="D1200">
        <v>10</v>
      </c>
    </row>
    <row r="1201" spans="1:4" x14ac:dyDescent="0.3">
      <c r="A1201" t="s">
        <v>661</v>
      </c>
      <c r="B1201" t="s">
        <v>31</v>
      </c>
      <c r="C1201" s="18">
        <v>44938</v>
      </c>
      <c r="D1201">
        <v>62</v>
      </c>
    </row>
    <row r="1202" spans="1:4" x14ac:dyDescent="0.3">
      <c r="A1202" t="s">
        <v>661</v>
      </c>
      <c r="B1202" t="s">
        <v>22</v>
      </c>
      <c r="C1202" s="18">
        <v>44898</v>
      </c>
      <c r="D1202">
        <v>62</v>
      </c>
    </row>
    <row r="1203" spans="1:4" x14ac:dyDescent="0.3">
      <c r="A1203" t="s">
        <v>662</v>
      </c>
      <c r="B1203" t="s">
        <v>34</v>
      </c>
      <c r="C1203" s="18">
        <v>44580</v>
      </c>
      <c r="D1203">
        <v>22</v>
      </c>
    </row>
    <row r="1204" spans="1:4" x14ac:dyDescent="0.3">
      <c r="A1204" t="s">
        <v>663</v>
      </c>
      <c r="B1204" t="s">
        <v>28</v>
      </c>
      <c r="C1204" s="18">
        <v>44740</v>
      </c>
      <c r="D1204">
        <v>66</v>
      </c>
    </row>
    <row r="1205" spans="1:4" x14ac:dyDescent="0.3">
      <c r="A1205" t="s">
        <v>663</v>
      </c>
      <c r="B1205" t="s">
        <v>23</v>
      </c>
      <c r="C1205" s="18">
        <v>44948</v>
      </c>
      <c r="D1205">
        <v>65</v>
      </c>
    </row>
    <row r="1206" spans="1:4" x14ac:dyDescent="0.3">
      <c r="A1206" t="s">
        <v>663</v>
      </c>
      <c r="B1206" t="s">
        <v>34</v>
      </c>
      <c r="C1206" s="18">
        <v>44925</v>
      </c>
      <c r="D1206">
        <v>22</v>
      </c>
    </row>
    <row r="1207" spans="1:4" x14ac:dyDescent="0.3">
      <c r="A1207" t="s">
        <v>664</v>
      </c>
      <c r="B1207" t="s">
        <v>28</v>
      </c>
      <c r="C1207" s="18">
        <v>44910</v>
      </c>
      <c r="D1207">
        <v>66</v>
      </c>
    </row>
    <row r="1208" spans="1:4" x14ac:dyDescent="0.3">
      <c r="A1208" t="s">
        <v>664</v>
      </c>
      <c r="B1208" t="s">
        <v>26</v>
      </c>
      <c r="C1208" s="18">
        <v>44828</v>
      </c>
      <c r="D1208">
        <v>29</v>
      </c>
    </row>
    <row r="1209" spans="1:4" x14ac:dyDescent="0.3">
      <c r="A1209" t="s">
        <v>665</v>
      </c>
      <c r="B1209" t="s">
        <v>30</v>
      </c>
      <c r="C1209" s="18">
        <v>44742</v>
      </c>
      <c r="D1209">
        <v>75</v>
      </c>
    </row>
    <row r="1210" spans="1:4" x14ac:dyDescent="0.3">
      <c r="A1210" t="s">
        <v>665</v>
      </c>
      <c r="B1210" t="s">
        <v>33</v>
      </c>
      <c r="C1210" s="18">
        <v>45036</v>
      </c>
      <c r="D1210">
        <v>27</v>
      </c>
    </row>
    <row r="1211" spans="1:4" x14ac:dyDescent="0.3">
      <c r="A1211" t="s">
        <v>666</v>
      </c>
      <c r="B1211" t="s">
        <v>30</v>
      </c>
      <c r="C1211" s="18">
        <v>44894</v>
      </c>
      <c r="D1211">
        <v>75</v>
      </c>
    </row>
    <row r="1212" spans="1:4" x14ac:dyDescent="0.3">
      <c r="A1212" t="s">
        <v>666</v>
      </c>
      <c r="B1212" t="s">
        <v>34</v>
      </c>
      <c r="C1212" s="18">
        <v>44839</v>
      </c>
      <c r="D1212">
        <v>22</v>
      </c>
    </row>
    <row r="1213" spans="1:4" x14ac:dyDescent="0.3">
      <c r="A1213" t="s">
        <v>667</v>
      </c>
      <c r="B1213" t="s">
        <v>28</v>
      </c>
      <c r="C1213" s="18">
        <v>44686</v>
      </c>
      <c r="D1213">
        <v>66</v>
      </c>
    </row>
    <row r="1214" spans="1:4" x14ac:dyDescent="0.3">
      <c r="A1214" t="s">
        <v>667</v>
      </c>
      <c r="B1214" t="s">
        <v>29</v>
      </c>
      <c r="C1214" s="18">
        <v>45008</v>
      </c>
      <c r="D1214">
        <v>28</v>
      </c>
    </row>
    <row r="1215" spans="1:4" x14ac:dyDescent="0.3">
      <c r="A1215" t="s">
        <v>668</v>
      </c>
      <c r="B1215" t="s">
        <v>25</v>
      </c>
      <c r="C1215" s="18">
        <v>44763</v>
      </c>
      <c r="D1215">
        <v>16</v>
      </c>
    </row>
    <row r="1216" spans="1:4" x14ac:dyDescent="0.3">
      <c r="A1216" t="s">
        <v>669</v>
      </c>
      <c r="B1216" t="s">
        <v>30</v>
      </c>
      <c r="C1216" s="18">
        <v>44878</v>
      </c>
      <c r="D1216">
        <v>75</v>
      </c>
    </row>
    <row r="1217" spans="1:4" x14ac:dyDescent="0.3">
      <c r="A1217" t="s">
        <v>669</v>
      </c>
      <c r="B1217" t="s">
        <v>29</v>
      </c>
      <c r="C1217" s="18">
        <v>44693</v>
      </c>
      <c r="D1217">
        <v>28</v>
      </c>
    </row>
    <row r="1218" spans="1:4" x14ac:dyDescent="0.3">
      <c r="A1218" t="s">
        <v>670</v>
      </c>
      <c r="B1218" t="s">
        <v>31</v>
      </c>
      <c r="C1218" s="18">
        <v>44863</v>
      </c>
      <c r="D1218">
        <v>62</v>
      </c>
    </row>
    <row r="1219" spans="1:4" x14ac:dyDescent="0.3">
      <c r="A1219" t="s">
        <v>670</v>
      </c>
      <c r="B1219" t="s">
        <v>25</v>
      </c>
      <c r="C1219" s="18">
        <v>45018</v>
      </c>
      <c r="D1219">
        <v>16</v>
      </c>
    </row>
    <row r="1220" spans="1:4" x14ac:dyDescent="0.3">
      <c r="A1220" t="s">
        <v>671</v>
      </c>
      <c r="B1220" t="s">
        <v>23</v>
      </c>
      <c r="C1220" s="18">
        <v>44967</v>
      </c>
      <c r="D1220">
        <v>65</v>
      </c>
    </row>
    <row r="1221" spans="1:4" x14ac:dyDescent="0.3">
      <c r="A1221" t="s">
        <v>671</v>
      </c>
      <c r="B1221" t="s">
        <v>26</v>
      </c>
      <c r="C1221" s="18">
        <v>44785</v>
      </c>
      <c r="D1221">
        <v>29</v>
      </c>
    </row>
    <row r="1222" spans="1:4" x14ac:dyDescent="0.3">
      <c r="A1222" t="s">
        <v>672</v>
      </c>
      <c r="B1222" t="s">
        <v>28</v>
      </c>
      <c r="C1222" s="18">
        <v>44983</v>
      </c>
      <c r="D1222">
        <v>66</v>
      </c>
    </row>
    <row r="1223" spans="1:4" x14ac:dyDescent="0.3">
      <c r="A1223" t="s">
        <v>672</v>
      </c>
      <c r="B1223" t="s">
        <v>24</v>
      </c>
      <c r="C1223" s="18">
        <v>44607</v>
      </c>
      <c r="D1223">
        <v>13</v>
      </c>
    </row>
    <row r="1224" spans="1:4" x14ac:dyDescent="0.3">
      <c r="A1224" t="s">
        <v>673</v>
      </c>
      <c r="B1224" t="s">
        <v>29</v>
      </c>
      <c r="C1224" s="18">
        <v>44758</v>
      </c>
      <c r="D1224">
        <v>28</v>
      </c>
    </row>
    <row r="1225" spans="1:4" x14ac:dyDescent="0.3">
      <c r="A1225" t="s">
        <v>673</v>
      </c>
      <c r="B1225" t="s">
        <v>34</v>
      </c>
      <c r="C1225" s="18">
        <v>44900</v>
      </c>
      <c r="D1225">
        <v>22</v>
      </c>
    </row>
    <row r="1226" spans="1:4" x14ac:dyDescent="0.3">
      <c r="A1226" t="s">
        <v>674</v>
      </c>
      <c r="B1226" t="s">
        <v>22</v>
      </c>
      <c r="C1226" s="18">
        <v>44809</v>
      </c>
      <c r="D1226">
        <v>62</v>
      </c>
    </row>
    <row r="1227" spans="1:4" x14ac:dyDescent="0.3">
      <c r="A1227" t="s">
        <v>674</v>
      </c>
      <c r="B1227" t="s">
        <v>33</v>
      </c>
      <c r="C1227" s="18">
        <v>44934</v>
      </c>
      <c r="D1227">
        <v>27</v>
      </c>
    </row>
    <row r="1228" spans="1:4" x14ac:dyDescent="0.3">
      <c r="A1228" t="s">
        <v>675</v>
      </c>
      <c r="B1228" t="s">
        <v>35</v>
      </c>
      <c r="C1228" s="18">
        <v>44634</v>
      </c>
      <c r="D1228">
        <v>26</v>
      </c>
    </row>
    <row r="1229" spans="1:4" x14ac:dyDescent="0.3">
      <c r="A1229" t="s">
        <v>675</v>
      </c>
      <c r="B1229" t="s">
        <v>27</v>
      </c>
      <c r="C1229" s="18">
        <v>44969</v>
      </c>
      <c r="D1229">
        <v>25</v>
      </c>
    </row>
    <row r="1230" spans="1:4" x14ac:dyDescent="0.3">
      <c r="A1230" t="s">
        <v>675</v>
      </c>
      <c r="B1230" t="s">
        <v>32</v>
      </c>
      <c r="C1230" s="18">
        <v>44665</v>
      </c>
      <c r="D1230">
        <v>14</v>
      </c>
    </row>
    <row r="1231" spans="1:4" x14ac:dyDescent="0.3">
      <c r="A1231" t="s">
        <v>676</v>
      </c>
      <c r="B1231" t="s">
        <v>20</v>
      </c>
      <c r="C1231" s="18">
        <v>44904</v>
      </c>
      <c r="D1231">
        <v>10</v>
      </c>
    </row>
    <row r="1232" spans="1:4" x14ac:dyDescent="0.3">
      <c r="A1232" t="s">
        <v>677</v>
      </c>
      <c r="B1232" t="s">
        <v>33</v>
      </c>
      <c r="C1232" s="18">
        <v>44857</v>
      </c>
      <c r="D1232">
        <v>27</v>
      </c>
    </row>
    <row r="1233" spans="1:4" x14ac:dyDescent="0.3">
      <c r="A1233" t="s">
        <v>677</v>
      </c>
      <c r="B1233" t="s">
        <v>24</v>
      </c>
      <c r="C1233" s="18">
        <v>44593</v>
      </c>
      <c r="D1233">
        <v>13</v>
      </c>
    </row>
    <row r="1234" spans="1:4" x14ac:dyDescent="0.3">
      <c r="A1234" t="s">
        <v>677</v>
      </c>
      <c r="B1234" t="s">
        <v>20</v>
      </c>
      <c r="C1234" s="18">
        <v>44990</v>
      </c>
      <c r="D1234">
        <v>10</v>
      </c>
    </row>
    <row r="1235" spans="1:4" x14ac:dyDescent="0.3">
      <c r="A1235" t="s">
        <v>678</v>
      </c>
      <c r="B1235" t="s">
        <v>23</v>
      </c>
      <c r="C1235" s="18">
        <v>44719</v>
      </c>
      <c r="D1235">
        <v>65</v>
      </c>
    </row>
    <row r="1236" spans="1:4" x14ac:dyDescent="0.3">
      <c r="A1236" t="s">
        <v>678</v>
      </c>
      <c r="B1236" t="s">
        <v>29</v>
      </c>
      <c r="C1236" s="18">
        <v>44904</v>
      </c>
      <c r="D1236">
        <v>28</v>
      </c>
    </row>
    <row r="1237" spans="1:4" x14ac:dyDescent="0.3">
      <c r="A1237" t="s">
        <v>679</v>
      </c>
      <c r="B1237" t="s">
        <v>21</v>
      </c>
      <c r="C1237" s="18">
        <v>44944</v>
      </c>
      <c r="D1237">
        <v>26</v>
      </c>
    </row>
    <row r="1238" spans="1:4" x14ac:dyDescent="0.3">
      <c r="A1238" t="s">
        <v>679</v>
      </c>
      <c r="B1238" t="s">
        <v>24</v>
      </c>
      <c r="C1238" s="18">
        <v>44774</v>
      </c>
      <c r="D1238">
        <v>13</v>
      </c>
    </row>
    <row r="1239" spans="1:4" x14ac:dyDescent="0.3">
      <c r="A1239" t="s">
        <v>680</v>
      </c>
      <c r="B1239" t="s">
        <v>19</v>
      </c>
      <c r="C1239" s="18">
        <v>44660</v>
      </c>
      <c r="D1239">
        <v>25</v>
      </c>
    </row>
    <row r="1240" spans="1:4" x14ac:dyDescent="0.3">
      <c r="A1240" t="s">
        <v>680</v>
      </c>
      <c r="B1240" t="s">
        <v>20</v>
      </c>
      <c r="C1240" s="18">
        <v>44908</v>
      </c>
      <c r="D1240">
        <v>10</v>
      </c>
    </row>
    <row r="1241" spans="1:4" x14ac:dyDescent="0.3">
      <c r="A1241" t="s">
        <v>681</v>
      </c>
      <c r="B1241" t="s">
        <v>31</v>
      </c>
      <c r="C1241" s="18">
        <v>44614</v>
      </c>
      <c r="D1241">
        <v>62</v>
      </c>
    </row>
    <row r="1242" spans="1:4" x14ac:dyDescent="0.3">
      <c r="A1242" t="s">
        <v>681</v>
      </c>
      <c r="B1242" t="s">
        <v>20</v>
      </c>
      <c r="C1242" s="18">
        <v>44787</v>
      </c>
      <c r="D1242">
        <v>10</v>
      </c>
    </row>
    <row r="1243" spans="1:4" x14ac:dyDescent="0.3">
      <c r="A1243" t="s">
        <v>682</v>
      </c>
      <c r="B1243" t="s">
        <v>33</v>
      </c>
      <c r="C1243" s="18">
        <v>44802</v>
      </c>
      <c r="D1243">
        <v>27</v>
      </c>
    </row>
    <row r="1244" spans="1:4" x14ac:dyDescent="0.3">
      <c r="A1244" t="s">
        <v>682</v>
      </c>
      <c r="B1244" t="s">
        <v>24</v>
      </c>
      <c r="C1244" s="18">
        <v>44934</v>
      </c>
      <c r="D1244">
        <v>13</v>
      </c>
    </row>
    <row r="1245" spans="1:4" x14ac:dyDescent="0.3">
      <c r="A1245" t="s">
        <v>683</v>
      </c>
      <c r="B1245" t="s">
        <v>19</v>
      </c>
      <c r="C1245" s="18">
        <v>44788</v>
      </c>
      <c r="D1245">
        <v>25</v>
      </c>
    </row>
    <row r="1246" spans="1:4" x14ac:dyDescent="0.3">
      <c r="A1246" t="s">
        <v>683</v>
      </c>
      <c r="B1246" t="s">
        <v>27</v>
      </c>
      <c r="C1246" s="18">
        <v>44667</v>
      </c>
      <c r="D1246">
        <v>25</v>
      </c>
    </row>
    <row r="1247" spans="1:4" x14ac:dyDescent="0.3">
      <c r="A1247" t="s">
        <v>683</v>
      </c>
      <c r="B1247" t="s">
        <v>24</v>
      </c>
      <c r="C1247" s="18">
        <v>44679</v>
      </c>
      <c r="D1247">
        <v>13</v>
      </c>
    </row>
    <row r="1248" spans="1:4" x14ac:dyDescent="0.3">
      <c r="A1248" t="s">
        <v>684</v>
      </c>
      <c r="B1248" t="s">
        <v>32</v>
      </c>
      <c r="C1248" s="18">
        <v>44984</v>
      </c>
      <c r="D1248">
        <v>14</v>
      </c>
    </row>
    <row r="1249" spans="1:4" x14ac:dyDescent="0.3">
      <c r="A1249" t="s">
        <v>685</v>
      </c>
      <c r="B1249" t="s">
        <v>29</v>
      </c>
      <c r="C1249" s="18">
        <v>44761</v>
      </c>
      <c r="D1249">
        <v>28</v>
      </c>
    </row>
    <row r="1250" spans="1:4" x14ac:dyDescent="0.3">
      <c r="A1250" t="s">
        <v>686</v>
      </c>
      <c r="B1250" t="s">
        <v>26</v>
      </c>
      <c r="C1250" s="18">
        <v>44860</v>
      </c>
      <c r="D1250">
        <v>29</v>
      </c>
    </row>
    <row r="1251" spans="1:4" x14ac:dyDescent="0.3">
      <c r="A1251" t="s">
        <v>686</v>
      </c>
      <c r="B1251" t="s">
        <v>29</v>
      </c>
      <c r="C1251" s="18">
        <v>44917</v>
      </c>
      <c r="D1251">
        <v>28</v>
      </c>
    </row>
    <row r="1252" spans="1:4" x14ac:dyDescent="0.3">
      <c r="A1252" t="s">
        <v>687</v>
      </c>
      <c r="B1252" t="s">
        <v>21</v>
      </c>
      <c r="C1252" s="18">
        <v>44581</v>
      </c>
      <c r="D1252">
        <v>26</v>
      </c>
    </row>
    <row r="1253" spans="1:4" x14ac:dyDescent="0.3">
      <c r="A1253" t="s">
        <v>688</v>
      </c>
      <c r="B1253" t="s">
        <v>28</v>
      </c>
      <c r="C1253" s="18">
        <v>44824</v>
      </c>
      <c r="D1253">
        <v>66</v>
      </c>
    </row>
    <row r="1254" spans="1:4" x14ac:dyDescent="0.3">
      <c r="A1254" t="s">
        <v>688</v>
      </c>
      <c r="B1254" t="s">
        <v>27</v>
      </c>
      <c r="C1254" s="18">
        <v>44957</v>
      </c>
      <c r="D1254">
        <v>25</v>
      </c>
    </row>
    <row r="1255" spans="1:4" x14ac:dyDescent="0.3">
      <c r="A1255" t="s">
        <v>688</v>
      </c>
      <c r="B1255" t="s">
        <v>24</v>
      </c>
      <c r="C1255" s="18">
        <v>44929</v>
      </c>
      <c r="D1255">
        <v>13</v>
      </c>
    </row>
    <row r="1256" spans="1:4" x14ac:dyDescent="0.3">
      <c r="A1256" t="s">
        <v>689</v>
      </c>
      <c r="B1256" t="s">
        <v>32</v>
      </c>
      <c r="C1256" s="18">
        <v>44654</v>
      </c>
      <c r="D1256">
        <v>14</v>
      </c>
    </row>
    <row r="1257" spans="1:4" x14ac:dyDescent="0.3">
      <c r="A1257" t="s">
        <v>689</v>
      </c>
      <c r="B1257" t="s">
        <v>24</v>
      </c>
      <c r="C1257" s="18">
        <v>44983</v>
      </c>
      <c r="D1257">
        <v>13</v>
      </c>
    </row>
    <row r="1258" spans="1:4" x14ac:dyDescent="0.3">
      <c r="A1258" t="s">
        <v>690</v>
      </c>
      <c r="B1258" t="s">
        <v>31</v>
      </c>
      <c r="C1258" s="18">
        <v>44565</v>
      </c>
      <c r="D1258">
        <v>62</v>
      </c>
    </row>
    <row r="1259" spans="1:4" x14ac:dyDescent="0.3">
      <c r="A1259" t="s">
        <v>690</v>
      </c>
      <c r="B1259" t="s">
        <v>33</v>
      </c>
      <c r="C1259" s="18">
        <v>44990</v>
      </c>
      <c r="D1259">
        <v>27</v>
      </c>
    </row>
    <row r="1260" spans="1:4" x14ac:dyDescent="0.3">
      <c r="A1260" t="s">
        <v>691</v>
      </c>
      <c r="B1260" t="s">
        <v>35</v>
      </c>
      <c r="C1260" s="18">
        <v>44623</v>
      </c>
      <c r="D1260">
        <v>26</v>
      </c>
    </row>
    <row r="1261" spans="1:4" x14ac:dyDescent="0.3">
      <c r="A1261" t="s">
        <v>691</v>
      </c>
      <c r="B1261" t="s">
        <v>34</v>
      </c>
      <c r="C1261" s="18">
        <v>45027</v>
      </c>
      <c r="D1261">
        <v>22</v>
      </c>
    </row>
    <row r="1262" spans="1:4" x14ac:dyDescent="0.3">
      <c r="A1262" t="s">
        <v>692</v>
      </c>
      <c r="B1262" t="s">
        <v>28</v>
      </c>
      <c r="C1262" s="18">
        <v>44779</v>
      </c>
      <c r="D1262">
        <v>66</v>
      </c>
    </row>
    <row r="1263" spans="1:4" x14ac:dyDescent="0.3">
      <c r="A1263" t="s">
        <v>692</v>
      </c>
      <c r="B1263" t="s">
        <v>33</v>
      </c>
      <c r="C1263" s="18">
        <v>44934</v>
      </c>
      <c r="D1263">
        <v>27</v>
      </c>
    </row>
    <row r="1264" spans="1:4" x14ac:dyDescent="0.3">
      <c r="A1264" t="s">
        <v>692</v>
      </c>
      <c r="B1264" t="s">
        <v>24</v>
      </c>
      <c r="C1264" s="18">
        <v>44839</v>
      </c>
      <c r="D1264">
        <v>13</v>
      </c>
    </row>
    <row r="1265" spans="1:4" x14ac:dyDescent="0.3">
      <c r="A1265" t="s">
        <v>693</v>
      </c>
      <c r="B1265" t="s">
        <v>26</v>
      </c>
      <c r="C1265" s="18">
        <v>45035</v>
      </c>
      <c r="D1265">
        <v>29</v>
      </c>
    </row>
    <row r="1266" spans="1:4" x14ac:dyDescent="0.3">
      <c r="A1266" t="s">
        <v>693</v>
      </c>
      <c r="B1266" t="s">
        <v>33</v>
      </c>
      <c r="C1266" s="18">
        <v>45045</v>
      </c>
      <c r="D1266">
        <v>27</v>
      </c>
    </row>
    <row r="1267" spans="1:4" x14ac:dyDescent="0.3">
      <c r="A1267" t="s">
        <v>694</v>
      </c>
      <c r="B1267" t="s">
        <v>28</v>
      </c>
      <c r="C1267" s="18">
        <v>44605</v>
      </c>
      <c r="D1267">
        <v>66</v>
      </c>
    </row>
    <row r="1268" spans="1:4" x14ac:dyDescent="0.3">
      <c r="A1268" t="s">
        <v>694</v>
      </c>
      <c r="B1268" t="s">
        <v>19</v>
      </c>
      <c r="C1268" s="18">
        <v>44701</v>
      </c>
      <c r="D1268">
        <v>25</v>
      </c>
    </row>
    <row r="1269" spans="1:4" x14ac:dyDescent="0.3">
      <c r="A1269" t="s">
        <v>695</v>
      </c>
      <c r="B1269" t="s">
        <v>23</v>
      </c>
      <c r="C1269" s="18">
        <v>44892</v>
      </c>
      <c r="D1269">
        <v>65</v>
      </c>
    </row>
    <row r="1270" spans="1:4" x14ac:dyDescent="0.3">
      <c r="A1270" t="s">
        <v>695</v>
      </c>
      <c r="B1270" t="s">
        <v>35</v>
      </c>
      <c r="C1270" s="18">
        <v>44978</v>
      </c>
      <c r="D1270">
        <v>26</v>
      </c>
    </row>
    <row r="1271" spans="1:4" x14ac:dyDescent="0.3">
      <c r="A1271" t="s">
        <v>696</v>
      </c>
      <c r="B1271" t="s">
        <v>31</v>
      </c>
      <c r="C1271" s="18">
        <v>44877</v>
      </c>
      <c r="D1271">
        <v>62</v>
      </c>
    </row>
    <row r="1272" spans="1:4" x14ac:dyDescent="0.3">
      <c r="A1272" t="s">
        <v>696</v>
      </c>
      <c r="B1272" t="s">
        <v>20</v>
      </c>
      <c r="C1272" s="18">
        <v>44810</v>
      </c>
      <c r="D1272">
        <v>10</v>
      </c>
    </row>
    <row r="1273" spans="1:4" x14ac:dyDescent="0.3">
      <c r="A1273" t="s">
        <v>697</v>
      </c>
      <c r="B1273" t="s">
        <v>28</v>
      </c>
      <c r="C1273" s="18">
        <v>44577</v>
      </c>
      <c r="D1273">
        <v>66</v>
      </c>
    </row>
    <row r="1274" spans="1:4" x14ac:dyDescent="0.3">
      <c r="A1274" t="s">
        <v>697</v>
      </c>
      <c r="B1274" t="s">
        <v>22</v>
      </c>
      <c r="C1274" s="18">
        <v>44610</v>
      </c>
      <c r="D1274">
        <v>62</v>
      </c>
    </row>
    <row r="1275" spans="1:4" x14ac:dyDescent="0.3">
      <c r="A1275" t="s">
        <v>698</v>
      </c>
      <c r="B1275" t="s">
        <v>30</v>
      </c>
      <c r="C1275" s="18">
        <v>44932</v>
      </c>
      <c r="D1275">
        <v>75</v>
      </c>
    </row>
    <row r="1276" spans="1:4" x14ac:dyDescent="0.3">
      <c r="A1276" t="s">
        <v>698</v>
      </c>
      <c r="B1276" t="s">
        <v>35</v>
      </c>
      <c r="C1276" s="18">
        <v>44610</v>
      </c>
      <c r="D1276">
        <v>26</v>
      </c>
    </row>
    <row r="1277" spans="1:4" x14ac:dyDescent="0.3">
      <c r="A1277" t="s">
        <v>699</v>
      </c>
      <c r="B1277" t="s">
        <v>34</v>
      </c>
      <c r="C1277" s="18">
        <v>45033</v>
      </c>
      <c r="D1277">
        <v>22</v>
      </c>
    </row>
    <row r="1278" spans="1:4" x14ac:dyDescent="0.3">
      <c r="A1278" t="s">
        <v>699</v>
      </c>
      <c r="B1278" t="s">
        <v>24</v>
      </c>
      <c r="C1278" s="18">
        <v>44586</v>
      </c>
      <c r="D1278">
        <v>13</v>
      </c>
    </row>
    <row r="1279" spans="1:4" x14ac:dyDescent="0.3">
      <c r="A1279" t="s">
        <v>700</v>
      </c>
      <c r="B1279" t="s">
        <v>26</v>
      </c>
      <c r="C1279" s="18">
        <v>44798</v>
      </c>
      <c r="D1279">
        <v>29</v>
      </c>
    </row>
    <row r="1280" spans="1:4" x14ac:dyDescent="0.3">
      <c r="A1280" t="s">
        <v>700</v>
      </c>
      <c r="B1280" t="s">
        <v>20</v>
      </c>
      <c r="C1280" s="18">
        <v>44738</v>
      </c>
      <c r="D1280">
        <v>10</v>
      </c>
    </row>
    <row r="1281" spans="1:4" x14ac:dyDescent="0.3">
      <c r="A1281" t="s">
        <v>701</v>
      </c>
      <c r="B1281" t="s">
        <v>19</v>
      </c>
      <c r="C1281" s="18">
        <v>44895</v>
      </c>
      <c r="D1281">
        <v>25</v>
      </c>
    </row>
    <row r="1282" spans="1:4" x14ac:dyDescent="0.3">
      <c r="A1282" t="s">
        <v>701</v>
      </c>
      <c r="B1282" t="s">
        <v>32</v>
      </c>
      <c r="C1282" s="18">
        <v>44743</v>
      </c>
      <c r="D1282">
        <v>14</v>
      </c>
    </row>
    <row r="1283" spans="1:4" x14ac:dyDescent="0.3">
      <c r="A1283" t="s">
        <v>702</v>
      </c>
      <c r="B1283" t="s">
        <v>23</v>
      </c>
      <c r="C1283" s="18">
        <v>44616</v>
      </c>
      <c r="D1283">
        <v>65</v>
      </c>
    </row>
    <row r="1284" spans="1:4" x14ac:dyDescent="0.3">
      <c r="A1284" t="s">
        <v>702</v>
      </c>
      <c r="B1284" t="s">
        <v>26</v>
      </c>
      <c r="C1284" s="18">
        <v>44837</v>
      </c>
      <c r="D1284">
        <v>29</v>
      </c>
    </row>
    <row r="1285" spans="1:4" x14ac:dyDescent="0.3">
      <c r="A1285" t="s">
        <v>703</v>
      </c>
      <c r="B1285" t="s">
        <v>22</v>
      </c>
      <c r="C1285" s="18">
        <v>44903</v>
      </c>
      <c r="D1285">
        <v>62</v>
      </c>
    </row>
    <row r="1286" spans="1:4" x14ac:dyDescent="0.3">
      <c r="A1286" t="s">
        <v>703</v>
      </c>
      <c r="B1286" t="s">
        <v>25</v>
      </c>
      <c r="C1286" s="18">
        <v>44847</v>
      </c>
      <c r="D1286">
        <v>16</v>
      </c>
    </row>
    <row r="1287" spans="1:4" x14ac:dyDescent="0.3">
      <c r="A1287" t="s">
        <v>704</v>
      </c>
      <c r="B1287" t="s">
        <v>23</v>
      </c>
      <c r="C1287" s="18">
        <v>44775</v>
      </c>
      <c r="D1287">
        <v>65</v>
      </c>
    </row>
    <row r="1288" spans="1:4" x14ac:dyDescent="0.3">
      <c r="A1288" t="s">
        <v>704</v>
      </c>
      <c r="B1288" t="s">
        <v>31</v>
      </c>
      <c r="C1288" s="18">
        <v>44722</v>
      </c>
      <c r="D1288">
        <v>62</v>
      </c>
    </row>
    <row r="1289" spans="1:4" x14ac:dyDescent="0.3">
      <c r="A1289" t="s">
        <v>705</v>
      </c>
      <c r="B1289" t="s">
        <v>21</v>
      </c>
      <c r="C1289" s="18">
        <v>44868</v>
      </c>
      <c r="D1289">
        <v>26</v>
      </c>
    </row>
    <row r="1290" spans="1:4" x14ac:dyDescent="0.3">
      <c r="A1290" t="s">
        <v>705</v>
      </c>
      <c r="B1290" t="s">
        <v>27</v>
      </c>
      <c r="C1290" s="18">
        <v>44661</v>
      </c>
      <c r="D1290">
        <v>25</v>
      </c>
    </row>
    <row r="1291" spans="1:4" x14ac:dyDescent="0.3">
      <c r="A1291" t="s">
        <v>706</v>
      </c>
      <c r="B1291" t="s">
        <v>30</v>
      </c>
      <c r="C1291" s="18">
        <v>44794</v>
      </c>
      <c r="D1291">
        <v>75</v>
      </c>
    </row>
    <row r="1292" spans="1:4" x14ac:dyDescent="0.3">
      <c r="A1292" t="s">
        <v>706</v>
      </c>
      <c r="B1292" t="s">
        <v>22</v>
      </c>
      <c r="C1292" s="18">
        <v>44887</v>
      </c>
      <c r="D1292">
        <v>62</v>
      </c>
    </row>
    <row r="1293" spans="1:4" x14ac:dyDescent="0.3">
      <c r="A1293" t="s">
        <v>707</v>
      </c>
      <c r="B1293" t="s">
        <v>21</v>
      </c>
      <c r="C1293" s="18">
        <v>44944</v>
      </c>
      <c r="D1293">
        <v>26</v>
      </c>
    </row>
    <row r="1294" spans="1:4" x14ac:dyDescent="0.3">
      <c r="A1294" t="s">
        <v>707</v>
      </c>
      <c r="B1294" t="s">
        <v>24</v>
      </c>
      <c r="C1294" s="18">
        <v>44716</v>
      </c>
      <c r="D1294">
        <v>13</v>
      </c>
    </row>
    <row r="1295" spans="1:4" x14ac:dyDescent="0.3">
      <c r="A1295" t="s">
        <v>708</v>
      </c>
      <c r="B1295" t="s">
        <v>23</v>
      </c>
      <c r="C1295" s="18">
        <v>44891</v>
      </c>
      <c r="D1295">
        <v>65</v>
      </c>
    </row>
    <row r="1296" spans="1:4" x14ac:dyDescent="0.3">
      <c r="A1296" t="s">
        <v>708</v>
      </c>
      <c r="B1296" t="s">
        <v>31</v>
      </c>
      <c r="C1296" s="18">
        <v>44841</v>
      </c>
      <c r="D1296">
        <v>62</v>
      </c>
    </row>
    <row r="1297" spans="1:4" x14ac:dyDescent="0.3">
      <c r="A1297" t="s">
        <v>709</v>
      </c>
      <c r="B1297" t="s">
        <v>22</v>
      </c>
      <c r="C1297" s="18">
        <v>44831</v>
      </c>
      <c r="D1297">
        <v>62</v>
      </c>
    </row>
    <row r="1298" spans="1:4" x14ac:dyDescent="0.3">
      <c r="A1298" t="s">
        <v>709</v>
      </c>
      <c r="B1298" t="s">
        <v>34</v>
      </c>
      <c r="C1298" s="18">
        <v>44692</v>
      </c>
      <c r="D1298">
        <v>22</v>
      </c>
    </row>
    <row r="1299" spans="1:4" x14ac:dyDescent="0.3">
      <c r="A1299" t="s">
        <v>710</v>
      </c>
      <c r="B1299" t="s">
        <v>30</v>
      </c>
      <c r="C1299" s="18">
        <v>44903</v>
      </c>
      <c r="D1299">
        <v>75</v>
      </c>
    </row>
    <row r="1300" spans="1:4" x14ac:dyDescent="0.3">
      <c r="A1300" t="s">
        <v>710</v>
      </c>
      <c r="B1300" t="s">
        <v>28</v>
      </c>
      <c r="C1300" s="18">
        <v>44868</v>
      </c>
      <c r="D1300">
        <v>66</v>
      </c>
    </row>
    <row r="1301" spans="1:4" x14ac:dyDescent="0.3">
      <c r="A1301" t="s">
        <v>710</v>
      </c>
      <c r="B1301" t="s">
        <v>25</v>
      </c>
      <c r="C1301" s="18">
        <v>44811</v>
      </c>
      <c r="D1301">
        <v>16</v>
      </c>
    </row>
    <row r="1302" spans="1:4" x14ac:dyDescent="0.3">
      <c r="A1302" t="s">
        <v>711</v>
      </c>
      <c r="B1302" t="s">
        <v>26</v>
      </c>
      <c r="C1302" s="18">
        <v>44825</v>
      </c>
      <c r="D1302">
        <v>29</v>
      </c>
    </row>
    <row r="1303" spans="1:4" x14ac:dyDescent="0.3">
      <c r="A1303" t="s">
        <v>711</v>
      </c>
      <c r="B1303" t="s">
        <v>29</v>
      </c>
      <c r="C1303" s="18">
        <v>44642</v>
      </c>
      <c r="D1303">
        <v>28</v>
      </c>
    </row>
    <row r="1304" spans="1:4" x14ac:dyDescent="0.3">
      <c r="A1304" t="s">
        <v>712</v>
      </c>
      <c r="B1304" t="s">
        <v>28</v>
      </c>
      <c r="C1304" s="18">
        <v>44590</v>
      </c>
      <c r="D1304">
        <v>66</v>
      </c>
    </row>
    <row r="1305" spans="1:4" x14ac:dyDescent="0.3">
      <c r="A1305" t="s">
        <v>712</v>
      </c>
      <c r="B1305" t="s">
        <v>22</v>
      </c>
      <c r="C1305" s="18">
        <v>44742</v>
      </c>
      <c r="D1305">
        <v>62</v>
      </c>
    </row>
    <row r="1306" spans="1:4" x14ac:dyDescent="0.3">
      <c r="A1306" t="s">
        <v>712</v>
      </c>
      <c r="B1306" t="s">
        <v>29</v>
      </c>
      <c r="C1306" s="18">
        <v>44862</v>
      </c>
      <c r="D1306">
        <v>28</v>
      </c>
    </row>
    <row r="1307" spans="1:4" x14ac:dyDescent="0.3">
      <c r="A1307" t="s">
        <v>713</v>
      </c>
      <c r="B1307" t="s">
        <v>30</v>
      </c>
      <c r="C1307" s="18">
        <v>44929</v>
      </c>
      <c r="D1307">
        <v>75</v>
      </c>
    </row>
    <row r="1308" spans="1:4" x14ac:dyDescent="0.3">
      <c r="A1308" t="s">
        <v>713</v>
      </c>
      <c r="B1308" t="s">
        <v>28</v>
      </c>
      <c r="C1308" s="18">
        <v>44719</v>
      </c>
      <c r="D1308">
        <v>66</v>
      </c>
    </row>
    <row r="1309" spans="1:4" x14ac:dyDescent="0.3">
      <c r="A1309" t="s">
        <v>714</v>
      </c>
      <c r="B1309" t="s">
        <v>27</v>
      </c>
      <c r="C1309" s="18">
        <v>44943</v>
      </c>
      <c r="D1309">
        <v>25</v>
      </c>
    </row>
    <row r="1310" spans="1:4" x14ac:dyDescent="0.3">
      <c r="A1310" t="s">
        <v>715</v>
      </c>
      <c r="B1310" t="s">
        <v>28</v>
      </c>
      <c r="C1310" s="18">
        <v>44634</v>
      </c>
      <c r="D1310">
        <v>66</v>
      </c>
    </row>
    <row r="1311" spans="1:4" x14ac:dyDescent="0.3">
      <c r="A1311" t="s">
        <v>715</v>
      </c>
      <c r="B1311" t="s">
        <v>35</v>
      </c>
      <c r="C1311" s="18">
        <v>44720</v>
      </c>
      <c r="D1311">
        <v>26</v>
      </c>
    </row>
    <row r="1312" spans="1:4" x14ac:dyDescent="0.3">
      <c r="A1312" t="s">
        <v>716</v>
      </c>
      <c r="B1312" t="s">
        <v>23</v>
      </c>
      <c r="C1312" s="18">
        <v>44739</v>
      </c>
      <c r="D1312">
        <v>65</v>
      </c>
    </row>
    <row r="1313" spans="1:4" x14ac:dyDescent="0.3">
      <c r="A1313" t="s">
        <v>717</v>
      </c>
      <c r="B1313" t="s">
        <v>26</v>
      </c>
      <c r="C1313" s="18">
        <v>44893</v>
      </c>
      <c r="D1313">
        <v>29</v>
      </c>
    </row>
    <row r="1314" spans="1:4" x14ac:dyDescent="0.3">
      <c r="A1314" t="s">
        <v>718</v>
      </c>
      <c r="B1314" t="s">
        <v>27</v>
      </c>
      <c r="C1314" s="18">
        <v>44814</v>
      </c>
      <c r="D1314">
        <v>25</v>
      </c>
    </row>
    <row r="1315" spans="1:4" x14ac:dyDescent="0.3">
      <c r="A1315" t="s">
        <v>718</v>
      </c>
      <c r="B1315" t="s">
        <v>34</v>
      </c>
      <c r="C1315" s="18">
        <v>44854</v>
      </c>
      <c r="D1315">
        <v>22</v>
      </c>
    </row>
    <row r="1316" spans="1:4" x14ac:dyDescent="0.3">
      <c r="A1316" t="s">
        <v>719</v>
      </c>
      <c r="B1316" t="s">
        <v>31</v>
      </c>
      <c r="C1316" s="18">
        <v>44852</v>
      </c>
      <c r="D1316">
        <v>62</v>
      </c>
    </row>
    <row r="1317" spans="1:4" x14ac:dyDescent="0.3">
      <c r="A1317" t="s">
        <v>719</v>
      </c>
      <c r="B1317" t="s">
        <v>27</v>
      </c>
      <c r="C1317" s="18">
        <v>44597</v>
      </c>
      <c r="D1317">
        <v>25</v>
      </c>
    </row>
    <row r="1318" spans="1:4" x14ac:dyDescent="0.3">
      <c r="A1318" t="s">
        <v>720</v>
      </c>
      <c r="B1318" t="s">
        <v>28</v>
      </c>
      <c r="C1318" s="18">
        <v>44723</v>
      </c>
      <c r="D1318">
        <v>66</v>
      </c>
    </row>
    <row r="1319" spans="1:4" x14ac:dyDescent="0.3">
      <c r="A1319" t="s">
        <v>720</v>
      </c>
      <c r="B1319" t="s">
        <v>27</v>
      </c>
      <c r="C1319" s="18">
        <v>44817</v>
      </c>
      <c r="D1319">
        <v>25</v>
      </c>
    </row>
    <row r="1320" spans="1:4" x14ac:dyDescent="0.3">
      <c r="A1320" t="s">
        <v>721</v>
      </c>
      <c r="B1320" t="s">
        <v>31</v>
      </c>
      <c r="C1320" s="18">
        <v>44597</v>
      </c>
      <c r="D1320">
        <v>62</v>
      </c>
    </row>
    <row r="1321" spans="1:4" x14ac:dyDescent="0.3">
      <c r="A1321" t="s">
        <v>721</v>
      </c>
      <c r="B1321" t="s">
        <v>29</v>
      </c>
      <c r="C1321" s="18">
        <v>44805</v>
      </c>
      <c r="D1321">
        <v>28</v>
      </c>
    </row>
    <row r="1322" spans="1:4" x14ac:dyDescent="0.3">
      <c r="A1322" t="s">
        <v>722</v>
      </c>
      <c r="B1322" t="s">
        <v>22</v>
      </c>
      <c r="C1322" s="18">
        <v>44727</v>
      </c>
      <c r="D1322">
        <v>62</v>
      </c>
    </row>
    <row r="1323" spans="1:4" x14ac:dyDescent="0.3">
      <c r="A1323" t="s">
        <v>722</v>
      </c>
      <c r="B1323" t="s">
        <v>19</v>
      </c>
      <c r="C1323" s="18">
        <v>45013</v>
      </c>
      <c r="D1323">
        <v>25</v>
      </c>
    </row>
    <row r="1324" spans="1:4" x14ac:dyDescent="0.3">
      <c r="A1324" t="s">
        <v>723</v>
      </c>
      <c r="B1324" t="s">
        <v>35</v>
      </c>
      <c r="C1324" s="18">
        <v>44805</v>
      </c>
      <c r="D1324">
        <v>26</v>
      </c>
    </row>
    <row r="1325" spans="1:4" x14ac:dyDescent="0.3">
      <c r="A1325" t="s">
        <v>723</v>
      </c>
      <c r="B1325" t="s">
        <v>20</v>
      </c>
      <c r="C1325" s="18">
        <v>44713</v>
      </c>
      <c r="D1325">
        <v>10</v>
      </c>
    </row>
    <row r="1326" spans="1:4" x14ac:dyDescent="0.3">
      <c r="A1326" t="s">
        <v>724</v>
      </c>
      <c r="B1326" t="s">
        <v>35</v>
      </c>
      <c r="C1326" s="18">
        <v>44662</v>
      </c>
      <c r="D1326">
        <v>26</v>
      </c>
    </row>
    <row r="1327" spans="1:4" x14ac:dyDescent="0.3">
      <c r="A1327" t="s">
        <v>724</v>
      </c>
      <c r="B1327" t="s">
        <v>25</v>
      </c>
      <c r="C1327" s="18">
        <v>45015</v>
      </c>
      <c r="D1327">
        <v>16</v>
      </c>
    </row>
    <row r="1328" spans="1:4" x14ac:dyDescent="0.3">
      <c r="A1328" t="s">
        <v>725</v>
      </c>
      <c r="B1328" t="s">
        <v>29</v>
      </c>
      <c r="C1328" s="18">
        <v>44836</v>
      </c>
      <c r="D1328">
        <v>28</v>
      </c>
    </row>
    <row r="1329" spans="1:4" x14ac:dyDescent="0.3">
      <c r="A1329" t="s">
        <v>725</v>
      </c>
      <c r="B1329" t="s">
        <v>25</v>
      </c>
      <c r="C1329" s="18">
        <v>44683</v>
      </c>
      <c r="D1329">
        <v>16</v>
      </c>
    </row>
    <row r="1330" spans="1:4" x14ac:dyDescent="0.3">
      <c r="A1330" t="s">
        <v>726</v>
      </c>
      <c r="B1330" t="s">
        <v>26</v>
      </c>
      <c r="C1330" s="18">
        <v>44974</v>
      </c>
      <c r="D1330">
        <v>29</v>
      </c>
    </row>
    <row r="1331" spans="1:4" x14ac:dyDescent="0.3">
      <c r="A1331" t="s">
        <v>726</v>
      </c>
      <c r="B1331" t="s">
        <v>20</v>
      </c>
      <c r="C1331" s="18">
        <v>44936</v>
      </c>
      <c r="D1331">
        <v>10</v>
      </c>
    </row>
    <row r="1332" spans="1:4" x14ac:dyDescent="0.3">
      <c r="A1332" t="s">
        <v>727</v>
      </c>
      <c r="B1332" t="s">
        <v>25</v>
      </c>
      <c r="C1332" s="18">
        <v>44913</v>
      </c>
      <c r="D1332">
        <v>16</v>
      </c>
    </row>
    <row r="1333" spans="1:4" x14ac:dyDescent="0.3">
      <c r="A1333" t="s">
        <v>727</v>
      </c>
      <c r="B1333" t="s">
        <v>24</v>
      </c>
      <c r="C1333" s="18">
        <v>44911</v>
      </c>
      <c r="D1333">
        <v>13</v>
      </c>
    </row>
    <row r="1334" spans="1:4" x14ac:dyDescent="0.3">
      <c r="A1334" t="s">
        <v>728</v>
      </c>
      <c r="B1334" t="s">
        <v>28</v>
      </c>
      <c r="C1334" s="18">
        <v>44790</v>
      </c>
      <c r="D1334">
        <v>66</v>
      </c>
    </row>
    <row r="1335" spans="1:4" x14ac:dyDescent="0.3">
      <c r="A1335" t="s">
        <v>728</v>
      </c>
      <c r="B1335" t="s">
        <v>33</v>
      </c>
      <c r="C1335" s="18">
        <v>44940</v>
      </c>
      <c r="D1335">
        <v>27</v>
      </c>
    </row>
    <row r="1336" spans="1:4" x14ac:dyDescent="0.3">
      <c r="A1336" t="s">
        <v>728</v>
      </c>
      <c r="B1336" t="s">
        <v>27</v>
      </c>
      <c r="C1336" s="18">
        <v>44970</v>
      </c>
      <c r="D1336">
        <v>25</v>
      </c>
    </row>
    <row r="1337" spans="1:4" x14ac:dyDescent="0.3">
      <c r="A1337" t="s">
        <v>729</v>
      </c>
      <c r="B1337" t="s">
        <v>26</v>
      </c>
      <c r="C1337" s="18">
        <v>44798</v>
      </c>
      <c r="D1337">
        <v>29</v>
      </c>
    </row>
    <row r="1338" spans="1:4" x14ac:dyDescent="0.3">
      <c r="A1338" t="s">
        <v>729</v>
      </c>
      <c r="B1338" t="s">
        <v>34</v>
      </c>
      <c r="C1338" s="18">
        <v>44723</v>
      </c>
      <c r="D1338">
        <v>22</v>
      </c>
    </row>
    <row r="1339" spans="1:4" x14ac:dyDescent="0.3">
      <c r="A1339" t="s">
        <v>730</v>
      </c>
      <c r="B1339" t="s">
        <v>22</v>
      </c>
      <c r="C1339" s="18">
        <v>45016</v>
      </c>
      <c r="D1339">
        <v>62</v>
      </c>
    </row>
    <row r="1340" spans="1:4" x14ac:dyDescent="0.3">
      <c r="A1340" t="s">
        <v>730</v>
      </c>
      <c r="B1340" t="s">
        <v>29</v>
      </c>
      <c r="C1340" s="18">
        <v>44616</v>
      </c>
      <c r="D1340">
        <v>28</v>
      </c>
    </row>
    <row r="1341" spans="1:4" x14ac:dyDescent="0.3">
      <c r="A1341" t="s">
        <v>731</v>
      </c>
      <c r="B1341" t="s">
        <v>19</v>
      </c>
      <c r="C1341" s="18">
        <v>44898</v>
      </c>
      <c r="D1341">
        <v>25</v>
      </c>
    </row>
    <row r="1342" spans="1:4" x14ac:dyDescent="0.3">
      <c r="A1342" t="s">
        <v>731</v>
      </c>
      <c r="B1342" t="s">
        <v>34</v>
      </c>
      <c r="C1342" s="18">
        <v>44565</v>
      </c>
      <c r="D1342">
        <v>22</v>
      </c>
    </row>
    <row r="1343" spans="1:4" x14ac:dyDescent="0.3">
      <c r="A1343" t="s">
        <v>732</v>
      </c>
      <c r="B1343" t="s">
        <v>28</v>
      </c>
      <c r="C1343" s="18">
        <v>45038</v>
      </c>
      <c r="D1343">
        <v>66</v>
      </c>
    </row>
    <row r="1344" spans="1:4" x14ac:dyDescent="0.3">
      <c r="A1344" t="s">
        <v>732</v>
      </c>
      <c r="B1344" t="s">
        <v>26</v>
      </c>
      <c r="C1344" s="18">
        <v>44928</v>
      </c>
      <c r="D1344">
        <v>29</v>
      </c>
    </row>
    <row r="1345" spans="1:4" x14ac:dyDescent="0.3">
      <c r="A1345" t="s">
        <v>733</v>
      </c>
      <c r="B1345" t="s">
        <v>22</v>
      </c>
      <c r="C1345" s="18">
        <v>44903</v>
      </c>
      <c r="D1345">
        <v>62</v>
      </c>
    </row>
    <row r="1346" spans="1:4" x14ac:dyDescent="0.3">
      <c r="A1346" t="s">
        <v>733</v>
      </c>
      <c r="B1346" t="s">
        <v>29</v>
      </c>
      <c r="C1346" s="18">
        <v>44945</v>
      </c>
      <c r="D1346">
        <v>28</v>
      </c>
    </row>
    <row r="1347" spans="1:4" x14ac:dyDescent="0.3">
      <c r="A1347" t="s">
        <v>734</v>
      </c>
      <c r="B1347" t="s">
        <v>28</v>
      </c>
      <c r="C1347" s="18">
        <v>44609</v>
      </c>
      <c r="D1347">
        <v>66</v>
      </c>
    </row>
    <row r="1348" spans="1:4" x14ac:dyDescent="0.3">
      <c r="A1348" t="s">
        <v>734</v>
      </c>
      <c r="B1348" t="s">
        <v>22</v>
      </c>
      <c r="C1348" s="18">
        <v>44938</v>
      </c>
      <c r="D1348">
        <v>62</v>
      </c>
    </row>
    <row r="1349" spans="1:4" x14ac:dyDescent="0.3">
      <c r="A1349" t="s">
        <v>735</v>
      </c>
      <c r="B1349" t="s">
        <v>22</v>
      </c>
      <c r="C1349" s="18">
        <v>44836</v>
      </c>
      <c r="D1349">
        <v>62</v>
      </c>
    </row>
    <row r="1350" spans="1:4" x14ac:dyDescent="0.3">
      <c r="A1350" t="s">
        <v>735</v>
      </c>
      <c r="B1350" t="s">
        <v>27</v>
      </c>
      <c r="C1350" s="18">
        <v>44671</v>
      </c>
      <c r="D1350">
        <v>25</v>
      </c>
    </row>
    <row r="1351" spans="1:4" x14ac:dyDescent="0.3">
      <c r="A1351" t="s">
        <v>736</v>
      </c>
      <c r="B1351" t="s">
        <v>22</v>
      </c>
      <c r="C1351" s="18">
        <v>44798</v>
      </c>
      <c r="D1351">
        <v>62</v>
      </c>
    </row>
    <row r="1352" spans="1:4" x14ac:dyDescent="0.3">
      <c r="A1352" t="s">
        <v>736</v>
      </c>
      <c r="B1352" t="s">
        <v>33</v>
      </c>
      <c r="C1352" s="18">
        <v>44926</v>
      </c>
      <c r="D1352">
        <v>27</v>
      </c>
    </row>
    <row r="1353" spans="1:4" x14ac:dyDescent="0.3">
      <c r="A1353" t="s">
        <v>736</v>
      </c>
      <c r="B1353" t="s">
        <v>20</v>
      </c>
      <c r="C1353" s="18">
        <v>45019</v>
      </c>
      <c r="D1353">
        <v>10</v>
      </c>
    </row>
    <row r="1354" spans="1:4" x14ac:dyDescent="0.3">
      <c r="A1354" t="s">
        <v>737</v>
      </c>
      <c r="B1354" t="s">
        <v>31</v>
      </c>
      <c r="C1354" s="18">
        <v>44938</v>
      </c>
      <c r="D1354">
        <v>62</v>
      </c>
    </row>
    <row r="1355" spans="1:4" x14ac:dyDescent="0.3">
      <c r="A1355" t="s">
        <v>737</v>
      </c>
      <c r="B1355" t="s">
        <v>26</v>
      </c>
      <c r="C1355" s="18">
        <v>44777</v>
      </c>
      <c r="D1355">
        <v>29</v>
      </c>
    </row>
    <row r="1356" spans="1:4" x14ac:dyDescent="0.3">
      <c r="A1356" t="s">
        <v>738</v>
      </c>
      <c r="B1356" t="s">
        <v>30</v>
      </c>
      <c r="C1356" s="18">
        <v>44809</v>
      </c>
      <c r="D1356">
        <v>75</v>
      </c>
    </row>
    <row r="1357" spans="1:4" x14ac:dyDescent="0.3">
      <c r="A1357" t="s">
        <v>738</v>
      </c>
      <c r="B1357" t="s">
        <v>29</v>
      </c>
      <c r="C1357" s="18">
        <v>44916</v>
      </c>
      <c r="D1357">
        <v>28</v>
      </c>
    </row>
    <row r="1358" spans="1:4" x14ac:dyDescent="0.3">
      <c r="A1358" t="s">
        <v>739</v>
      </c>
      <c r="B1358" t="s">
        <v>33</v>
      </c>
      <c r="C1358" s="18">
        <v>44891</v>
      </c>
      <c r="D1358">
        <v>27</v>
      </c>
    </row>
    <row r="1359" spans="1:4" x14ac:dyDescent="0.3">
      <c r="A1359" t="s">
        <v>740</v>
      </c>
      <c r="B1359" t="s">
        <v>23</v>
      </c>
      <c r="C1359" s="18">
        <v>44570</v>
      </c>
      <c r="D1359">
        <v>65</v>
      </c>
    </row>
    <row r="1360" spans="1:4" x14ac:dyDescent="0.3">
      <c r="A1360" t="s">
        <v>740</v>
      </c>
      <c r="B1360" t="s">
        <v>25</v>
      </c>
      <c r="C1360" s="18">
        <v>44632</v>
      </c>
      <c r="D1360">
        <v>16</v>
      </c>
    </row>
    <row r="1361" spans="1:4" x14ac:dyDescent="0.3">
      <c r="A1361" t="s">
        <v>741</v>
      </c>
      <c r="B1361" t="s">
        <v>35</v>
      </c>
      <c r="C1361" s="18">
        <v>44671</v>
      </c>
      <c r="D1361">
        <v>26</v>
      </c>
    </row>
    <row r="1362" spans="1:4" x14ac:dyDescent="0.3">
      <c r="A1362" t="s">
        <v>742</v>
      </c>
      <c r="B1362" t="s">
        <v>23</v>
      </c>
      <c r="C1362" s="18">
        <v>44703</v>
      </c>
      <c r="D1362">
        <v>65</v>
      </c>
    </row>
    <row r="1363" spans="1:4" x14ac:dyDescent="0.3">
      <c r="A1363" t="s">
        <v>742</v>
      </c>
      <c r="B1363" t="s">
        <v>26</v>
      </c>
      <c r="C1363" s="18">
        <v>44746</v>
      </c>
      <c r="D1363">
        <v>29</v>
      </c>
    </row>
    <row r="1364" spans="1:4" x14ac:dyDescent="0.3">
      <c r="A1364" t="s">
        <v>743</v>
      </c>
      <c r="B1364" t="s">
        <v>27</v>
      </c>
      <c r="C1364" s="18">
        <v>44948</v>
      </c>
      <c r="D1364">
        <v>25</v>
      </c>
    </row>
    <row r="1365" spans="1:4" x14ac:dyDescent="0.3">
      <c r="A1365" t="s">
        <v>743</v>
      </c>
      <c r="B1365" t="s">
        <v>25</v>
      </c>
      <c r="C1365" s="18">
        <v>44646</v>
      </c>
      <c r="D1365">
        <v>16</v>
      </c>
    </row>
    <row r="1366" spans="1:4" x14ac:dyDescent="0.3">
      <c r="A1366" t="s">
        <v>744</v>
      </c>
      <c r="B1366" t="s">
        <v>28</v>
      </c>
      <c r="C1366" s="18">
        <v>44806</v>
      </c>
      <c r="D1366">
        <v>66</v>
      </c>
    </row>
    <row r="1367" spans="1:4" x14ac:dyDescent="0.3">
      <c r="A1367" t="s">
        <v>744</v>
      </c>
      <c r="B1367" t="s">
        <v>23</v>
      </c>
      <c r="C1367" s="18">
        <v>44831</v>
      </c>
      <c r="D1367">
        <v>65</v>
      </c>
    </row>
    <row r="1368" spans="1:4" x14ac:dyDescent="0.3">
      <c r="A1368" t="s">
        <v>745</v>
      </c>
      <c r="B1368" t="s">
        <v>30</v>
      </c>
      <c r="C1368" s="18">
        <v>44828</v>
      </c>
      <c r="D1368">
        <v>75</v>
      </c>
    </row>
    <row r="1369" spans="1:4" x14ac:dyDescent="0.3">
      <c r="A1369" t="s">
        <v>745</v>
      </c>
      <c r="B1369" t="s">
        <v>31</v>
      </c>
      <c r="C1369" s="18">
        <v>44703</v>
      </c>
      <c r="D1369">
        <v>62</v>
      </c>
    </row>
    <row r="1370" spans="1:4" x14ac:dyDescent="0.3">
      <c r="A1370" t="s">
        <v>745</v>
      </c>
      <c r="B1370" t="s">
        <v>24</v>
      </c>
      <c r="C1370" s="18">
        <v>44586</v>
      </c>
      <c r="D1370">
        <v>13</v>
      </c>
    </row>
    <row r="1371" spans="1:4" x14ac:dyDescent="0.3">
      <c r="A1371" t="s">
        <v>746</v>
      </c>
      <c r="B1371" t="s">
        <v>35</v>
      </c>
      <c r="C1371" s="18">
        <v>44901</v>
      </c>
      <c r="D1371">
        <v>26</v>
      </c>
    </row>
    <row r="1372" spans="1:4" x14ac:dyDescent="0.3">
      <c r="A1372" t="s">
        <v>746</v>
      </c>
      <c r="B1372" t="s">
        <v>32</v>
      </c>
      <c r="C1372" s="18">
        <v>45033</v>
      </c>
      <c r="D1372">
        <v>14</v>
      </c>
    </row>
    <row r="1373" spans="1:4" x14ac:dyDescent="0.3">
      <c r="A1373" t="s">
        <v>747</v>
      </c>
      <c r="B1373" t="s">
        <v>28</v>
      </c>
      <c r="C1373" s="18">
        <v>44664</v>
      </c>
      <c r="D1373">
        <v>66</v>
      </c>
    </row>
    <row r="1374" spans="1:4" x14ac:dyDescent="0.3">
      <c r="A1374" t="s">
        <v>747</v>
      </c>
      <c r="B1374" t="s">
        <v>35</v>
      </c>
      <c r="C1374" s="18">
        <v>44974</v>
      </c>
      <c r="D1374">
        <v>26</v>
      </c>
    </row>
    <row r="1375" spans="1:4" x14ac:dyDescent="0.3">
      <c r="A1375" t="s">
        <v>747</v>
      </c>
      <c r="B1375" t="s">
        <v>20</v>
      </c>
      <c r="C1375" s="18">
        <v>44894</v>
      </c>
      <c r="D1375">
        <v>10</v>
      </c>
    </row>
    <row r="1376" spans="1:4" x14ac:dyDescent="0.3">
      <c r="A1376" t="s">
        <v>748</v>
      </c>
      <c r="B1376" t="s">
        <v>31</v>
      </c>
      <c r="C1376" s="18">
        <v>44886</v>
      </c>
      <c r="D1376">
        <v>62</v>
      </c>
    </row>
    <row r="1377" spans="1:4" x14ac:dyDescent="0.3">
      <c r="A1377" t="s">
        <v>748</v>
      </c>
      <c r="B1377" t="s">
        <v>19</v>
      </c>
      <c r="C1377" s="18">
        <v>44625</v>
      </c>
      <c r="D1377">
        <v>25</v>
      </c>
    </row>
    <row r="1378" spans="1:4" x14ac:dyDescent="0.3">
      <c r="A1378" t="s">
        <v>749</v>
      </c>
      <c r="B1378" t="s">
        <v>22</v>
      </c>
      <c r="C1378" s="18">
        <v>44916</v>
      </c>
      <c r="D1378">
        <v>62</v>
      </c>
    </row>
    <row r="1379" spans="1:4" x14ac:dyDescent="0.3">
      <c r="A1379" t="s">
        <v>749</v>
      </c>
      <c r="B1379" t="s">
        <v>21</v>
      </c>
      <c r="C1379" s="18">
        <v>44978</v>
      </c>
      <c r="D1379">
        <v>26</v>
      </c>
    </row>
    <row r="1380" spans="1:4" x14ac:dyDescent="0.3">
      <c r="A1380" t="s">
        <v>750</v>
      </c>
      <c r="B1380" t="s">
        <v>25</v>
      </c>
      <c r="C1380" s="18">
        <v>44570</v>
      </c>
      <c r="D1380">
        <v>16</v>
      </c>
    </row>
    <row r="1381" spans="1:4" x14ac:dyDescent="0.3">
      <c r="A1381" t="s">
        <v>750</v>
      </c>
      <c r="B1381" t="s">
        <v>20</v>
      </c>
      <c r="C1381" s="18">
        <v>44992</v>
      </c>
      <c r="D1381">
        <v>10</v>
      </c>
    </row>
    <row r="1382" spans="1:4" x14ac:dyDescent="0.3">
      <c r="A1382" t="s">
        <v>751</v>
      </c>
      <c r="B1382" t="s">
        <v>29</v>
      </c>
      <c r="C1382" s="18">
        <v>44831</v>
      </c>
      <c r="D1382">
        <v>28</v>
      </c>
    </row>
    <row r="1383" spans="1:4" x14ac:dyDescent="0.3">
      <c r="A1383" t="s">
        <v>751</v>
      </c>
      <c r="B1383" t="s">
        <v>20</v>
      </c>
      <c r="C1383" s="18">
        <v>44892</v>
      </c>
      <c r="D1383">
        <v>10</v>
      </c>
    </row>
    <row r="1384" spans="1:4" x14ac:dyDescent="0.3">
      <c r="A1384" t="s">
        <v>752</v>
      </c>
      <c r="B1384" t="s">
        <v>30</v>
      </c>
      <c r="C1384" s="18">
        <v>44731</v>
      </c>
      <c r="D1384">
        <v>75</v>
      </c>
    </row>
    <row r="1385" spans="1:4" x14ac:dyDescent="0.3">
      <c r="A1385" t="s">
        <v>752</v>
      </c>
      <c r="B1385" t="s">
        <v>28</v>
      </c>
      <c r="C1385" s="18">
        <v>44779</v>
      </c>
      <c r="D1385">
        <v>66</v>
      </c>
    </row>
    <row r="1386" spans="1:4" x14ac:dyDescent="0.3">
      <c r="A1386" t="s">
        <v>752</v>
      </c>
      <c r="B1386" t="s">
        <v>25</v>
      </c>
      <c r="C1386" s="18">
        <v>44816</v>
      </c>
      <c r="D1386">
        <v>16</v>
      </c>
    </row>
    <row r="1387" spans="1:4" x14ac:dyDescent="0.3">
      <c r="A1387" t="s">
        <v>753</v>
      </c>
      <c r="B1387" t="s">
        <v>30</v>
      </c>
      <c r="C1387" s="18">
        <v>44680</v>
      </c>
      <c r="D1387">
        <v>75</v>
      </c>
    </row>
    <row r="1388" spans="1:4" x14ac:dyDescent="0.3">
      <c r="A1388" t="s">
        <v>753</v>
      </c>
      <c r="B1388" t="s">
        <v>24</v>
      </c>
      <c r="C1388" s="18">
        <v>44883</v>
      </c>
      <c r="D1388">
        <v>13</v>
      </c>
    </row>
    <row r="1389" spans="1:4" x14ac:dyDescent="0.3">
      <c r="A1389" t="s">
        <v>754</v>
      </c>
      <c r="B1389" t="s">
        <v>33</v>
      </c>
      <c r="C1389" s="18">
        <v>44768</v>
      </c>
      <c r="D1389">
        <v>27</v>
      </c>
    </row>
    <row r="1390" spans="1:4" x14ac:dyDescent="0.3">
      <c r="A1390" t="s">
        <v>754</v>
      </c>
      <c r="B1390" t="s">
        <v>19</v>
      </c>
      <c r="C1390" s="18">
        <v>44569</v>
      </c>
      <c r="D1390">
        <v>25</v>
      </c>
    </row>
    <row r="1391" spans="1:4" x14ac:dyDescent="0.3">
      <c r="A1391" t="s">
        <v>755</v>
      </c>
      <c r="B1391" t="s">
        <v>26</v>
      </c>
      <c r="C1391" s="18">
        <v>44788</v>
      </c>
      <c r="D1391">
        <v>29</v>
      </c>
    </row>
    <row r="1392" spans="1:4" x14ac:dyDescent="0.3">
      <c r="A1392" t="s">
        <v>755</v>
      </c>
      <c r="B1392" t="s">
        <v>29</v>
      </c>
      <c r="C1392" s="18">
        <v>44796</v>
      </c>
      <c r="D1392">
        <v>28</v>
      </c>
    </row>
    <row r="1393" spans="1:4" x14ac:dyDescent="0.3">
      <c r="A1393" t="s">
        <v>755</v>
      </c>
      <c r="B1393" t="s">
        <v>21</v>
      </c>
      <c r="C1393" s="18">
        <v>44686</v>
      </c>
      <c r="D1393">
        <v>26</v>
      </c>
    </row>
    <row r="1394" spans="1:4" x14ac:dyDescent="0.3">
      <c r="A1394" t="s">
        <v>756</v>
      </c>
      <c r="B1394" t="s">
        <v>29</v>
      </c>
      <c r="C1394" s="18">
        <v>44750</v>
      </c>
      <c r="D1394">
        <v>28</v>
      </c>
    </row>
    <row r="1395" spans="1:4" x14ac:dyDescent="0.3">
      <c r="A1395" t="s">
        <v>756</v>
      </c>
      <c r="B1395" t="s">
        <v>21</v>
      </c>
      <c r="C1395" s="18">
        <v>44808</v>
      </c>
      <c r="D1395">
        <v>26</v>
      </c>
    </row>
    <row r="1396" spans="1:4" x14ac:dyDescent="0.3">
      <c r="A1396" t="s">
        <v>757</v>
      </c>
      <c r="B1396" t="s">
        <v>29</v>
      </c>
      <c r="C1396" s="18">
        <v>44834</v>
      </c>
      <c r="D1396">
        <v>28</v>
      </c>
    </row>
    <row r="1397" spans="1:4" x14ac:dyDescent="0.3">
      <c r="A1397" t="s">
        <v>757</v>
      </c>
      <c r="B1397" t="s">
        <v>21</v>
      </c>
      <c r="C1397" s="18">
        <v>44577</v>
      </c>
      <c r="D1397">
        <v>26</v>
      </c>
    </row>
    <row r="1398" spans="1:4" x14ac:dyDescent="0.3">
      <c r="A1398" t="s">
        <v>757</v>
      </c>
      <c r="B1398" t="s">
        <v>34</v>
      </c>
      <c r="C1398" s="18">
        <v>45032</v>
      </c>
      <c r="D1398">
        <v>22</v>
      </c>
    </row>
    <row r="1399" spans="1:4" x14ac:dyDescent="0.3">
      <c r="A1399" t="s">
        <v>758</v>
      </c>
      <c r="B1399" t="s">
        <v>27</v>
      </c>
      <c r="C1399" s="18">
        <v>44763</v>
      </c>
      <c r="D1399">
        <v>25</v>
      </c>
    </row>
    <row r="1400" spans="1:4" x14ac:dyDescent="0.3">
      <c r="A1400" t="s">
        <v>758</v>
      </c>
      <c r="B1400" t="s">
        <v>34</v>
      </c>
      <c r="C1400" s="18">
        <v>44984</v>
      </c>
      <c r="D1400">
        <v>22</v>
      </c>
    </row>
    <row r="1401" spans="1:4" x14ac:dyDescent="0.3">
      <c r="A1401" t="s">
        <v>759</v>
      </c>
      <c r="B1401" t="s">
        <v>31</v>
      </c>
      <c r="C1401" s="18">
        <v>44621</v>
      </c>
      <c r="D1401">
        <v>62</v>
      </c>
    </row>
    <row r="1402" spans="1:4" x14ac:dyDescent="0.3">
      <c r="A1402" t="s">
        <v>759</v>
      </c>
      <c r="B1402" t="s">
        <v>34</v>
      </c>
      <c r="C1402" s="18">
        <v>45026</v>
      </c>
      <c r="D1402">
        <v>22</v>
      </c>
    </row>
    <row r="1403" spans="1:4" x14ac:dyDescent="0.3">
      <c r="A1403" t="s">
        <v>760</v>
      </c>
      <c r="B1403" t="s">
        <v>23</v>
      </c>
      <c r="C1403" s="18">
        <v>45041</v>
      </c>
      <c r="D1403">
        <v>65</v>
      </c>
    </row>
    <row r="1404" spans="1:4" x14ac:dyDescent="0.3">
      <c r="A1404" t="s">
        <v>760</v>
      </c>
      <c r="B1404" t="s">
        <v>20</v>
      </c>
      <c r="C1404" s="18">
        <v>44998</v>
      </c>
      <c r="D1404">
        <v>10</v>
      </c>
    </row>
    <row r="1405" spans="1:4" x14ac:dyDescent="0.3">
      <c r="A1405" t="s">
        <v>761</v>
      </c>
      <c r="B1405" t="s">
        <v>30</v>
      </c>
      <c r="C1405" s="18">
        <v>44640</v>
      </c>
      <c r="D1405">
        <v>75</v>
      </c>
    </row>
    <row r="1406" spans="1:4" x14ac:dyDescent="0.3">
      <c r="A1406" t="s">
        <v>761</v>
      </c>
      <c r="B1406" t="s">
        <v>33</v>
      </c>
      <c r="C1406" s="18">
        <v>44793</v>
      </c>
      <c r="D1406">
        <v>27</v>
      </c>
    </row>
    <row r="1407" spans="1:4" x14ac:dyDescent="0.3">
      <c r="A1407" t="s">
        <v>762</v>
      </c>
      <c r="B1407" t="s">
        <v>21</v>
      </c>
      <c r="C1407" s="18">
        <v>44577</v>
      </c>
      <c r="D1407">
        <v>26</v>
      </c>
    </row>
    <row r="1408" spans="1:4" x14ac:dyDescent="0.3">
      <c r="A1408" t="s">
        <v>763</v>
      </c>
      <c r="B1408" t="s">
        <v>21</v>
      </c>
      <c r="C1408" s="18">
        <v>44854</v>
      </c>
      <c r="D1408">
        <v>26</v>
      </c>
    </row>
    <row r="1409" spans="1:4" x14ac:dyDescent="0.3">
      <c r="A1409" t="s">
        <v>763</v>
      </c>
      <c r="B1409" t="s">
        <v>20</v>
      </c>
      <c r="C1409" s="18">
        <v>44739</v>
      </c>
      <c r="D1409">
        <v>10</v>
      </c>
    </row>
    <row r="1410" spans="1:4" x14ac:dyDescent="0.3">
      <c r="A1410" t="s">
        <v>764</v>
      </c>
      <c r="B1410" t="s">
        <v>21</v>
      </c>
      <c r="C1410" s="18">
        <v>45015</v>
      </c>
      <c r="D1410">
        <v>26</v>
      </c>
    </row>
    <row r="1411" spans="1:4" x14ac:dyDescent="0.3">
      <c r="A1411" t="s">
        <v>764</v>
      </c>
      <c r="B1411" t="s">
        <v>34</v>
      </c>
      <c r="C1411" s="18">
        <v>44689</v>
      </c>
      <c r="D1411">
        <v>22</v>
      </c>
    </row>
    <row r="1412" spans="1:4" x14ac:dyDescent="0.3">
      <c r="A1412" t="s">
        <v>765</v>
      </c>
      <c r="B1412" t="s">
        <v>19</v>
      </c>
      <c r="C1412" s="18">
        <v>44855</v>
      </c>
      <c r="D1412">
        <v>25</v>
      </c>
    </row>
    <row r="1413" spans="1:4" x14ac:dyDescent="0.3">
      <c r="A1413" t="s">
        <v>766</v>
      </c>
      <c r="B1413" t="s">
        <v>30</v>
      </c>
      <c r="C1413" s="18">
        <v>44736</v>
      </c>
      <c r="D1413">
        <v>75</v>
      </c>
    </row>
    <row r="1414" spans="1:4" x14ac:dyDescent="0.3">
      <c r="A1414" t="s">
        <v>766</v>
      </c>
      <c r="B1414" t="s">
        <v>29</v>
      </c>
      <c r="C1414" s="18">
        <v>44758</v>
      </c>
      <c r="D1414">
        <v>28</v>
      </c>
    </row>
    <row r="1415" spans="1:4" x14ac:dyDescent="0.3">
      <c r="A1415" t="s">
        <v>766</v>
      </c>
      <c r="B1415" t="s">
        <v>33</v>
      </c>
      <c r="C1415" s="18">
        <v>44953</v>
      </c>
      <c r="D1415">
        <v>27</v>
      </c>
    </row>
    <row r="1416" spans="1:4" x14ac:dyDescent="0.3">
      <c r="A1416" t="s">
        <v>767</v>
      </c>
      <c r="B1416" t="s">
        <v>19</v>
      </c>
      <c r="C1416" s="18">
        <v>44881</v>
      </c>
      <c r="D1416">
        <v>25</v>
      </c>
    </row>
    <row r="1417" spans="1:4" x14ac:dyDescent="0.3">
      <c r="A1417" t="s">
        <v>767</v>
      </c>
      <c r="B1417" t="s">
        <v>25</v>
      </c>
      <c r="C1417" s="18">
        <v>44894</v>
      </c>
      <c r="D1417">
        <v>16</v>
      </c>
    </row>
    <row r="1418" spans="1:4" x14ac:dyDescent="0.3">
      <c r="A1418" t="s">
        <v>768</v>
      </c>
      <c r="B1418" t="s">
        <v>28</v>
      </c>
      <c r="C1418" s="18">
        <v>44976</v>
      </c>
      <c r="D1418">
        <v>66</v>
      </c>
    </row>
    <row r="1419" spans="1:4" x14ac:dyDescent="0.3">
      <c r="A1419" t="s">
        <v>768</v>
      </c>
      <c r="B1419" t="s">
        <v>29</v>
      </c>
      <c r="C1419" s="18">
        <v>44965</v>
      </c>
      <c r="D1419">
        <v>28</v>
      </c>
    </row>
    <row r="1420" spans="1:4" x14ac:dyDescent="0.3">
      <c r="A1420" t="s">
        <v>768</v>
      </c>
      <c r="B1420" t="s">
        <v>25</v>
      </c>
      <c r="C1420" s="18">
        <v>44974</v>
      </c>
      <c r="D1420">
        <v>16</v>
      </c>
    </row>
    <row r="1421" spans="1:4" x14ac:dyDescent="0.3">
      <c r="A1421" t="s">
        <v>769</v>
      </c>
      <c r="B1421" t="s">
        <v>29</v>
      </c>
      <c r="C1421" s="18">
        <v>44570</v>
      </c>
      <c r="D1421">
        <v>28</v>
      </c>
    </row>
    <row r="1422" spans="1:4" x14ac:dyDescent="0.3">
      <c r="A1422" t="s">
        <v>769</v>
      </c>
      <c r="B1422" t="s">
        <v>19</v>
      </c>
      <c r="C1422" s="18">
        <v>44960</v>
      </c>
      <c r="D1422">
        <v>25</v>
      </c>
    </row>
    <row r="1423" spans="1:4" x14ac:dyDescent="0.3">
      <c r="A1423" t="s">
        <v>770</v>
      </c>
      <c r="B1423" t="s">
        <v>29</v>
      </c>
      <c r="C1423" s="18">
        <v>44780</v>
      </c>
      <c r="D1423">
        <v>28</v>
      </c>
    </row>
    <row r="1424" spans="1:4" x14ac:dyDescent="0.3">
      <c r="A1424" t="s">
        <v>770</v>
      </c>
      <c r="B1424" t="s">
        <v>25</v>
      </c>
      <c r="C1424" s="18">
        <v>44793</v>
      </c>
      <c r="D1424">
        <v>16</v>
      </c>
    </row>
    <row r="1425" spans="1:4" x14ac:dyDescent="0.3">
      <c r="A1425" t="s">
        <v>771</v>
      </c>
      <c r="B1425" t="s">
        <v>26</v>
      </c>
      <c r="C1425" s="18">
        <v>44823</v>
      </c>
      <c r="D1425">
        <v>29</v>
      </c>
    </row>
    <row r="1426" spans="1:4" x14ac:dyDescent="0.3">
      <c r="A1426" t="s">
        <v>771</v>
      </c>
      <c r="B1426" t="s">
        <v>19</v>
      </c>
      <c r="C1426" s="18">
        <v>44575</v>
      </c>
      <c r="D1426">
        <v>25</v>
      </c>
    </row>
    <row r="1427" spans="1:4" x14ac:dyDescent="0.3">
      <c r="A1427" t="s">
        <v>772</v>
      </c>
      <c r="B1427" t="s">
        <v>31</v>
      </c>
      <c r="C1427" s="18">
        <v>44616</v>
      </c>
      <c r="D1427">
        <v>62</v>
      </c>
    </row>
    <row r="1428" spans="1:4" x14ac:dyDescent="0.3">
      <c r="A1428" t="s">
        <v>772</v>
      </c>
      <c r="B1428" t="s">
        <v>33</v>
      </c>
      <c r="C1428" s="18">
        <v>45017</v>
      </c>
      <c r="D1428">
        <v>27</v>
      </c>
    </row>
    <row r="1429" spans="1:4" x14ac:dyDescent="0.3">
      <c r="A1429" t="s">
        <v>773</v>
      </c>
      <c r="B1429" t="s">
        <v>34</v>
      </c>
      <c r="C1429" s="18">
        <v>44596</v>
      </c>
      <c r="D1429">
        <v>22</v>
      </c>
    </row>
    <row r="1430" spans="1:4" x14ac:dyDescent="0.3">
      <c r="A1430" t="s">
        <v>773</v>
      </c>
      <c r="B1430" t="s">
        <v>24</v>
      </c>
      <c r="C1430" s="18">
        <v>44946</v>
      </c>
      <c r="D1430">
        <v>13</v>
      </c>
    </row>
    <row r="1431" spans="1:4" x14ac:dyDescent="0.3">
      <c r="A1431" t="s">
        <v>774</v>
      </c>
      <c r="B1431" t="s">
        <v>26</v>
      </c>
      <c r="C1431" s="18">
        <v>44911</v>
      </c>
      <c r="D1431">
        <v>29</v>
      </c>
    </row>
    <row r="1432" spans="1:4" x14ac:dyDescent="0.3">
      <c r="A1432" t="s">
        <v>774</v>
      </c>
      <c r="B1432" t="s">
        <v>34</v>
      </c>
      <c r="C1432" s="18">
        <v>44624</v>
      </c>
      <c r="D1432">
        <v>22</v>
      </c>
    </row>
    <row r="1433" spans="1:4" x14ac:dyDescent="0.3">
      <c r="A1433" t="s">
        <v>775</v>
      </c>
      <c r="B1433" t="s">
        <v>28</v>
      </c>
      <c r="C1433" s="18">
        <v>44609</v>
      </c>
      <c r="D1433">
        <v>66</v>
      </c>
    </row>
    <row r="1434" spans="1:4" x14ac:dyDescent="0.3">
      <c r="A1434" t="s">
        <v>776</v>
      </c>
      <c r="B1434" t="s">
        <v>28</v>
      </c>
      <c r="C1434" s="18">
        <v>44994</v>
      </c>
      <c r="D1434">
        <v>66</v>
      </c>
    </row>
    <row r="1435" spans="1:4" x14ac:dyDescent="0.3">
      <c r="A1435" t="s">
        <v>776</v>
      </c>
      <c r="B1435" t="s">
        <v>20</v>
      </c>
      <c r="C1435" s="18">
        <v>45017</v>
      </c>
      <c r="D1435">
        <v>10</v>
      </c>
    </row>
    <row r="1436" spans="1:4" x14ac:dyDescent="0.3">
      <c r="A1436" t="s">
        <v>777</v>
      </c>
      <c r="B1436" t="s">
        <v>27</v>
      </c>
      <c r="C1436" s="18">
        <v>44699</v>
      </c>
      <c r="D1436">
        <v>25</v>
      </c>
    </row>
    <row r="1437" spans="1:4" x14ac:dyDescent="0.3">
      <c r="A1437" t="s">
        <v>777</v>
      </c>
      <c r="B1437" t="s">
        <v>24</v>
      </c>
      <c r="C1437" s="18">
        <v>44762</v>
      </c>
      <c r="D1437">
        <v>13</v>
      </c>
    </row>
    <row r="1438" spans="1:4" x14ac:dyDescent="0.3">
      <c r="A1438" t="s">
        <v>778</v>
      </c>
      <c r="B1438" t="s">
        <v>35</v>
      </c>
      <c r="C1438" s="18">
        <v>44754</v>
      </c>
      <c r="D1438">
        <v>26</v>
      </c>
    </row>
    <row r="1439" spans="1:4" x14ac:dyDescent="0.3">
      <c r="A1439" t="s">
        <v>778</v>
      </c>
      <c r="B1439" t="s">
        <v>34</v>
      </c>
      <c r="C1439" s="18">
        <v>44788</v>
      </c>
      <c r="D1439">
        <v>22</v>
      </c>
    </row>
    <row r="1440" spans="1:4" x14ac:dyDescent="0.3">
      <c r="A1440" t="s">
        <v>779</v>
      </c>
      <c r="B1440" t="s">
        <v>34</v>
      </c>
      <c r="C1440" s="18">
        <v>44721</v>
      </c>
      <c r="D1440">
        <v>22</v>
      </c>
    </row>
    <row r="1441" spans="1:4" x14ac:dyDescent="0.3">
      <c r="A1441" t="s">
        <v>779</v>
      </c>
      <c r="B1441" t="s">
        <v>24</v>
      </c>
      <c r="C1441" s="18">
        <v>44707</v>
      </c>
      <c r="D1441">
        <v>13</v>
      </c>
    </row>
    <row r="1442" spans="1:4" x14ac:dyDescent="0.3">
      <c r="A1442" t="s">
        <v>780</v>
      </c>
      <c r="B1442" t="s">
        <v>19</v>
      </c>
      <c r="C1442" s="18">
        <v>45035</v>
      </c>
      <c r="D1442">
        <v>25</v>
      </c>
    </row>
    <row r="1443" spans="1:4" x14ac:dyDescent="0.3">
      <c r="A1443" t="s">
        <v>780</v>
      </c>
      <c r="B1443" t="s">
        <v>25</v>
      </c>
      <c r="C1443" s="18">
        <v>44715</v>
      </c>
      <c r="D1443">
        <v>16</v>
      </c>
    </row>
    <row r="1444" spans="1:4" x14ac:dyDescent="0.3">
      <c r="A1444" t="s">
        <v>781</v>
      </c>
      <c r="B1444" t="s">
        <v>23</v>
      </c>
      <c r="C1444" s="18">
        <v>44563</v>
      </c>
      <c r="D1444">
        <v>65</v>
      </c>
    </row>
    <row r="1445" spans="1:4" x14ac:dyDescent="0.3">
      <c r="A1445" t="s">
        <v>781</v>
      </c>
      <c r="B1445" t="s">
        <v>22</v>
      </c>
      <c r="C1445" s="18">
        <v>45014</v>
      </c>
      <c r="D1445">
        <v>62</v>
      </c>
    </row>
    <row r="1446" spans="1:4" x14ac:dyDescent="0.3">
      <c r="A1446" t="s">
        <v>782</v>
      </c>
      <c r="B1446" t="s">
        <v>33</v>
      </c>
      <c r="C1446" s="18">
        <v>44938</v>
      </c>
      <c r="D1446">
        <v>27</v>
      </c>
    </row>
    <row r="1447" spans="1:4" x14ac:dyDescent="0.3">
      <c r="A1447" t="s">
        <v>782</v>
      </c>
      <c r="B1447" t="s">
        <v>25</v>
      </c>
      <c r="C1447" s="18">
        <v>44600</v>
      </c>
      <c r="D1447">
        <v>16</v>
      </c>
    </row>
    <row r="1448" spans="1:4" x14ac:dyDescent="0.3">
      <c r="A1448" t="s">
        <v>783</v>
      </c>
      <c r="B1448" t="s">
        <v>28</v>
      </c>
      <c r="C1448" s="18">
        <v>44795</v>
      </c>
      <c r="D1448">
        <v>66</v>
      </c>
    </row>
    <row r="1449" spans="1:4" x14ac:dyDescent="0.3">
      <c r="A1449" t="s">
        <v>783</v>
      </c>
      <c r="B1449" t="s">
        <v>19</v>
      </c>
      <c r="C1449" s="18">
        <v>44711</v>
      </c>
      <c r="D1449">
        <v>25</v>
      </c>
    </row>
    <row r="1450" spans="1:4" x14ac:dyDescent="0.3">
      <c r="A1450" t="s">
        <v>783</v>
      </c>
      <c r="B1450" t="s">
        <v>34</v>
      </c>
      <c r="C1450" s="18">
        <v>44595</v>
      </c>
      <c r="D1450">
        <v>22</v>
      </c>
    </row>
    <row r="1451" spans="1:4" x14ac:dyDescent="0.3">
      <c r="A1451" t="s">
        <v>784</v>
      </c>
      <c r="B1451" t="s">
        <v>29</v>
      </c>
      <c r="C1451" s="18">
        <v>44757</v>
      </c>
      <c r="D1451">
        <v>28</v>
      </c>
    </row>
    <row r="1452" spans="1:4" x14ac:dyDescent="0.3">
      <c r="A1452" t="s">
        <v>784</v>
      </c>
      <c r="B1452" t="s">
        <v>21</v>
      </c>
      <c r="C1452" s="18">
        <v>44630</v>
      </c>
      <c r="D1452">
        <v>26</v>
      </c>
    </row>
    <row r="1453" spans="1:4" x14ac:dyDescent="0.3">
      <c r="A1453" t="s">
        <v>785</v>
      </c>
      <c r="B1453" t="s">
        <v>33</v>
      </c>
      <c r="C1453" s="18">
        <v>44873</v>
      </c>
      <c r="D1453">
        <v>27</v>
      </c>
    </row>
    <row r="1454" spans="1:4" x14ac:dyDescent="0.3">
      <c r="A1454" t="s">
        <v>785</v>
      </c>
      <c r="B1454" t="s">
        <v>34</v>
      </c>
      <c r="C1454" s="18">
        <v>44846</v>
      </c>
      <c r="D1454">
        <v>22</v>
      </c>
    </row>
    <row r="1455" spans="1:4" x14ac:dyDescent="0.3">
      <c r="A1455" t="s">
        <v>786</v>
      </c>
      <c r="B1455" t="s">
        <v>28</v>
      </c>
      <c r="C1455" s="18">
        <v>44846</v>
      </c>
      <c r="D1455">
        <v>66</v>
      </c>
    </row>
    <row r="1456" spans="1:4" x14ac:dyDescent="0.3">
      <c r="A1456" t="s">
        <v>786</v>
      </c>
      <c r="B1456" t="s">
        <v>27</v>
      </c>
      <c r="C1456" s="18">
        <v>44827</v>
      </c>
      <c r="D1456">
        <v>25</v>
      </c>
    </row>
    <row r="1457" spans="1:4" x14ac:dyDescent="0.3">
      <c r="A1457" t="s">
        <v>787</v>
      </c>
      <c r="B1457" t="s">
        <v>26</v>
      </c>
      <c r="C1457" s="18">
        <v>45045</v>
      </c>
      <c r="D1457">
        <v>29</v>
      </c>
    </row>
    <row r="1458" spans="1:4" x14ac:dyDescent="0.3">
      <c r="A1458" t="s">
        <v>787</v>
      </c>
      <c r="B1458" t="s">
        <v>35</v>
      </c>
      <c r="C1458" s="18">
        <v>44989</v>
      </c>
      <c r="D1458">
        <v>26</v>
      </c>
    </row>
    <row r="1459" spans="1:4" x14ac:dyDescent="0.3">
      <c r="A1459" t="s">
        <v>788</v>
      </c>
      <c r="B1459" t="s">
        <v>28</v>
      </c>
      <c r="C1459" s="18">
        <v>44661</v>
      </c>
      <c r="D1459">
        <v>66</v>
      </c>
    </row>
    <row r="1460" spans="1:4" x14ac:dyDescent="0.3">
      <c r="A1460" t="s">
        <v>788</v>
      </c>
      <c r="B1460" t="s">
        <v>23</v>
      </c>
      <c r="C1460" s="18">
        <v>44903</v>
      </c>
      <c r="D1460">
        <v>65</v>
      </c>
    </row>
    <row r="1461" spans="1:4" x14ac:dyDescent="0.3">
      <c r="A1461" t="s">
        <v>788</v>
      </c>
      <c r="B1461" t="s">
        <v>19</v>
      </c>
      <c r="C1461" s="18">
        <v>44745</v>
      </c>
      <c r="D1461">
        <v>25</v>
      </c>
    </row>
    <row r="1462" spans="1:4" x14ac:dyDescent="0.3">
      <c r="A1462" t="s">
        <v>789</v>
      </c>
      <c r="B1462" t="s">
        <v>31</v>
      </c>
      <c r="C1462" s="18">
        <v>44833</v>
      </c>
      <c r="D1462">
        <v>62</v>
      </c>
    </row>
    <row r="1463" spans="1:4" x14ac:dyDescent="0.3">
      <c r="A1463" t="s">
        <v>790</v>
      </c>
      <c r="B1463" t="s">
        <v>30</v>
      </c>
      <c r="C1463" s="18">
        <v>44710</v>
      </c>
      <c r="D1463">
        <v>75</v>
      </c>
    </row>
    <row r="1464" spans="1:4" x14ac:dyDescent="0.3">
      <c r="A1464" t="s">
        <v>790</v>
      </c>
      <c r="B1464" t="s">
        <v>22</v>
      </c>
      <c r="C1464" s="18">
        <v>45035</v>
      </c>
      <c r="D1464">
        <v>62</v>
      </c>
    </row>
    <row r="1465" spans="1:4" x14ac:dyDescent="0.3">
      <c r="A1465" t="s">
        <v>791</v>
      </c>
      <c r="B1465" t="s">
        <v>23</v>
      </c>
      <c r="C1465" s="18">
        <v>44851</v>
      </c>
      <c r="D1465">
        <v>65</v>
      </c>
    </row>
    <row r="1466" spans="1:4" x14ac:dyDescent="0.3">
      <c r="A1466" t="s">
        <v>791</v>
      </c>
      <c r="B1466" t="s">
        <v>32</v>
      </c>
      <c r="C1466" s="18">
        <v>44938</v>
      </c>
      <c r="D1466">
        <v>14</v>
      </c>
    </row>
    <row r="1467" spans="1:4" x14ac:dyDescent="0.3">
      <c r="A1467" t="s">
        <v>792</v>
      </c>
      <c r="B1467" t="s">
        <v>29</v>
      </c>
      <c r="C1467" s="18">
        <v>44868</v>
      </c>
      <c r="D1467">
        <v>28</v>
      </c>
    </row>
    <row r="1468" spans="1:4" x14ac:dyDescent="0.3">
      <c r="A1468" t="s">
        <v>792</v>
      </c>
      <c r="B1468" t="s">
        <v>32</v>
      </c>
      <c r="C1468" s="18">
        <v>44626</v>
      </c>
      <c r="D1468">
        <v>14</v>
      </c>
    </row>
    <row r="1469" spans="1:4" x14ac:dyDescent="0.3">
      <c r="A1469" t="s">
        <v>793</v>
      </c>
      <c r="B1469" t="s">
        <v>33</v>
      </c>
      <c r="C1469" s="18">
        <v>45014</v>
      </c>
      <c r="D1469">
        <v>27</v>
      </c>
    </row>
    <row r="1470" spans="1:4" x14ac:dyDescent="0.3">
      <c r="A1470" t="s">
        <v>793</v>
      </c>
      <c r="B1470" t="s">
        <v>21</v>
      </c>
      <c r="C1470" s="18">
        <v>44943</v>
      </c>
      <c r="D1470">
        <v>26</v>
      </c>
    </row>
    <row r="1471" spans="1:4" x14ac:dyDescent="0.3">
      <c r="A1471" t="s">
        <v>794</v>
      </c>
      <c r="B1471" t="s">
        <v>26</v>
      </c>
      <c r="C1471" s="18">
        <v>44873</v>
      </c>
      <c r="D1471">
        <v>29</v>
      </c>
    </row>
    <row r="1472" spans="1:4" x14ac:dyDescent="0.3">
      <c r="A1472" t="s">
        <v>795</v>
      </c>
      <c r="B1472" t="s">
        <v>31</v>
      </c>
      <c r="C1472" s="18">
        <v>44634</v>
      </c>
      <c r="D1472">
        <v>62</v>
      </c>
    </row>
    <row r="1473" spans="1:4" x14ac:dyDescent="0.3">
      <c r="A1473" t="s">
        <v>795</v>
      </c>
      <c r="B1473" t="s">
        <v>24</v>
      </c>
      <c r="C1473" s="18">
        <v>44635</v>
      </c>
      <c r="D1473">
        <v>13</v>
      </c>
    </row>
    <row r="1474" spans="1:4" x14ac:dyDescent="0.3">
      <c r="A1474" t="s">
        <v>796</v>
      </c>
      <c r="B1474" t="s">
        <v>31</v>
      </c>
      <c r="C1474" s="18">
        <v>44813</v>
      </c>
      <c r="D1474">
        <v>62</v>
      </c>
    </row>
    <row r="1475" spans="1:4" x14ac:dyDescent="0.3">
      <c r="A1475" t="s">
        <v>796</v>
      </c>
      <c r="B1475" t="s">
        <v>34</v>
      </c>
      <c r="C1475" s="18">
        <v>44796</v>
      </c>
      <c r="D1475">
        <v>22</v>
      </c>
    </row>
    <row r="1476" spans="1:4" x14ac:dyDescent="0.3">
      <c r="A1476" t="s">
        <v>797</v>
      </c>
      <c r="B1476" t="s">
        <v>30</v>
      </c>
      <c r="C1476" s="18">
        <v>44924</v>
      </c>
      <c r="D1476">
        <v>75</v>
      </c>
    </row>
    <row r="1477" spans="1:4" x14ac:dyDescent="0.3">
      <c r="A1477" t="s">
        <v>797</v>
      </c>
      <c r="B1477" t="s">
        <v>27</v>
      </c>
      <c r="C1477" s="18">
        <v>44815</v>
      </c>
      <c r="D1477">
        <v>25</v>
      </c>
    </row>
    <row r="1478" spans="1:4" x14ac:dyDescent="0.3">
      <c r="A1478" t="s">
        <v>797</v>
      </c>
      <c r="B1478" t="s">
        <v>20</v>
      </c>
      <c r="C1478" s="18">
        <v>44977</v>
      </c>
      <c r="D1478">
        <v>10</v>
      </c>
    </row>
    <row r="1479" spans="1:4" x14ac:dyDescent="0.3">
      <c r="A1479" t="s">
        <v>798</v>
      </c>
      <c r="B1479" t="s">
        <v>23</v>
      </c>
      <c r="C1479" s="18">
        <v>44614</v>
      </c>
      <c r="D1479">
        <v>65</v>
      </c>
    </row>
    <row r="1480" spans="1:4" x14ac:dyDescent="0.3">
      <c r="A1480" t="s">
        <v>798</v>
      </c>
      <c r="B1480" t="s">
        <v>24</v>
      </c>
      <c r="C1480" s="18">
        <v>44942</v>
      </c>
      <c r="D1480">
        <v>13</v>
      </c>
    </row>
    <row r="1481" spans="1:4" x14ac:dyDescent="0.3">
      <c r="A1481" t="s">
        <v>799</v>
      </c>
      <c r="B1481" t="s">
        <v>31</v>
      </c>
      <c r="C1481" s="18">
        <v>44726</v>
      </c>
      <c r="D1481">
        <v>62</v>
      </c>
    </row>
    <row r="1482" spans="1:4" x14ac:dyDescent="0.3">
      <c r="A1482" t="s">
        <v>799</v>
      </c>
      <c r="B1482" t="s">
        <v>20</v>
      </c>
      <c r="C1482" s="18">
        <v>44913</v>
      </c>
      <c r="D1482">
        <v>10</v>
      </c>
    </row>
    <row r="1483" spans="1:4" x14ac:dyDescent="0.3">
      <c r="A1483" t="s">
        <v>800</v>
      </c>
      <c r="B1483" t="s">
        <v>31</v>
      </c>
      <c r="C1483" s="18">
        <v>44736</v>
      </c>
      <c r="D1483">
        <v>62</v>
      </c>
    </row>
    <row r="1484" spans="1:4" x14ac:dyDescent="0.3">
      <c r="A1484" t="s">
        <v>800</v>
      </c>
      <c r="B1484" t="s">
        <v>24</v>
      </c>
      <c r="C1484" s="18">
        <v>44991</v>
      </c>
      <c r="D1484">
        <v>13</v>
      </c>
    </row>
    <row r="1485" spans="1:4" x14ac:dyDescent="0.3">
      <c r="A1485" t="s">
        <v>801</v>
      </c>
      <c r="B1485" t="s">
        <v>28</v>
      </c>
      <c r="C1485" s="18">
        <v>44987</v>
      </c>
      <c r="D1485">
        <v>66</v>
      </c>
    </row>
    <row r="1486" spans="1:4" x14ac:dyDescent="0.3">
      <c r="A1486" t="s">
        <v>801</v>
      </c>
      <c r="B1486" t="s">
        <v>29</v>
      </c>
      <c r="C1486" s="18">
        <v>44819</v>
      </c>
      <c r="D1486">
        <v>28</v>
      </c>
    </row>
    <row r="1487" spans="1:4" x14ac:dyDescent="0.3">
      <c r="A1487" t="s">
        <v>801</v>
      </c>
      <c r="B1487" t="s">
        <v>21</v>
      </c>
      <c r="C1487" s="18">
        <v>44960</v>
      </c>
      <c r="D1487">
        <v>26</v>
      </c>
    </row>
    <row r="1488" spans="1:4" x14ac:dyDescent="0.3">
      <c r="A1488" t="s">
        <v>802</v>
      </c>
      <c r="B1488" t="s">
        <v>26</v>
      </c>
      <c r="C1488" s="18">
        <v>44789</v>
      </c>
      <c r="D1488">
        <v>29</v>
      </c>
    </row>
    <row r="1489" spans="1:4" x14ac:dyDescent="0.3">
      <c r="A1489" t="s">
        <v>802</v>
      </c>
      <c r="B1489" t="s">
        <v>35</v>
      </c>
      <c r="C1489" s="18">
        <v>44683</v>
      </c>
      <c r="D1489">
        <v>26</v>
      </c>
    </row>
    <row r="1490" spans="1:4" x14ac:dyDescent="0.3">
      <c r="A1490" t="s">
        <v>803</v>
      </c>
      <c r="B1490" t="s">
        <v>25</v>
      </c>
      <c r="C1490" s="18">
        <v>44665</v>
      </c>
      <c r="D1490">
        <v>16</v>
      </c>
    </row>
    <row r="1491" spans="1:4" x14ac:dyDescent="0.3">
      <c r="A1491" t="s">
        <v>803</v>
      </c>
      <c r="B1491" t="s">
        <v>24</v>
      </c>
      <c r="C1491" s="18">
        <v>44731</v>
      </c>
      <c r="D1491">
        <v>13</v>
      </c>
    </row>
    <row r="1492" spans="1:4" x14ac:dyDescent="0.3">
      <c r="A1492" t="s">
        <v>804</v>
      </c>
      <c r="B1492" t="s">
        <v>35</v>
      </c>
      <c r="C1492" s="18">
        <v>44868</v>
      </c>
      <c r="D1492">
        <v>26</v>
      </c>
    </row>
    <row r="1493" spans="1:4" x14ac:dyDescent="0.3">
      <c r="A1493" t="s">
        <v>804</v>
      </c>
      <c r="B1493" t="s">
        <v>25</v>
      </c>
      <c r="C1493" s="18">
        <v>44958</v>
      </c>
      <c r="D1493">
        <v>16</v>
      </c>
    </row>
    <row r="1494" spans="1:4" x14ac:dyDescent="0.3">
      <c r="A1494" t="s">
        <v>805</v>
      </c>
      <c r="B1494" t="s">
        <v>29</v>
      </c>
      <c r="C1494" s="18">
        <v>44978</v>
      </c>
      <c r="D1494">
        <v>28</v>
      </c>
    </row>
    <row r="1495" spans="1:4" x14ac:dyDescent="0.3">
      <c r="A1495" t="s">
        <v>805</v>
      </c>
      <c r="B1495" t="s">
        <v>32</v>
      </c>
      <c r="C1495" s="18">
        <v>44693</v>
      </c>
      <c r="D1495">
        <v>14</v>
      </c>
    </row>
    <row r="1496" spans="1:4" x14ac:dyDescent="0.3">
      <c r="A1496" t="s">
        <v>806</v>
      </c>
      <c r="B1496" t="s">
        <v>31</v>
      </c>
      <c r="C1496" s="18">
        <v>44880</v>
      </c>
      <c r="D1496">
        <v>62</v>
      </c>
    </row>
    <row r="1497" spans="1:4" x14ac:dyDescent="0.3">
      <c r="A1497" t="s">
        <v>807</v>
      </c>
      <c r="B1497" t="s">
        <v>22</v>
      </c>
      <c r="C1497" s="18">
        <v>44589</v>
      </c>
      <c r="D1497">
        <v>62</v>
      </c>
    </row>
    <row r="1498" spans="1:4" x14ac:dyDescent="0.3">
      <c r="A1498" t="s">
        <v>807</v>
      </c>
      <c r="B1498" t="s">
        <v>33</v>
      </c>
      <c r="C1498" s="18">
        <v>44885</v>
      </c>
      <c r="D1498">
        <v>27</v>
      </c>
    </row>
    <row r="1499" spans="1:4" x14ac:dyDescent="0.3">
      <c r="A1499" t="s">
        <v>808</v>
      </c>
      <c r="B1499" t="s">
        <v>26</v>
      </c>
      <c r="C1499" s="18">
        <v>44941</v>
      </c>
      <c r="D1499">
        <v>29</v>
      </c>
    </row>
    <row r="1500" spans="1:4" x14ac:dyDescent="0.3">
      <c r="A1500" t="s">
        <v>808</v>
      </c>
      <c r="B1500" t="s">
        <v>27</v>
      </c>
      <c r="C1500" s="18">
        <v>45038</v>
      </c>
      <c r="D1500">
        <v>25</v>
      </c>
    </row>
    <row r="1501" spans="1:4" x14ac:dyDescent="0.3">
      <c r="A1501" t="s">
        <v>809</v>
      </c>
      <c r="B1501" t="s">
        <v>29</v>
      </c>
      <c r="C1501" s="18">
        <v>44586</v>
      </c>
      <c r="D1501">
        <v>28</v>
      </c>
    </row>
    <row r="1502" spans="1:4" x14ac:dyDescent="0.3">
      <c r="A1502" t="s">
        <v>809</v>
      </c>
      <c r="B1502" t="s">
        <v>34</v>
      </c>
      <c r="C1502" s="18">
        <v>44851</v>
      </c>
      <c r="D1502">
        <v>22</v>
      </c>
    </row>
    <row r="1503" spans="1:4" x14ac:dyDescent="0.3">
      <c r="A1503" t="s">
        <v>810</v>
      </c>
      <c r="B1503" t="s">
        <v>30</v>
      </c>
      <c r="C1503" s="18">
        <v>44857</v>
      </c>
      <c r="D1503">
        <v>75</v>
      </c>
    </row>
    <row r="1504" spans="1:4" x14ac:dyDescent="0.3">
      <c r="A1504" t="s">
        <v>810</v>
      </c>
      <c r="B1504" t="s">
        <v>23</v>
      </c>
      <c r="C1504" s="18">
        <v>44602</v>
      </c>
      <c r="D1504">
        <v>65</v>
      </c>
    </row>
    <row r="1505" spans="1:4" x14ac:dyDescent="0.3">
      <c r="A1505" t="s">
        <v>811</v>
      </c>
      <c r="B1505" t="s">
        <v>31</v>
      </c>
      <c r="C1505" s="18">
        <v>44945</v>
      </c>
      <c r="D1505">
        <v>62</v>
      </c>
    </row>
    <row r="1506" spans="1:4" x14ac:dyDescent="0.3">
      <c r="A1506" t="s">
        <v>811</v>
      </c>
      <c r="B1506" t="s">
        <v>20</v>
      </c>
      <c r="C1506" s="18">
        <v>44889</v>
      </c>
      <c r="D1506">
        <v>10</v>
      </c>
    </row>
    <row r="1507" spans="1:4" x14ac:dyDescent="0.3">
      <c r="A1507" t="s">
        <v>812</v>
      </c>
      <c r="B1507" t="s">
        <v>28</v>
      </c>
      <c r="C1507" s="18">
        <v>44572</v>
      </c>
      <c r="D1507">
        <v>66</v>
      </c>
    </row>
    <row r="1508" spans="1:4" x14ac:dyDescent="0.3">
      <c r="A1508" t="s">
        <v>812</v>
      </c>
      <c r="B1508" t="s">
        <v>31</v>
      </c>
      <c r="C1508" s="18">
        <v>44879</v>
      </c>
      <c r="D1508">
        <v>62</v>
      </c>
    </row>
    <row r="1509" spans="1:4" x14ac:dyDescent="0.3">
      <c r="A1509" t="s">
        <v>812</v>
      </c>
      <c r="B1509" t="s">
        <v>22</v>
      </c>
      <c r="C1509" s="18">
        <v>44753</v>
      </c>
      <c r="D1509">
        <v>62</v>
      </c>
    </row>
    <row r="1510" spans="1:4" x14ac:dyDescent="0.3">
      <c r="A1510" t="s">
        <v>813</v>
      </c>
      <c r="B1510" t="s">
        <v>22</v>
      </c>
      <c r="C1510" s="18">
        <v>44840</v>
      </c>
      <c r="D1510">
        <v>62</v>
      </c>
    </row>
    <row r="1511" spans="1:4" x14ac:dyDescent="0.3">
      <c r="A1511" t="s">
        <v>813</v>
      </c>
      <c r="B1511" t="s">
        <v>33</v>
      </c>
      <c r="C1511" s="18">
        <v>44812</v>
      </c>
      <c r="D1511">
        <v>27</v>
      </c>
    </row>
    <row r="1512" spans="1:4" x14ac:dyDescent="0.3">
      <c r="A1512" t="s">
        <v>814</v>
      </c>
      <c r="B1512" t="s">
        <v>25</v>
      </c>
      <c r="C1512" s="18">
        <v>44895</v>
      </c>
      <c r="D1512">
        <v>16</v>
      </c>
    </row>
    <row r="1513" spans="1:4" x14ac:dyDescent="0.3">
      <c r="A1513" t="s">
        <v>815</v>
      </c>
      <c r="B1513" t="s">
        <v>33</v>
      </c>
      <c r="C1513" s="18">
        <v>44941</v>
      </c>
      <c r="D1513">
        <v>27</v>
      </c>
    </row>
    <row r="1514" spans="1:4" x14ac:dyDescent="0.3">
      <c r="A1514" t="s">
        <v>815</v>
      </c>
      <c r="B1514" t="s">
        <v>32</v>
      </c>
      <c r="C1514" s="18">
        <v>44597</v>
      </c>
      <c r="D1514">
        <v>14</v>
      </c>
    </row>
    <row r="1515" spans="1:4" x14ac:dyDescent="0.3">
      <c r="A1515" t="s">
        <v>816</v>
      </c>
      <c r="B1515" t="s">
        <v>20</v>
      </c>
      <c r="C1515" s="18">
        <v>44787</v>
      </c>
      <c r="D1515">
        <v>10</v>
      </c>
    </row>
    <row r="1516" spans="1:4" x14ac:dyDescent="0.3">
      <c r="A1516" t="s">
        <v>817</v>
      </c>
      <c r="B1516" t="s">
        <v>22</v>
      </c>
      <c r="C1516" s="18">
        <v>45043</v>
      </c>
      <c r="D1516">
        <v>62</v>
      </c>
    </row>
    <row r="1517" spans="1:4" x14ac:dyDescent="0.3">
      <c r="A1517" t="s">
        <v>817</v>
      </c>
      <c r="B1517" t="s">
        <v>26</v>
      </c>
      <c r="C1517" s="18">
        <v>44965</v>
      </c>
      <c r="D1517">
        <v>29</v>
      </c>
    </row>
    <row r="1518" spans="1:4" x14ac:dyDescent="0.3">
      <c r="A1518" t="s">
        <v>818</v>
      </c>
      <c r="B1518" t="s">
        <v>26</v>
      </c>
      <c r="C1518" s="18">
        <v>44881</v>
      </c>
      <c r="D1518">
        <v>29</v>
      </c>
    </row>
    <row r="1519" spans="1:4" x14ac:dyDescent="0.3">
      <c r="A1519" t="s">
        <v>818</v>
      </c>
      <c r="B1519" t="s">
        <v>25</v>
      </c>
      <c r="C1519" s="18">
        <v>44701</v>
      </c>
      <c r="D1519">
        <v>16</v>
      </c>
    </row>
    <row r="1520" spans="1:4" x14ac:dyDescent="0.3">
      <c r="A1520" t="s">
        <v>819</v>
      </c>
      <c r="B1520" t="s">
        <v>27</v>
      </c>
      <c r="C1520" s="18">
        <v>45035</v>
      </c>
      <c r="D1520">
        <v>25</v>
      </c>
    </row>
    <row r="1521" spans="1:4" x14ac:dyDescent="0.3">
      <c r="A1521" t="s">
        <v>819</v>
      </c>
      <c r="B1521" t="s">
        <v>34</v>
      </c>
      <c r="C1521" s="18">
        <v>44701</v>
      </c>
      <c r="D1521">
        <v>22</v>
      </c>
    </row>
    <row r="1522" spans="1:4" x14ac:dyDescent="0.3">
      <c r="A1522" t="s">
        <v>820</v>
      </c>
      <c r="B1522" t="s">
        <v>22</v>
      </c>
      <c r="C1522" s="18">
        <v>44892</v>
      </c>
      <c r="D1522">
        <v>62</v>
      </c>
    </row>
    <row r="1523" spans="1:4" x14ac:dyDescent="0.3">
      <c r="A1523" t="s">
        <v>820</v>
      </c>
      <c r="B1523" t="s">
        <v>21</v>
      </c>
      <c r="C1523" s="18">
        <v>44959</v>
      </c>
      <c r="D1523">
        <v>26</v>
      </c>
    </row>
    <row r="1524" spans="1:4" x14ac:dyDescent="0.3">
      <c r="A1524" t="s">
        <v>821</v>
      </c>
      <c r="B1524" t="s">
        <v>27</v>
      </c>
      <c r="C1524" s="18">
        <v>44766</v>
      </c>
      <c r="D1524">
        <v>25</v>
      </c>
    </row>
    <row r="1525" spans="1:4" x14ac:dyDescent="0.3">
      <c r="A1525" t="s">
        <v>821</v>
      </c>
      <c r="B1525" t="s">
        <v>24</v>
      </c>
      <c r="C1525" s="18">
        <v>44976</v>
      </c>
      <c r="D1525">
        <v>13</v>
      </c>
    </row>
    <row r="1526" spans="1:4" x14ac:dyDescent="0.3">
      <c r="A1526" t="s">
        <v>822</v>
      </c>
      <c r="B1526" t="s">
        <v>25</v>
      </c>
      <c r="C1526" s="18">
        <v>45034</v>
      </c>
      <c r="D1526">
        <v>16</v>
      </c>
    </row>
    <row r="1527" spans="1:4" x14ac:dyDescent="0.3">
      <c r="A1527" t="s">
        <v>822</v>
      </c>
      <c r="B1527" t="s">
        <v>32</v>
      </c>
      <c r="C1527" s="18">
        <v>45044</v>
      </c>
      <c r="D1527">
        <v>14</v>
      </c>
    </row>
    <row r="1528" spans="1:4" x14ac:dyDescent="0.3">
      <c r="A1528" t="s">
        <v>823</v>
      </c>
      <c r="B1528" t="s">
        <v>32</v>
      </c>
      <c r="C1528" s="18">
        <v>44916</v>
      </c>
      <c r="D1528">
        <v>14</v>
      </c>
    </row>
    <row r="1529" spans="1:4" x14ac:dyDescent="0.3">
      <c r="A1529" t="s">
        <v>823</v>
      </c>
      <c r="B1529" t="s">
        <v>20</v>
      </c>
      <c r="C1529" s="18">
        <v>45017</v>
      </c>
      <c r="D1529">
        <v>10</v>
      </c>
    </row>
    <row r="1530" spans="1:4" x14ac:dyDescent="0.3">
      <c r="A1530" t="s">
        <v>824</v>
      </c>
      <c r="B1530" t="s">
        <v>33</v>
      </c>
      <c r="C1530" s="18">
        <v>44763</v>
      </c>
      <c r="D1530">
        <v>27</v>
      </c>
    </row>
    <row r="1531" spans="1:4" x14ac:dyDescent="0.3">
      <c r="A1531" t="s">
        <v>824</v>
      </c>
      <c r="B1531" t="s">
        <v>19</v>
      </c>
      <c r="C1531" s="18">
        <v>44578</v>
      </c>
      <c r="D1531">
        <v>25</v>
      </c>
    </row>
    <row r="1532" spans="1:4" x14ac:dyDescent="0.3">
      <c r="A1532" t="s">
        <v>825</v>
      </c>
      <c r="B1532" t="s">
        <v>21</v>
      </c>
      <c r="C1532" s="18">
        <v>44766</v>
      </c>
      <c r="D1532">
        <v>26</v>
      </c>
    </row>
    <row r="1533" spans="1:4" x14ac:dyDescent="0.3">
      <c r="A1533" t="s">
        <v>825</v>
      </c>
      <c r="B1533" t="s">
        <v>19</v>
      </c>
      <c r="C1533" s="18">
        <v>44946</v>
      </c>
      <c r="D1533">
        <v>25</v>
      </c>
    </row>
    <row r="1534" spans="1:4" x14ac:dyDescent="0.3">
      <c r="A1534" t="s">
        <v>826</v>
      </c>
      <c r="B1534" t="s">
        <v>27</v>
      </c>
      <c r="C1534" s="18">
        <v>44679</v>
      </c>
      <c r="D1534">
        <v>25</v>
      </c>
    </row>
    <row r="1535" spans="1:4" x14ac:dyDescent="0.3">
      <c r="A1535" t="s">
        <v>826</v>
      </c>
      <c r="B1535" t="s">
        <v>25</v>
      </c>
      <c r="C1535" s="18">
        <v>44624</v>
      </c>
      <c r="D1535">
        <v>16</v>
      </c>
    </row>
    <row r="1536" spans="1:4" x14ac:dyDescent="0.3">
      <c r="A1536" t="s">
        <v>827</v>
      </c>
      <c r="B1536" t="s">
        <v>31</v>
      </c>
      <c r="C1536" s="18">
        <v>44693</v>
      </c>
      <c r="D1536">
        <v>62</v>
      </c>
    </row>
    <row r="1537" spans="1:4" x14ac:dyDescent="0.3">
      <c r="A1537" t="s">
        <v>827</v>
      </c>
      <c r="B1537" t="s">
        <v>32</v>
      </c>
      <c r="C1537" s="18">
        <v>44996</v>
      </c>
      <c r="D1537">
        <v>14</v>
      </c>
    </row>
    <row r="1538" spans="1:4" x14ac:dyDescent="0.3">
      <c r="A1538" t="s">
        <v>828</v>
      </c>
      <c r="B1538" t="s">
        <v>30</v>
      </c>
      <c r="C1538" s="18">
        <v>44700</v>
      </c>
      <c r="D1538">
        <v>75</v>
      </c>
    </row>
    <row r="1539" spans="1:4" x14ac:dyDescent="0.3">
      <c r="A1539" t="s">
        <v>828</v>
      </c>
      <c r="B1539" t="s">
        <v>20</v>
      </c>
      <c r="C1539" s="18">
        <v>44703</v>
      </c>
      <c r="D1539">
        <v>10</v>
      </c>
    </row>
    <row r="1540" spans="1:4" x14ac:dyDescent="0.3">
      <c r="A1540" t="s">
        <v>829</v>
      </c>
      <c r="B1540" t="s">
        <v>23</v>
      </c>
      <c r="C1540" s="18">
        <v>44929</v>
      </c>
      <c r="D1540">
        <v>65</v>
      </c>
    </row>
    <row r="1541" spans="1:4" x14ac:dyDescent="0.3">
      <c r="A1541" t="s">
        <v>829</v>
      </c>
      <c r="B1541" t="s">
        <v>29</v>
      </c>
      <c r="C1541" s="18">
        <v>44564</v>
      </c>
      <c r="D1541">
        <v>28</v>
      </c>
    </row>
    <row r="1542" spans="1:4" x14ac:dyDescent="0.3">
      <c r="A1542" t="s">
        <v>830</v>
      </c>
      <c r="B1542" t="s">
        <v>23</v>
      </c>
      <c r="C1542" s="18">
        <v>44566</v>
      </c>
      <c r="D1542">
        <v>65</v>
      </c>
    </row>
    <row r="1543" spans="1:4" x14ac:dyDescent="0.3">
      <c r="A1543" t="s">
        <v>830</v>
      </c>
      <c r="B1543" t="s">
        <v>35</v>
      </c>
      <c r="C1543" s="18">
        <v>44863</v>
      </c>
      <c r="D1543">
        <v>26</v>
      </c>
    </row>
    <row r="1544" spans="1:4" x14ac:dyDescent="0.3">
      <c r="A1544" t="s">
        <v>831</v>
      </c>
      <c r="B1544" t="s">
        <v>23</v>
      </c>
      <c r="C1544" s="18">
        <v>44798</v>
      </c>
      <c r="D1544">
        <v>65</v>
      </c>
    </row>
    <row r="1545" spans="1:4" x14ac:dyDescent="0.3">
      <c r="A1545" t="s">
        <v>831</v>
      </c>
      <c r="B1545" t="s">
        <v>31</v>
      </c>
      <c r="C1545" s="18">
        <v>44777</v>
      </c>
      <c r="D1545">
        <v>62</v>
      </c>
    </row>
    <row r="1546" spans="1:4" x14ac:dyDescent="0.3">
      <c r="A1546" t="s">
        <v>831</v>
      </c>
      <c r="B1546" t="s">
        <v>21</v>
      </c>
      <c r="C1546" s="18">
        <v>45028</v>
      </c>
      <c r="D1546">
        <v>26</v>
      </c>
    </row>
    <row r="1547" spans="1:4" x14ac:dyDescent="0.3">
      <c r="A1547" t="s">
        <v>832</v>
      </c>
      <c r="B1547" t="s">
        <v>23</v>
      </c>
      <c r="C1547" s="18">
        <v>45017</v>
      </c>
      <c r="D1547">
        <v>65</v>
      </c>
    </row>
    <row r="1548" spans="1:4" x14ac:dyDescent="0.3">
      <c r="A1548" t="s">
        <v>832</v>
      </c>
      <c r="B1548" t="s">
        <v>22</v>
      </c>
      <c r="C1548" s="18">
        <v>44883</v>
      </c>
      <c r="D1548">
        <v>62</v>
      </c>
    </row>
    <row r="1549" spans="1:4" x14ac:dyDescent="0.3">
      <c r="A1549" t="s">
        <v>833</v>
      </c>
      <c r="B1549" t="s">
        <v>21</v>
      </c>
      <c r="C1549" s="18">
        <v>44671</v>
      </c>
      <c r="D1549">
        <v>26</v>
      </c>
    </row>
    <row r="1550" spans="1:4" x14ac:dyDescent="0.3">
      <c r="A1550" t="s">
        <v>833</v>
      </c>
      <c r="B1550" t="s">
        <v>20</v>
      </c>
      <c r="C1550" s="18">
        <v>44933</v>
      </c>
      <c r="D1550">
        <v>10</v>
      </c>
    </row>
    <row r="1551" spans="1:4" x14ac:dyDescent="0.3">
      <c r="A1551" t="s">
        <v>834</v>
      </c>
      <c r="B1551" t="s">
        <v>26</v>
      </c>
      <c r="C1551" s="18">
        <v>44942</v>
      </c>
      <c r="D1551">
        <v>29</v>
      </c>
    </row>
    <row r="1552" spans="1:4" x14ac:dyDescent="0.3">
      <c r="A1552" t="s">
        <v>834</v>
      </c>
      <c r="B1552" t="s">
        <v>35</v>
      </c>
      <c r="C1552" s="18">
        <v>45022</v>
      </c>
      <c r="D1552">
        <v>26</v>
      </c>
    </row>
    <row r="1553" spans="1:4" x14ac:dyDescent="0.3">
      <c r="A1553" t="s">
        <v>835</v>
      </c>
      <c r="B1553" t="s">
        <v>28</v>
      </c>
      <c r="C1553" s="18">
        <v>44658</v>
      </c>
      <c r="D1553">
        <v>66</v>
      </c>
    </row>
    <row r="1554" spans="1:4" x14ac:dyDescent="0.3">
      <c r="A1554" t="s">
        <v>835</v>
      </c>
      <c r="B1554" t="s">
        <v>32</v>
      </c>
      <c r="C1554" s="18">
        <v>44807</v>
      </c>
      <c r="D1554">
        <v>14</v>
      </c>
    </row>
    <row r="1555" spans="1:4" x14ac:dyDescent="0.3">
      <c r="A1555" t="s">
        <v>836</v>
      </c>
      <c r="B1555" t="s">
        <v>22</v>
      </c>
      <c r="C1555" s="18">
        <v>45021</v>
      </c>
      <c r="D1555">
        <v>62</v>
      </c>
    </row>
    <row r="1556" spans="1:4" x14ac:dyDescent="0.3">
      <c r="A1556" t="s">
        <v>836</v>
      </c>
      <c r="B1556" t="s">
        <v>21</v>
      </c>
      <c r="C1556" s="18">
        <v>44739</v>
      </c>
      <c r="D1556">
        <v>26</v>
      </c>
    </row>
    <row r="1557" spans="1:4" x14ac:dyDescent="0.3">
      <c r="A1557" t="s">
        <v>837</v>
      </c>
      <c r="B1557" t="s">
        <v>30</v>
      </c>
      <c r="C1557" s="18">
        <v>44684</v>
      </c>
      <c r="D1557">
        <v>75</v>
      </c>
    </row>
    <row r="1558" spans="1:4" x14ac:dyDescent="0.3">
      <c r="A1558" t="s">
        <v>837</v>
      </c>
      <c r="B1558" t="s">
        <v>19</v>
      </c>
      <c r="C1558" s="18">
        <v>44804</v>
      </c>
      <c r="D1558">
        <v>25</v>
      </c>
    </row>
    <row r="1559" spans="1:4" x14ac:dyDescent="0.3">
      <c r="A1559" t="s">
        <v>838</v>
      </c>
      <c r="B1559" t="s">
        <v>31</v>
      </c>
      <c r="C1559" s="18">
        <v>44637</v>
      </c>
      <c r="D1559">
        <v>62</v>
      </c>
    </row>
    <row r="1560" spans="1:4" x14ac:dyDescent="0.3">
      <c r="A1560" t="s">
        <v>838</v>
      </c>
      <c r="B1560" t="s">
        <v>21</v>
      </c>
      <c r="C1560" s="18">
        <v>44876</v>
      </c>
      <c r="D1560">
        <v>26</v>
      </c>
    </row>
    <row r="1561" spans="1:4" x14ac:dyDescent="0.3">
      <c r="A1561" t="s">
        <v>839</v>
      </c>
      <c r="B1561" t="s">
        <v>29</v>
      </c>
      <c r="C1561" s="18">
        <v>44738</v>
      </c>
      <c r="D1561">
        <v>28</v>
      </c>
    </row>
    <row r="1562" spans="1:4" x14ac:dyDescent="0.3">
      <c r="A1562" t="s">
        <v>839</v>
      </c>
      <c r="B1562" t="s">
        <v>19</v>
      </c>
      <c r="C1562" s="18">
        <v>44916</v>
      </c>
      <c r="D1562">
        <v>25</v>
      </c>
    </row>
    <row r="1563" spans="1:4" x14ac:dyDescent="0.3">
      <c r="A1563" t="s">
        <v>840</v>
      </c>
      <c r="B1563" t="s">
        <v>26</v>
      </c>
      <c r="C1563" s="18">
        <v>44873</v>
      </c>
      <c r="D1563">
        <v>29</v>
      </c>
    </row>
    <row r="1564" spans="1:4" x14ac:dyDescent="0.3">
      <c r="A1564" t="s">
        <v>841</v>
      </c>
      <c r="B1564" t="s">
        <v>28</v>
      </c>
      <c r="C1564" s="18">
        <v>44686</v>
      </c>
      <c r="D1564">
        <v>66</v>
      </c>
    </row>
    <row r="1565" spans="1:4" x14ac:dyDescent="0.3">
      <c r="A1565" t="s">
        <v>841</v>
      </c>
      <c r="B1565" t="s">
        <v>31</v>
      </c>
      <c r="C1565" s="18">
        <v>44772</v>
      </c>
      <c r="D1565">
        <v>62</v>
      </c>
    </row>
    <row r="1566" spans="1:4" x14ac:dyDescent="0.3">
      <c r="A1566" t="s">
        <v>842</v>
      </c>
      <c r="B1566" t="s">
        <v>22</v>
      </c>
      <c r="C1566" s="18">
        <v>44927</v>
      </c>
      <c r="D1566">
        <v>62</v>
      </c>
    </row>
    <row r="1567" spans="1:4" x14ac:dyDescent="0.3">
      <c r="A1567" t="s">
        <v>842</v>
      </c>
      <c r="B1567" t="s">
        <v>27</v>
      </c>
      <c r="C1567" s="18">
        <v>44700</v>
      </c>
      <c r="D1567">
        <v>25</v>
      </c>
    </row>
    <row r="1568" spans="1:4" x14ac:dyDescent="0.3">
      <c r="A1568" t="s">
        <v>843</v>
      </c>
      <c r="B1568" t="s">
        <v>31</v>
      </c>
      <c r="C1568" s="18">
        <v>44665</v>
      </c>
      <c r="D1568">
        <v>62</v>
      </c>
    </row>
    <row r="1569" spans="1:4" x14ac:dyDescent="0.3">
      <c r="A1569" t="s">
        <v>843</v>
      </c>
      <c r="B1569" t="s">
        <v>34</v>
      </c>
      <c r="C1569" s="18">
        <v>44685</v>
      </c>
      <c r="D1569">
        <v>22</v>
      </c>
    </row>
    <row r="1570" spans="1:4" x14ac:dyDescent="0.3">
      <c r="A1570" t="s">
        <v>844</v>
      </c>
      <c r="B1570" t="s">
        <v>33</v>
      </c>
      <c r="C1570" s="18">
        <v>44971</v>
      </c>
      <c r="D1570">
        <v>27</v>
      </c>
    </row>
    <row r="1571" spans="1:4" x14ac:dyDescent="0.3">
      <c r="A1571" t="s">
        <v>844</v>
      </c>
      <c r="B1571" t="s">
        <v>35</v>
      </c>
      <c r="C1571" s="18">
        <v>44977</v>
      </c>
      <c r="D1571">
        <v>26</v>
      </c>
    </row>
    <row r="1572" spans="1:4" x14ac:dyDescent="0.3">
      <c r="A1572" t="s">
        <v>845</v>
      </c>
      <c r="B1572" t="s">
        <v>26</v>
      </c>
      <c r="C1572" s="18">
        <v>44900</v>
      </c>
      <c r="D1572">
        <v>29</v>
      </c>
    </row>
    <row r="1573" spans="1:4" x14ac:dyDescent="0.3">
      <c r="A1573" t="s">
        <v>845</v>
      </c>
      <c r="B1573" t="s">
        <v>34</v>
      </c>
      <c r="C1573" s="18">
        <v>44885</v>
      </c>
      <c r="D1573">
        <v>22</v>
      </c>
    </row>
    <row r="1574" spans="1:4" x14ac:dyDescent="0.3">
      <c r="A1574" t="s">
        <v>845</v>
      </c>
      <c r="B1574" t="s">
        <v>20</v>
      </c>
      <c r="C1574" s="18">
        <v>44928</v>
      </c>
      <c r="D1574">
        <v>10</v>
      </c>
    </row>
    <row r="1575" spans="1:4" x14ac:dyDescent="0.3">
      <c r="A1575" t="s">
        <v>846</v>
      </c>
      <c r="B1575" t="s">
        <v>23</v>
      </c>
      <c r="C1575" s="18">
        <v>44799</v>
      </c>
      <c r="D1575">
        <v>65</v>
      </c>
    </row>
    <row r="1576" spans="1:4" x14ac:dyDescent="0.3">
      <c r="A1576" t="s">
        <v>846</v>
      </c>
      <c r="B1576" t="s">
        <v>21</v>
      </c>
      <c r="C1576" s="18">
        <v>44604</v>
      </c>
      <c r="D1576">
        <v>26</v>
      </c>
    </row>
    <row r="1577" spans="1:4" x14ac:dyDescent="0.3">
      <c r="A1577" t="s">
        <v>847</v>
      </c>
      <c r="B1577" t="s">
        <v>27</v>
      </c>
      <c r="C1577" s="18">
        <v>44625</v>
      </c>
      <c r="D1577">
        <v>25</v>
      </c>
    </row>
    <row r="1578" spans="1:4" x14ac:dyDescent="0.3">
      <c r="A1578" t="s">
        <v>847</v>
      </c>
      <c r="B1578" t="s">
        <v>20</v>
      </c>
      <c r="C1578" s="18">
        <v>44745</v>
      </c>
      <c r="D1578">
        <v>10</v>
      </c>
    </row>
    <row r="1579" spans="1:4" x14ac:dyDescent="0.3">
      <c r="A1579" t="s">
        <v>848</v>
      </c>
      <c r="B1579" t="s">
        <v>31</v>
      </c>
      <c r="C1579" s="18">
        <v>44706</v>
      </c>
      <c r="D1579">
        <v>62</v>
      </c>
    </row>
    <row r="1580" spans="1:4" x14ac:dyDescent="0.3">
      <c r="A1580" t="s">
        <v>848</v>
      </c>
      <c r="B1580" t="s">
        <v>29</v>
      </c>
      <c r="C1580" s="18">
        <v>44980</v>
      </c>
      <c r="D1580">
        <v>28</v>
      </c>
    </row>
    <row r="1581" spans="1:4" x14ac:dyDescent="0.3">
      <c r="A1581" t="s">
        <v>849</v>
      </c>
      <c r="B1581" t="s">
        <v>29</v>
      </c>
      <c r="C1581" s="18">
        <v>44984</v>
      </c>
      <c r="D1581">
        <v>28</v>
      </c>
    </row>
    <row r="1582" spans="1:4" x14ac:dyDescent="0.3">
      <c r="A1582" t="s">
        <v>850</v>
      </c>
      <c r="B1582" t="s">
        <v>19</v>
      </c>
      <c r="C1582" s="18">
        <v>44740</v>
      </c>
      <c r="D1582">
        <v>25</v>
      </c>
    </row>
    <row r="1583" spans="1:4" x14ac:dyDescent="0.3">
      <c r="A1583" t="s">
        <v>850</v>
      </c>
      <c r="B1583" t="s">
        <v>25</v>
      </c>
      <c r="C1583" s="18">
        <v>44892</v>
      </c>
      <c r="D1583">
        <v>16</v>
      </c>
    </row>
    <row r="1584" spans="1:4" x14ac:dyDescent="0.3">
      <c r="A1584" t="s">
        <v>851</v>
      </c>
      <c r="B1584" t="s">
        <v>27</v>
      </c>
      <c r="C1584" s="18">
        <v>44806</v>
      </c>
      <c r="D1584">
        <v>25</v>
      </c>
    </row>
    <row r="1585" spans="1:4" x14ac:dyDescent="0.3">
      <c r="A1585" t="s">
        <v>851</v>
      </c>
      <c r="B1585" t="s">
        <v>24</v>
      </c>
      <c r="C1585" s="18">
        <v>44784</v>
      </c>
      <c r="D1585">
        <v>13</v>
      </c>
    </row>
    <row r="1586" spans="1:4" x14ac:dyDescent="0.3">
      <c r="A1586" t="s">
        <v>852</v>
      </c>
      <c r="B1586" t="s">
        <v>22</v>
      </c>
      <c r="C1586" s="18">
        <v>44864</v>
      </c>
      <c r="D1586">
        <v>62</v>
      </c>
    </row>
    <row r="1587" spans="1:4" x14ac:dyDescent="0.3">
      <c r="A1587" t="s">
        <v>852</v>
      </c>
      <c r="B1587" t="s">
        <v>27</v>
      </c>
      <c r="C1587" s="18">
        <v>44616</v>
      </c>
      <c r="D1587">
        <v>25</v>
      </c>
    </row>
    <row r="1588" spans="1:4" x14ac:dyDescent="0.3">
      <c r="A1588" t="s">
        <v>853</v>
      </c>
      <c r="B1588" t="s">
        <v>30</v>
      </c>
      <c r="C1588" s="18">
        <v>44966</v>
      </c>
      <c r="D1588">
        <v>75</v>
      </c>
    </row>
    <row r="1589" spans="1:4" x14ac:dyDescent="0.3">
      <c r="A1589" t="s">
        <v>853</v>
      </c>
      <c r="B1589" t="s">
        <v>28</v>
      </c>
      <c r="C1589" s="18">
        <v>44897</v>
      </c>
      <c r="D1589">
        <v>66</v>
      </c>
    </row>
    <row r="1590" spans="1:4" x14ac:dyDescent="0.3">
      <c r="A1590" t="s">
        <v>854</v>
      </c>
      <c r="B1590" t="s">
        <v>29</v>
      </c>
      <c r="C1590" s="18">
        <v>44711</v>
      </c>
      <c r="D1590">
        <v>28</v>
      </c>
    </row>
    <row r="1591" spans="1:4" x14ac:dyDescent="0.3">
      <c r="A1591" t="s">
        <v>854</v>
      </c>
      <c r="B1591" t="s">
        <v>35</v>
      </c>
      <c r="C1591" s="18">
        <v>45039</v>
      </c>
      <c r="D1591">
        <v>26</v>
      </c>
    </row>
    <row r="1592" spans="1:4" x14ac:dyDescent="0.3">
      <c r="A1592" t="s">
        <v>855</v>
      </c>
      <c r="B1592" t="s">
        <v>28</v>
      </c>
      <c r="C1592" s="18">
        <v>44967</v>
      </c>
      <c r="D1592">
        <v>66</v>
      </c>
    </row>
    <row r="1593" spans="1:4" x14ac:dyDescent="0.3">
      <c r="A1593" t="s">
        <v>855</v>
      </c>
      <c r="B1593" t="s">
        <v>31</v>
      </c>
      <c r="C1593" s="18">
        <v>44994</v>
      </c>
      <c r="D1593">
        <v>62</v>
      </c>
    </row>
    <row r="1594" spans="1:4" x14ac:dyDescent="0.3">
      <c r="A1594" t="s">
        <v>855</v>
      </c>
      <c r="B1594" t="s">
        <v>33</v>
      </c>
      <c r="C1594" s="18">
        <v>44993</v>
      </c>
      <c r="D1594">
        <v>27</v>
      </c>
    </row>
    <row r="1595" spans="1:4" x14ac:dyDescent="0.3">
      <c r="A1595" t="s">
        <v>856</v>
      </c>
      <c r="B1595" t="s">
        <v>19</v>
      </c>
      <c r="C1595" s="18">
        <v>44676</v>
      </c>
      <c r="D1595">
        <v>25</v>
      </c>
    </row>
    <row r="1596" spans="1:4" x14ac:dyDescent="0.3">
      <c r="A1596" t="s">
        <v>856</v>
      </c>
      <c r="B1596" t="s">
        <v>25</v>
      </c>
      <c r="C1596" s="18">
        <v>45022</v>
      </c>
      <c r="D1596">
        <v>16</v>
      </c>
    </row>
    <row r="1597" spans="1:4" x14ac:dyDescent="0.3">
      <c r="A1597" t="s">
        <v>857</v>
      </c>
      <c r="B1597" t="s">
        <v>22</v>
      </c>
      <c r="C1597" s="18">
        <v>44629</v>
      </c>
      <c r="D1597">
        <v>62</v>
      </c>
    </row>
    <row r="1598" spans="1:4" x14ac:dyDescent="0.3">
      <c r="A1598" t="s">
        <v>857</v>
      </c>
      <c r="B1598" t="s">
        <v>26</v>
      </c>
      <c r="C1598" s="18">
        <v>44835</v>
      </c>
      <c r="D1598">
        <v>29</v>
      </c>
    </row>
    <row r="1599" spans="1:4" x14ac:dyDescent="0.3">
      <c r="A1599" t="s">
        <v>858</v>
      </c>
      <c r="B1599" t="s">
        <v>20</v>
      </c>
      <c r="C1599" s="18">
        <v>44825</v>
      </c>
      <c r="D1599">
        <v>10</v>
      </c>
    </row>
    <row r="1600" spans="1:4" x14ac:dyDescent="0.3">
      <c r="A1600" t="s">
        <v>859</v>
      </c>
      <c r="B1600" t="s">
        <v>26</v>
      </c>
      <c r="C1600" s="18">
        <v>44939</v>
      </c>
      <c r="D1600">
        <v>29</v>
      </c>
    </row>
    <row r="1601" spans="1:4" x14ac:dyDescent="0.3">
      <c r="A1601" t="s">
        <v>859</v>
      </c>
      <c r="B1601" t="s">
        <v>35</v>
      </c>
      <c r="C1601" s="18">
        <v>44608</v>
      </c>
      <c r="D1601">
        <v>26</v>
      </c>
    </row>
    <row r="1602" spans="1:4" x14ac:dyDescent="0.3">
      <c r="A1602" t="s">
        <v>860</v>
      </c>
      <c r="B1602" t="s">
        <v>30</v>
      </c>
      <c r="C1602" s="18">
        <v>44722</v>
      </c>
      <c r="D1602">
        <v>75</v>
      </c>
    </row>
    <row r="1603" spans="1:4" x14ac:dyDescent="0.3">
      <c r="A1603" t="s">
        <v>860</v>
      </c>
      <c r="B1603" t="s">
        <v>33</v>
      </c>
      <c r="C1603" s="18">
        <v>44978</v>
      </c>
      <c r="D1603">
        <v>27</v>
      </c>
    </row>
    <row r="1604" spans="1:4" x14ac:dyDescent="0.3">
      <c r="A1604" t="s">
        <v>861</v>
      </c>
      <c r="B1604" t="s">
        <v>34</v>
      </c>
      <c r="C1604" s="18">
        <v>44631</v>
      </c>
      <c r="D1604">
        <v>22</v>
      </c>
    </row>
    <row r="1605" spans="1:4" x14ac:dyDescent="0.3">
      <c r="A1605" t="s">
        <v>861</v>
      </c>
      <c r="B1605" t="s">
        <v>20</v>
      </c>
      <c r="C1605" s="18">
        <v>44865</v>
      </c>
      <c r="D1605">
        <v>10</v>
      </c>
    </row>
    <row r="1606" spans="1:4" x14ac:dyDescent="0.3">
      <c r="A1606" t="s">
        <v>862</v>
      </c>
      <c r="B1606" t="s">
        <v>35</v>
      </c>
      <c r="C1606" s="18">
        <v>44861</v>
      </c>
      <c r="D1606">
        <v>26</v>
      </c>
    </row>
    <row r="1607" spans="1:4" x14ac:dyDescent="0.3">
      <c r="A1607" t="s">
        <v>862</v>
      </c>
      <c r="B1607" t="s">
        <v>25</v>
      </c>
      <c r="C1607" s="18">
        <v>44925</v>
      </c>
      <c r="D1607">
        <v>16</v>
      </c>
    </row>
    <row r="1608" spans="1:4" x14ac:dyDescent="0.3">
      <c r="A1608" t="s">
        <v>863</v>
      </c>
      <c r="B1608" t="s">
        <v>26</v>
      </c>
      <c r="C1608" s="18">
        <v>44900</v>
      </c>
      <c r="D1608">
        <v>29</v>
      </c>
    </row>
    <row r="1609" spans="1:4" x14ac:dyDescent="0.3">
      <c r="A1609" t="s">
        <v>863</v>
      </c>
      <c r="B1609" t="s">
        <v>21</v>
      </c>
      <c r="C1609" s="18">
        <v>44800</v>
      </c>
      <c r="D1609">
        <v>26</v>
      </c>
    </row>
    <row r="1610" spans="1:4" x14ac:dyDescent="0.3">
      <c r="A1610" t="s">
        <v>863</v>
      </c>
      <c r="B1610" t="s">
        <v>19</v>
      </c>
      <c r="C1610" s="18">
        <v>44605</v>
      </c>
      <c r="D1610">
        <v>25</v>
      </c>
    </row>
    <row r="1611" spans="1:4" x14ac:dyDescent="0.3">
      <c r="A1611" t="s">
        <v>864</v>
      </c>
      <c r="B1611" t="s">
        <v>31</v>
      </c>
      <c r="C1611" s="18">
        <v>44810</v>
      </c>
      <c r="D1611">
        <v>62</v>
      </c>
    </row>
    <row r="1612" spans="1:4" x14ac:dyDescent="0.3">
      <c r="A1612" t="s">
        <v>864</v>
      </c>
      <c r="B1612" t="s">
        <v>21</v>
      </c>
      <c r="C1612" s="18">
        <v>44568</v>
      </c>
      <c r="D1612">
        <v>26</v>
      </c>
    </row>
    <row r="1613" spans="1:4" x14ac:dyDescent="0.3">
      <c r="A1613" t="s">
        <v>865</v>
      </c>
      <c r="B1613" t="s">
        <v>23</v>
      </c>
      <c r="C1613" s="18">
        <v>44821</v>
      </c>
      <c r="D1613">
        <v>65</v>
      </c>
    </row>
    <row r="1614" spans="1:4" x14ac:dyDescent="0.3">
      <c r="A1614" t="s">
        <v>865</v>
      </c>
      <c r="B1614" t="s">
        <v>32</v>
      </c>
      <c r="C1614" s="18">
        <v>44982</v>
      </c>
      <c r="D1614">
        <v>14</v>
      </c>
    </row>
    <row r="1615" spans="1:4" x14ac:dyDescent="0.3">
      <c r="A1615" t="s">
        <v>866</v>
      </c>
      <c r="B1615" t="s">
        <v>28</v>
      </c>
      <c r="C1615" s="18">
        <v>45040</v>
      </c>
      <c r="D1615">
        <v>66</v>
      </c>
    </row>
    <row r="1616" spans="1:4" x14ac:dyDescent="0.3">
      <c r="A1616" t="s">
        <v>866</v>
      </c>
      <c r="B1616" t="s">
        <v>25</v>
      </c>
      <c r="C1616" s="18">
        <v>45033</v>
      </c>
      <c r="D1616">
        <v>16</v>
      </c>
    </row>
    <row r="1617" spans="1:4" x14ac:dyDescent="0.3">
      <c r="A1617" t="s">
        <v>867</v>
      </c>
      <c r="B1617" t="s">
        <v>28</v>
      </c>
      <c r="C1617" s="18">
        <v>44792</v>
      </c>
      <c r="D1617">
        <v>66</v>
      </c>
    </row>
    <row r="1618" spans="1:4" x14ac:dyDescent="0.3">
      <c r="A1618" t="s">
        <v>867</v>
      </c>
      <c r="B1618" t="s">
        <v>26</v>
      </c>
      <c r="C1618" s="18">
        <v>44794</v>
      </c>
      <c r="D1618">
        <v>29</v>
      </c>
    </row>
    <row r="1619" spans="1:4" x14ac:dyDescent="0.3">
      <c r="A1619" t="s">
        <v>868</v>
      </c>
      <c r="B1619" t="s">
        <v>26</v>
      </c>
      <c r="C1619" s="18">
        <v>44992</v>
      </c>
      <c r="D1619">
        <v>29</v>
      </c>
    </row>
    <row r="1620" spans="1:4" x14ac:dyDescent="0.3">
      <c r="A1620" t="s">
        <v>868</v>
      </c>
      <c r="B1620" t="s">
        <v>25</v>
      </c>
      <c r="C1620" s="18">
        <v>44701</v>
      </c>
      <c r="D1620">
        <v>16</v>
      </c>
    </row>
    <row r="1621" spans="1:4" x14ac:dyDescent="0.3">
      <c r="A1621" t="s">
        <v>869</v>
      </c>
      <c r="B1621" t="s">
        <v>31</v>
      </c>
      <c r="C1621" s="18">
        <v>45021</v>
      </c>
      <c r="D1621">
        <v>62</v>
      </c>
    </row>
    <row r="1622" spans="1:4" x14ac:dyDescent="0.3">
      <c r="A1622" t="s">
        <v>869</v>
      </c>
      <c r="B1622" t="s">
        <v>21</v>
      </c>
      <c r="C1622" s="18">
        <v>44573</v>
      </c>
      <c r="D1622">
        <v>26</v>
      </c>
    </row>
    <row r="1623" spans="1:4" x14ac:dyDescent="0.3">
      <c r="A1623" t="s">
        <v>869</v>
      </c>
      <c r="B1623" t="s">
        <v>34</v>
      </c>
      <c r="C1623" s="18">
        <v>44758</v>
      </c>
      <c r="D1623">
        <v>22</v>
      </c>
    </row>
    <row r="1624" spans="1:4" x14ac:dyDescent="0.3">
      <c r="A1624" t="s">
        <v>870</v>
      </c>
      <c r="B1624" t="s">
        <v>33</v>
      </c>
      <c r="C1624" s="18">
        <v>44738</v>
      </c>
      <c r="D1624">
        <v>27</v>
      </c>
    </row>
    <row r="1625" spans="1:4" x14ac:dyDescent="0.3">
      <c r="A1625" t="s">
        <v>870</v>
      </c>
      <c r="B1625" t="s">
        <v>27</v>
      </c>
      <c r="C1625" s="18">
        <v>44672</v>
      </c>
      <c r="D1625">
        <v>25</v>
      </c>
    </row>
    <row r="1626" spans="1:4" x14ac:dyDescent="0.3">
      <c r="A1626" t="s">
        <v>870</v>
      </c>
      <c r="B1626" t="s">
        <v>24</v>
      </c>
      <c r="C1626" s="18">
        <v>44776</v>
      </c>
      <c r="D1626">
        <v>13</v>
      </c>
    </row>
    <row r="1627" spans="1:4" x14ac:dyDescent="0.3">
      <c r="A1627" t="s">
        <v>871</v>
      </c>
      <c r="B1627" t="s">
        <v>22</v>
      </c>
      <c r="C1627" s="18">
        <v>44847</v>
      </c>
      <c r="D1627">
        <v>62</v>
      </c>
    </row>
    <row r="1628" spans="1:4" x14ac:dyDescent="0.3">
      <c r="A1628" t="s">
        <v>871</v>
      </c>
      <c r="B1628" t="s">
        <v>27</v>
      </c>
      <c r="C1628" s="18">
        <v>44940</v>
      </c>
      <c r="D1628">
        <v>25</v>
      </c>
    </row>
    <row r="1629" spans="1:4" x14ac:dyDescent="0.3">
      <c r="A1629" t="s">
        <v>872</v>
      </c>
      <c r="B1629" t="s">
        <v>28</v>
      </c>
      <c r="C1629" s="18">
        <v>44597</v>
      </c>
      <c r="D1629">
        <v>66</v>
      </c>
    </row>
    <row r="1630" spans="1:4" x14ac:dyDescent="0.3">
      <c r="A1630" t="s">
        <v>873</v>
      </c>
      <c r="B1630" t="s">
        <v>31</v>
      </c>
      <c r="C1630" s="18">
        <v>44639</v>
      </c>
      <c r="D1630">
        <v>62</v>
      </c>
    </row>
    <row r="1631" spans="1:4" x14ac:dyDescent="0.3">
      <c r="A1631" t="s">
        <v>873</v>
      </c>
      <c r="B1631" t="s">
        <v>25</v>
      </c>
      <c r="C1631" s="18">
        <v>44938</v>
      </c>
      <c r="D1631">
        <v>16</v>
      </c>
    </row>
    <row r="1632" spans="1:4" x14ac:dyDescent="0.3">
      <c r="A1632" t="s">
        <v>874</v>
      </c>
      <c r="B1632" t="s">
        <v>25</v>
      </c>
      <c r="C1632" s="18">
        <v>44924</v>
      </c>
      <c r="D1632">
        <v>16</v>
      </c>
    </row>
    <row r="1633" spans="1:4" x14ac:dyDescent="0.3">
      <c r="A1633" t="s">
        <v>875</v>
      </c>
      <c r="B1633" t="s">
        <v>35</v>
      </c>
      <c r="C1633" s="18">
        <v>45005</v>
      </c>
      <c r="D1633">
        <v>26</v>
      </c>
    </row>
    <row r="1634" spans="1:4" x14ac:dyDescent="0.3">
      <c r="A1634" t="s">
        <v>875</v>
      </c>
      <c r="B1634" t="s">
        <v>27</v>
      </c>
      <c r="C1634" s="18">
        <v>45027</v>
      </c>
      <c r="D1634">
        <v>25</v>
      </c>
    </row>
    <row r="1635" spans="1:4" x14ac:dyDescent="0.3">
      <c r="A1635" t="s">
        <v>875</v>
      </c>
      <c r="B1635" t="s">
        <v>34</v>
      </c>
      <c r="C1635" s="18">
        <v>44578</v>
      </c>
      <c r="D1635">
        <v>22</v>
      </c>
    </row>
    <row r="1636" spans="1:4" x14ac:dyDescent="0.3">
      <c r="A1636" t="s">
        <v>876</v>
      </c>
      <c r="B1636" t="s">
        <v>33</v>
      </c>
      <c r="C1636" s="18">
        <v>44932</v>
      </c>
      <c r="D1636">
        <v>27</v>
      </c>
    </row>
    <row r="1637" spans="1:4" x14ac:dyDescent="0.3">
      <c r="A1637" t="s">
        <v>876</v>
      </c>
      <c r="B1637" t="s">
        <v>35</v>
      </c>
      <c r="C1637" s="18">
        <v>44870</v>
      </c>
      <c r="D1637">
        <v>26</v>
      </c>
    </row>
    <row r="1638" spans="1:4" x14ac:dyDescent="0.3">
      <c r="A1638" t="s">
        <v>877</v>
      </c>
      <c r="B1638" t="s">
        <v>22</v>
      </c>
      <c r="C1638" s="18">
        <v>44970</v>
      </c>
      <c r="D1638">
        <v>62</v>
      </c>
    </row>
    <row r="1639" spans="1:4" x14ac:dyDescent="0.3">
      <c r="A1639" t="s">
        <v>877</v>
      </c>
      <c r="B1639" t="s">
        <v>34</v>
      </c>
      <c r="C1639" s="18">
        <v>44967</v>
      </c>
      <c r="D1639">
        <v>22</v>
      </c>
    </row>
    <row r="1640" spans="1:4" x14ac:dyDescent="0.3">
      <c r="A1640" t="s">
        <v>878</v>
      </c>
      <c r="B1640" t="s">
        <v>30</v>
      </c>
      <c r="C1640" s="18">
        <v>44894</v>
      </c>
      <c r="D1640">
        <v>75</v>
      </c>
    </row>
    <row r="1641" spans="1:4" x14ac:dyDescent="0.3">
      <c r="A1641" t="s">
        <v>878</v>
      </c>
      <c r="B1641" t="s">
        <v>27</v>
      </c>
      <c r="C1641" s="18">
        <v>44567</v>
      </c>
      <c r="D1641">
        <v>25</v>
      </c>
    </row>
    <row r="1642" spans="1:4" x14ac:dyDescent="0.3">
      <c r="A1642" t="s">
        <v>879</v>
      </c>
      <c r="B1642" t="s">
        <v>23</v>
      </c>
      <c r="C1642" s="18">
        <v>44837</v>
      </c>
      <c r="D1642">
        <v>65</v>
      </c>
    </row>
    <row r="1643" spans="1:4" x14ac:dyDescent="0.3">
      <c r="A1643" t="s">
        <v>879</v>
      </c>
      <c r="B1643" t="s">
        <v>19</v>
      </c>
      <c r="C1643" s="18">
        <v>44608</v>
      </c>
      <c r="D1643">
        <v>25</v>
      </c>
    </row>
    <row r="1644" spans="1:4" x14ac:dyDescent="0.3">
      <c r="A1644" t="s">
        <v>880</v>
      </c>
      <c r="B1644" t="s">
        <v>22</v>
      </c>
      <c r="C1644" s="18">
        <v>44682</v>
      </c>
      <c r="D1644">
        <v>62</v>
      </c>
    </row>
    <row r="1645" spans="1:4" x14ac:dyDescent="0.3">
      <c r="A1645" t="s">
        <v>880</v>
      </c>
      <c r="B1645" t="s">
        <v>27</v>
      </c>
      <c r="C1645" s="18">
        <v>44730</v>
      </c>
      <c r="D1645">
        <v>25</v>
      </c>
    </row>
    <row r="1646" spans="1:4" x14ac:dyDescent="0.3">
      <c r="A1646" t="s">
        <v>880</v>
      </c>
      <c r="B1646" t="s">
        <v>19</v>
      </c>
      <c r="C1646" s="18">
        <v>44777</v>
      </c>
      <c r="D1646">
        <v>25</v>
      </c>
    </row>
    <row r="1647" spans="1:4" x14ac:dyDescent="0.3">
      <c r="A1647" t="s">
        <v>881</v>
      </c>
      <c r="B1647" t="s">
        <v>30</v>
      </c>
      <c r="C1647" s="18">
        <v>44604</v>
      </c>
      <c r="D1647">
        <v>75</v>
      </c>
    </row>
    <row r="1648" spans="1:4" x14ac:dyDescent="0.3">
      <c r="A1648" t="s">
        <v>881</v>
      </c>
      <c r="B1648" t="s">
        <v>23</v>
      </c>
      <c r="C1648" s="18">
        <v>44827</v>
      </c>
      <c r="D1648">
        <v>65</v>
      </c>
    </row>
    <row r="1649" spans="1:4" x14ac:dyDescent="0.3">
      <c r="A1649" t="s">
        <v>882</v>
      </c>
      <c r="B1649" t="s">
        <v>31</v>
      </c>
      <c r="C1649" s="18">
        <v>44909</v>
      </c>
      <c r="D1649">
        <v>62</v>
      </c>
    </row>
    <row r="1650" spans="1:4" x14ac:dyDescent="0.3">
      <c r="A1650" t="s">
        <v>882</v>
      </c>
      <c r="B1650" t="s">
        <v>22</v>
      </c>
      <c r="C1650" s="18">
        <v>44834</v>
      </c>
      <c r="D1650">
        <v>62</v>
      </c>
    </row>
    <row r="1651" spans="1:4" x14ac:dyDescent="0.3">
      <c r="A1651" t="s">
        <v>883</v>
      </c>
      <c r="B1651" t="s">
        <v>35</v>
      </c>
      <c r="C1651" s="18">
        <v>44875</v>
      </c>
      <c r="D1651">
        <v>26</v>
      </c>
    </row>
    <row r="1652" spans="1:4" x14ac:dyDescent="0.3">
      <c r="A1652" t="s">
        <v>884</v>
      </c>
      <c r="B1652" t="s">
        <v>30</v>
      </c>
      <c r="C1652" s="18">
        <v>44902</v>
      </c>
      <c r="D1652">
        <v>75</v>
      </c>
    </row>
    <row r="1653" spans="1:4" x14ac:dyDescent="0.3">
      <c r="A1653" t="s">
        <v>884</v>
      </c>
      <c r="B1653" t="s">
        <v>24</v>
      </c>
      <c r="C1653" s="18">
        <v>44850</v>
      </c>
      <c r="D1653">
        <v>13</v>
      </c>
    </row>
    <row r="1654" spans="1:4" x14ac:dyDescent="0.3">
      <c r="A1654" t="s">
        <v>884</v>
      </c>
      <c r="B1654" t="s">
        <v>20</v>
      </c>
      <c r="C1654" s="18">
        <v>44983</v>
      </c>
      <c r="D1654">
        <v>10</v>
      </c>
    </row>
    <row r="1655" spans="1:4" x14ac:dyDescent="0.3">
      <c r="A1655" t="s">
        <v>885</v>
      </c>
      <c r="B1655" t="s">
        <v>21</v>
      </c>
      <c r="C1655" s="18">
        <v>45023</v>
      </c>
      <c r="D1655">
        <v>26</v>
      </c>
    </row>
    <row r="1656" spans="1:4" x14ac:dyDescent="0.3">
      <c r="A1656" t="s">
        <v>886</v>
      </c>
      <c r="B1656" t="s">
        <v>22</v>
      </c>
      <c r="C1656" s="18">
        <v>44806</v>
      </c>
      <c r="D1656">
        <v>62</v>
      </c>
    </row>
    <row r="1657" spans="1:4" x14ac:dyDescent="0.3">
      <c r="A1657" t="s">
        <v>886</v>
      </c>
      <c r="B1657" t="s">
        <v>29</v>
      </c>
      <c r="C1657" s="18">
        <v>44922</v>
      </c>
      <c r="D1657">
        <v>28</v>
      </c>
    </row>
    <row r="1658" spans="1:4" x14ac:dyDescent="0.3">
      <c r="A1658" t="s">
        <v>886</v>
      </c>
      <c r="B1658" t="s">
        <v>21</v>
      </c>
      <c r="C1658" s="18">
        <v>44748</v>
      </c>
      <c r="D1658">
        <v>26</v>
      </c>
    </row>
    <row r="1659" spans="1:4" x14ac:dyDescent="0.3">
      <c r="A1659" t="s">
        <v>887</v>
      </c>
      <c r="B1659" t="s">
        <v>28</v>
      </c>
      <c r="C1659" s="18">
        <v>44792</v>
      </c>
      <c r="D1659">
        <v>66</v>
      </c>
    </row>
    <row r="1660" spans="1:4" x14ac:dyDescent="0.3">
      <c r="A1660" t="s">
        <v>887</v>
      </c>
      <c r="B1660" t="s">
        <v>26</v>
      </c>
      <c r="C1660" s="18">
        <v>44898</v>
      </c>
      <c r="D1660">
        <v>29</v>
      </c>
    </row>
    <row r="1661" spans="1:4" x14ac:dyDescent="0.3">
      <c r="A1661" t="s">
        <v>888</v>
      </c>
      <c r="B1661" t="s">
        <v>22</v>
      </c>
      <c r="C1661" s="18">
        <v>44827</v>
      </c>
      <c r="D1661">
        <v>62</v>
      </c>
    </row>
    <row r="1662" spans="1:4" x14ac:dyDescent="0.3">
      <c r="A1662" t="s">
        <v>888</v>
      </c>
      <c r="B1662" t="s">
        <v>34</v>
      </c>
      <c r="C1662" s="18">
        <v>44698</v>
      </c>
      <c r="D1662">
        <v>22</v>
      </c>
    </row>
    <row r="1663" spans="1:4" x14ac:dyDescent="0.3">
      <c r="A1663" t="s">
        <v>889</v>
      </c>
      <c r="B1663" t="s">
        <v>28</v>
      </c>
      <c r="C1663" s="18">
        <v>44956</v>
      </c>
      <c r="D1663">
        <v>66</v>
      </c>
    </row>
    <row r="1664" spans="1:4" x14ac:dyDescent="0.3">
      <c r="A1664" t="s">
        <v>890</v>
      </c>
      <c r="B1664" t="s">
        <v>34</v>
      </c>
      <c r="C1664" s="18">
        <v>44755</v>
      </c>
      <c r="D1664">
        <v>22</v>
      </c>
    </row>
    <row r="1665" spans="1:4" x14ac:dyDescent="0.3">
      <c r="A1665" t="s">
        <v>890</v>
      </c>
      <c r="B1665" t="s">
        <v>32</v>
      </c>
      <c r="C1665" s="18">
        <v>44769</v>
      </c>
      <c r="D1665">
        <v>14</v>
      </c>
    </row>
    <row r="1666" spans="1:4" x14ac:dyDescent="0.3">
      <c r="A1666" t="s">
        <v>891</v>
      </c>
      <c r="B1666" t="s">
        <v>23</v>
      </c>
      <c r="C1666" s="18">
        <v>44953</v>
      </c>
      <c r="D1666">
        <v>65</v>
      </c>
    </row>
    <row r="1667" spans="1:4" x14ac:dyDescent="0.3">
      <c r="A1667" t="s">
        <v>891</v>
      </c>
      <c r="B1667" t="s">
        <v>26</v>
      </c>
      <c r="C1667" s="18">
        <v>44816</v>
      </c>
      <c r="D1667">
        <v>29</v>
      </c>
    </row>
    <row r="1668" spans="1:4" x14ac:dyDescent="0.3">
      <c r="A1668" t="s">
        <v>891</v>
      </c>
      <c r="B1668" t="s">
        <v>21</v>
      </c>
      <c r="C1668" s="18">
        <v>44706</v>
      </c>
      <c r="D1668">
        <v>26</v>
      </c>
    </row>
    <row r="1669" spans="1:4" x14ac:dyDescent="0.3">
      <c r="A1669" t="s">
        <v>892</v>
      </c>
      <c r="B1669" t="s">
        <v>28</v>
      </c>
      <c r="C1669" s="18">
        <v>44578</v>
      </c>
      <c r="D1669">
        <v>66</v>
      </c>
    </row>
    <row r="1670" spans="1:4" x14ac:dyDescent="0.3">
      <c r="A1670" t="s">
        <v>892</v>
      </c>
      <c r="B1670" t="s">
        <v>35</v>
      </c>
      <c r="C1670" s="18">
        <v>45013</v>
      </c>
      <c r="D1670">
        <v>26</v>
      </c>
    </row>
    <row r="1671" spans="1:4" x14ac:dyDescent="0.3">
      <c r="A1671" t="s">
        <v>893</v>
      </c>
      <c r="B1671" t="s">
        <v>19</v>
      </c>
      <c r="C1671" s="18">
        <v>44957</v>
      </c>
      <c r="D1671">
        <v>25</v>
      </c>
    </row>
    <row r="1672" spans="1:4" x14ac:dyDescent="0.3">
      <c r="A1672" t="s">
        <v>893</v>
      </c>
      <c r="B1672" t="s">
        <v>34</v>
      </c>
      <c r="C1672" s="18">
        <v>44678</v>
      </c>
      <c r="D1672">
        <v>22</v>
      </c>
    </row>
    <row r="1673" spans="1:4" x14ac:dyDescent="0.3">
      <c r="A1673" t="s">
        <v>894</v>
      </c>
      <c r="B1673" t="s">
        <v>30</v>
      </c>
      <c r="C1673" s="18">
        <v>44658</v>
      </c>
      <c r="D1673">
        <v>75</v>
      </c>
    </row>
    <row r="1674" spans="1:4" x14ac:dyDescent="0.3">
      <c r="A1674" t="s">
        <v>894</v>
      </c>
      <c r="B1674" t="s">
        <v>25</v>
      </c>
      <c r="C1674" s="18">
        <v>44649</v>
      </c>
      <c r="D1674">
        <v>16</v>
      </c>
    </row>
    <row r="1675" spans="1:4" x14ac:dyDescent="0.3">
      <c r="A1675" t="s">
        <v>895</v>
      </c>
      <c r="B1675" t="s">
        <v>31</v>
      </c>
      <c r="C1675" s="18">
        <v>44644</v>
      </c>
      <c r="D1675">
        <v>62</v>
      </c>
    </row>
    <row r="1676" spans="1:4" x14ac:dyDescent="0.3">
      <c r="A1676" t="s">
        <v>895</v>
      </c>
      <c r="B1676" t="s">
        <v>22</v>
      </c>
      <c r="C1676" s="18">
        <v>44834</v>
      </c>
      <c r="D1676">
        <v>62</v>
      </c>
    </row>
    <row r="1677" spans="1:4" x14ac:dyDescent="0.3">
      <c r="A1677" t="s">
        <v>896</v>
      </c>
      <c r="B1677" t="s">
        <v>30</v>
      </c>
      <c r="C1677" s="18">
        <v>44924</v>
      </c>
      <c r="D1677">
        <v>75</v>
      </c>
    </row>
    <row r="1678" spans="1:4" x14ac:dyDescent="0.3">
      <c r="A1678" t="s">
        <v>896</v>
      </c>
      <c r="B1678" t="s">
        <v>23</v>
      </c>
      <c r="C1678" s="18">
        <v>44779</v>
      </c>
      <c r="D1678">
        <v>65</v>
      </c>
    </row>
    <row r="1679" spans="1:4" x14ac:dyDescent="0.3">
      <c r="A1679" t="s">
        <v>897</v>
      </c>
      <c r="B1679" t="s">
        <v>19</v>
      </c>
      <c r="C1679" s="18">
        <v>44732</v>
      </c>
      <c r="D1679">
        <v>25</v>
      </c>
    </row>
    <row r="1680" spans="1:4" x14ac:dyDescent="0.3">
      <c r="A1680" t="s">
        <v>897</v>
      </c>
      <c r="B1680" t="s">
        <v>32</v>
      </c>
      <c r="C1680" s="18">
        <v>44565</v>
      </c>
      <c r="D1680">
        <v>14</v>
      </c>
    </row>
    <row r="1681" spans="1:4" x14ac:dyDescent="0.3">
      <c r="A1681" t="s">
        <v>898</v>
      </c>
      <c r="B1681" t="s">
        <v>22</v>
      </c>
      <c r="C1681" s="18">
        <v>44790</v>
      </c>
      <c r="D1681">
        <v>62</v>
      </c>
    </row>
    <row r="1682" spans="1:4" x14ac:dyDescent="0.3">
      <c r="A1682" t="s">
        <v>898</v>
      </c>
      <c r="B1682" t="s">
        <v>24</v>
      </c>
      <c r="C1682" s="18">
        <v>44663</v>
      </c>
      <c r="D1682">
        <v>13</v>
      </c>
    </row>
    <row r="1683" spans="1:4" x14ac:dyDescent="0.3">
      <c r="A1683" t="s">
        <v>899</v>
      </c>
      <c r="B1683" t="s">
        <v>28</v>
      </c>
      <c r="C1683" s="18">
        <v>44804</v>
      </c>
      <c r="D1683">
        <v>66</v>
      </c>
    </row>
    <row r="1684" spans="1:4" x14ac:dyDescent="0.3">
      <c r="A1684" t="s">
        <v>899</v>
      </c>
      <c r="B1684" t="s">
        <v>20</v>
      </c>
      <c r="C1684" s="18">
        <v>44721</v>
      </c>
      <c r="D1684">
        <v>10</v>
      </c>
    </row>
    <row r="1685" spans="1:4" x14ac:dyDescent="0.3">
      <c r="A1685" t="s">
        <v>900</v>
      </c>
      <c r="B1685" t="s">
        <v>27</v>
      </c>
      <c r="C1685" s="18">
        <v>44772</v>
      </c>
      <c r="D1685">
        <v>25</v>
      </c>
    </row>
    <row r="1686" spans="1:4" x14ac:dyDescent="0.3">
      <c r="A1686" t="s">
        <v>900</v>
      </c>
      <c r="B1686" t="s">
        <v>24</v>
      </c>
      <c r="C1686" s="18">
        <v>44663</v>
      </c>
      <c r="D1686">
        <v>13</v>
      </c>
    </row>
    <row r="1687" spans="1:4" x14ac:dyDescent="0.3">
      <c r="A1687" t="s">
        <v>901</v>
      </c>
      <c r="B1687" t="s">
        <v>31</v>
      </c>
      <c r="C1687" s="18">
        <v>44747</v>
      </c>
      <c r="D1687">
        <v>62</v>
      </c>
    </row>
    <row r="1688" spans="1:4" x14ac:dyDescent="0.3">
      <c r="A1688" t="s">
        <v>901</v>
      </c>
      <c r="B1688" t="s">
        <v>24</v>
      </c>
      <c r="C1688" s="18">
        <v>44676</v>
      </c>
      <c r="D1688">
        <v>13</v>
      </c>
    </row>
    <row r="1689" spans="1:4" x14ac:dyDescent="0.3">
      <c r="A1689" t="s">
        <v>902</v>
      </c>
      <c r="B1689" t="s">
        <v>29</v>
      </c>
      <c r="C1689" s="18">
        <v>44877</v>
      </c>
      <c r="D1689">
        <v>28</v>
      </c>
    </row>
    <row r="1690" spans="1:4" x14ac:dyDescent="0.3">
      <c r="A1690" t="s">
        <v>902</v>
      </c>
      <c r="B1690" t="s">
        <v>34</v>
      </c>
      <c r="C1690" s="18">
        <v>44622</v>
      </c>
      <c r="D1690">
        <v>22</v>
      </c>
    </row>
    <row r="1691" spans="1:4" x14ac:dyDescent="0.3">
      <c r="A1691" t="s">
        <v>903</v>
      </c>
      <c r="B1691" t="s">
        <v>21</v>
      </c>
      <c r="C1691" s="18">
        <v>44667</v>
      </c>
      <c r="D1691">
        <v>26</v>
      </c>
    </row>
    <row r="1692" spans="1:4" x14ac:dyDescent="0.3">
      <c r="A1692" t="s">
        <v>903</v>
      </c>
      <c r="B1692" t="s">
        <v>27</v>
      </c>
      <c r="C1692" s="18">
        <v>44626</v>
      </c>
      <c r="D1692">
        <v>25</v>
      </c>
    </row>
    <row r="1693" spans="1:4" x14ac:dyDescent="0.3">
      <c r="A1693" t="s">
        <v>904</v>
      </c>
      <c r="B1693" t="s">
        <v>19</v>
      </c>
      <c r="C1693" s="18">
        <v>44624</v>
      </c>
      <c r="D1693">
        <v>25</v>
      </c>
    </row>
    <row r="1694" spans="1:4" x14ac:dyDescent="0.3">
      <c r="A1694" t="s">
        <v>905</v>
      </c>
      <c r="B1694" t="s">
        <v>31</v>
      </c>
      <c r="C1694" s="18">
        <v>45004</v>
      </c>
      <c r="D1694">
        <v>62</v>
      </c>
    </row>
    <row r="1695" spans="1:4" x14ac:dyDescent="0.3">
      <c r="A1695" t="s">
        <v>905</v>
      </c>
      <c r="B1695" t="s">
        <v>20</v>
      </c>
      <c r="C1695" s="18">
        <v>44736</v>
      </c>
      <c r="D1695">
        <v>10</v>
      </c>
    </row>
    <row r="1696" spans="1:4" x14ac:dyDescent="0.3">
      <c r="A1696" t="s">
        <v>906</v>
      </c>
      <c r="B1696" t="s">
        <v>25</v>
      </c>
      <c r="C1696" s="18">
        <v>44900</v>
      </c>
      <c r="D1696">
        <v>16</v>
      </c>
    </row>
    <row r="1697" spans="1:4" x14ac:dyDescent="0.3">
      <c r="A1697" t="s">
        <v>906</v>
      </c>
      <c r="B1697" t="s">
        <v>32</v>
      </c>
      <c r="C1697" s="18">
        <v>44902</v>
      </c>
      <c r="D1697">
        <v>14</v>
      </c>
    </row>
    <row r="1698" spans="1:4" x14ac:dyDescent="0.3">
      <c r="A1698" t="s">
        <v>907</v>
      </c>
      <c r="B1698" t="s">
        <v>35</v>
      </c>
      <c r="C1698" s="18">
        <v>44993</v>
      </c>
      <c r="D1698">
        <v>26</v>
      </c>
    </row>
    <row r="1699" spans="1:4" x14ac:dyDescent="0.3">
      <c r="A1699" t="s">
        <v>907</v>
      </c>
      <c r="B1699" t="s">
        <v>34</v>
      </c>
      <c r="C1699" s="18">
        <v>44718</v>
      </c>
      <c r="D1699">
        <v>22</v>
      </c>
    </row>
    <row r="1700" spans="1:4" x14ac:dyDescent="0.3">
      <c r="A1700" t="s">
        <v>908</v>
      </c>
      <c r="B1700" t="s">
        <v>30</v>
      </c>
      <c r="C1700" s="18">
        <v>44739</v>
      </c>
      <c r="D1700">
        <v>75</v>
      </c>
    </row>
    <row r="1701" spans="1:4" x14ac:dyDescent="0.3">
      <c r="A1701" t="s">
        <v>908</v>
      </c>
      <c r="B1701" t="s">
        <v>29</v>
      </c>
      <c r="C1701" s="18">
        <v>44870</v>
      </c>
      <c r="D1701">
        <v>28</v>
      </c>
    </row>
    <row r="1702" spans="1:4" x14ac:dyDescent="0.3">
      <c r="A1702" t="s">
        <v>909</v>
      </c>
      <c r="B1702" t="s">
        <v>28</v>
      </c>
      <c r="C1702" s="18">
        <v>45022</v>
      </c>
      <c r="D1702">
        <v>66</v>
      </c>
    </row>
    <row r="1703" spans="1:4" x14ac:dyDescent="0.3">
      <c r="A1703" t="s">
        <v>909</v>
      </c>
      <c r="B1703" t="s">
        <v>31</v>
      </c>
      <c r="C1703" s="18">
        <v>45020</v>
      </c>
      <c r="D1703">
        <v>62</v>
      </c>
    </row>
    <row r="1704" spans="1:4" x14ac:dyDescent="0.3">
      <c r="A1704" t="s">
        <v>909</v>
      </c>
      <c r="B1704" t="s">
        <v>29</v>
      </c>
      <c r="C1704" s="18">
        <v>44809</v>
      </c>
      <c r="D1704">
        <v>28</v>
      </c>
    </row>
    <row r="1705" spans="1:4" x14ac:dyDescent="0.3">
      <c r="A1705" t="s">
        <v>910</v>
      </c>
      <c r="B1705" t="s">
        <v>22</v>
      </c>
      <c r="C1705" s="18">
        <v>44840</v>
      </c>
      <c r="D1705">
        <v>62</v>
      </c>
    </row>
    <row r="1706" spans="1:4" x14ac:dyDescent="0.3">
      <c r="A1706" t="s">
        <v>910</v>
      </c>
      <c r="B1706" t="s">
        <v>19</v>
      </c>
      <c r="C1706" s="18">
        <v>44883</v>
      </c>
      <c r="D1706">
        <v>25</v>
      </c>
    </row>
    <row r="1707" spans="1:4" x14ac:dyDescent="0.3">
      <c r="A1707" t="s">
        <v>911</v>
      </c>
      <c r="B1707" t="s">
        <v>26</v>
      </c>
      <c r="C1707" s="18">
        <v>44844</v>
      </c>
      <c r="D1707">
        <v>29</v>
      </c>
    </row>
    <row r="1708" spans="1:4" x14ac:dyDescent="0.3">
      <c r="A1708" t="s">
        <v>911</v>
      </c>
      <c r="B1708" t="s">
        <v>19</v>
      </c>
      <c r="C1708" s="18">
        <v>44606</v>
      </c>
      <c r="D1708">
        <v>25</v>
      </c>
    </row>
    <row r="1709" spans="1:4" x14ac:dyDescent="0.3">
      <c r="A1709" t="s">
        <v>912</v>
      </c>
      <c r="B1709" t="s">
        <v>28</v>
      </c>
      <c r="C1709" s="18">
        <v>44901</v>
      </c>
      <c r="D1709">
        <v>66</v>
      </c>
    </row>
    <row r="1710" spans="1:4" x14ac:dyDescent="0.3">
      <c r="A1710" t="s">
        <v>912</v>
      </c>
      <c r="B1710" t="s">
        <v>20</v>
      </c>
      <c r="C1710" s="18">
        <v>44974</v>
      </c>
      <c r="D1710">
        <v>10</v>
      </c>
    </row>
    <row r="1711" spans="1:4" x14ac:dyDescent="0.3">
      <c r="A1711" t="s">
        <v>913</v>
      </c>
      <c r="B1711" t="s">
        <v>29</v>
      </c>
      <c r="C1711" s="18">
        <v>44901</v>
      </c>
      <c r="D1711">
        <v>28</v>
      </c>
    </row>
    <row r="1712" spans="1:4" x14ac:dyDescent="0.3">
      <c r="A1712" t="s">
        <v>913</v>
      </c>
      <c r="B1712" t="s">
        <v>25</v>
      </c>
      <c r="C1712" s="18">
        <v>44698</v>
      </c>
      <c r="D1712">
        <v>16</v>
      </c>
    </row>
    <row r="1713" spans="1:4" x14ac:dyDescent="0.3">
      <c r="A1713" t="s">
        <v>913</v>
      </c>
      <c r="B1713" t="s">
        <v>24</v>
      </c>
      <c r="C1713" s="18">
        <v>44673</v>
      </c>
      <c r="D1713">
        <v>13</v>
      </c>
    </row>
    <row r="1714" spans="1:4" x14ac:dyDescent="0.3">
      <c r="A1714" t="s">
        <v>914</v>
      </c>
      <c r="B1714" t="s">
        <v>23</v>
      </c>
      <c r="C1714" s="18">
        <v>44562</v>
      </c>
      <c r="D1714">
        <v>65</v>
      </c>
    </row>
    <row r="1715" spans="1:4" x14ac:dyDescent="0.3">
      <c r="A1715" t="s">
        <v>915</v>
      </c>
      <c r="B1715" t="s">
        <v>31</v>
      </c>
      <c r="C1715" s="18">
        <v>44677</v>
      </c>
      <c r="D1715">
        <v>62</v>
      </c>
    </row>
    <row r="1716" spans="1:4" x14ac:dyDescent="0.3">
      <c r="A1716" t="s">
        <v>916</v>
      </c>
      <c r="B1716" t="s">
        <v>22</v>
      </c>
      <c r="C1716" s="18">
        <v>44790</v>
      </c>
      <c r="D1716">
        <v>62</v>
      </c>
    </row>
    <row r="1717" spans="1:4" x14ac:dyDescent="0.3">
      <c r="A1717" t="s">
        <v>916</v>
      </c>
      <c r="B1717" t="s">
        <v>21</v>
      </c>
      <c r="C1717" s="18">
        <v>44986</v>
      </c>
      <c r="D1717">
        <v>26</v>
      </c>
    </row>
    <row r="1718" spans="1:4" x14ac:dyDescent="0.3">
      <c r="A1718" t="s">
        <v>917</v>
      </c>
      <c r="B1718" t="s">
        <v>23</v>
      </c>
      <c r="C1718" s="18">
        <v>44986</v>
      </c>
      <c r="D1718">
        <v>65</v>
      </c>
    </row>
    <row r="1719" spans="1:4" x14ac:dyDescent="0.3">
      <c r="A1719" t="s">
        <v>917</v>
      </c>
      <c r="B1719" t="s">
        <v>22</v>
      </c>
      <c r="C1719" s="18">
        <v>44746</v>
      </c>
      <c r="D1719">
        <v>62</v>
      </c>
    </row>
    <row r="1720" spans="1:4" x14ac:dyDescent="0.3">
      <c r="A1720" t="s">
        <v>917</v>
      </c>
      <c r="B1720" t="s">
        <v>27</v>
      </c>
      <c r="C1720" s="18">
        <v>44943</v>
      </c>
      <c r="D1720">
        <v>25</v>
      </c>
    </row>
    <row r="1721" spans="1:4" x14ac:dyDescent="0.3">
      <c r="A1721" t="s">
        <v>918</v>
      </c>
      <c r="B1721" t="s">
        <v>28</v>
      </c>
      <c r="C1721" s="18">
        <v>44584</v>
      </c>
      <c r="D1721">
        <v>66</v>
      </c>
    </row>
    <row r="1722" spans="1:4" x14ac:dyDescent="0.3">
      <c r="A1722" t="s">
        <v>918</v>
      </c>
      <c r="B1722" t="s">
        <v>27</v>
      </c>
      <c r="C1722" s="18">
        <v>44874</v>
      </c>
      <c r="D1722">
        <v>25</v>
      </c>
    </row>
    <row r="1723" spans="1:4" x14ac:dyDescent="0.3">
      <c r="A1723" t="s">
        <v>919</v>
      </c>
      <c r="B1723" t="s">
        <v>26</v>
      </c>
      <c r="C1723" s="18">
        <v>44859</v>
      </c>
      <c r="D1723">
        <v>29</v>
      </c>
    </row>
    <row r="1724" spans="1:4" x14ac:dyDescent="0.3">
      <c r="A1724" t="s">
        <v>919</v>
      </c>
      <c r="B1724" t="s">
        <v>24</v>
      </c>
      <c r="C1724" s="18">
        <v>44882</v>
      </c>
      <c r="D1724">
        <v>13</v>
      </c>
    </row>
    <row r="1725" spans="1:4" x14ac:dyDescent="0.3">
      <c r="A1725" t="s">
        <v>920</v>
      </c>
      <c r="B1725" t="s">
        <v>28</v>
      </c>
      <c r="C1725" s="18">
        <v>44605</v>
      </c>
      <c r="D1725">
        <v>66</v>
      </c>
    </row>
    <row r="1726" spans="1:4" x14ac:dyDescent="0.3">
      <c r="A1726" t="s">
        <v>920</v>
      </c>
      <c r="B1726" t="s">
        <v>33</v>
      </c>
      <c r="C1726" s="18">
        <v>45042</v>
      </c>
      <c r="D1726">
        <v>27</v>
      </c>
    </row>
    <row r="1727" spans="1:4" x14ac:dyDescent="0.3">
      <c r="A1727" t="s">
        <v>921</v>
      </c>
      <c r="B1727" t="s">
        <v>30</v>
      </c>
      <c r="C1727" s="18">
        <v>44765</v>
      </c>
      <c r="D1727">
        <v>75</v>
      </c>
    </row>
    <row r="1728" spans="1:4" x14ac:dyDescent="0.3">
      <c r="A1728" t="s">
        <v>921</v>
      </c>
      <c r="B1728" t="s">
        <v>35</v>
      </c>
      <c r="C1728" s="18">
        <v>44788</v>
      </c>
      <c r="D1728">
        <v>26</v>
      </c>
    </row>
    <row r="1729" spans="1:4" x14ac:dyDescent="0.3">
      <c r="A1729" t="s">
        <v>922</v>
      </c>
      <c r="B1729" t="s">
        <v>30</v>
      </c>
      <c r="C1729" s="18">
        <v>44596</v>
      </c>
      <c r="D1729">
        <v>75</v>
      </c>
    </row>
    <row r="1730" spans="1:4" x14ac:dyDescent="0.3">
      <c r="A1730" t="s">
        <v>922</v>
      </c>
      <c r="B1730" t="s">
        <v>34</v>
      </c>
      <c r="C1730" s="18">
        <v>44820</v>
      </c>
      <c r="D1730">
        <v>22</v>
      </c>
    </row>
    <row r="1731" spans="1:4" x14ac:dyDescent="0.3">
      <c r="A1731" t="s">
        <v>922</v>
      </c>
      <c r="B1731" t="s">
        <v>20</v>
      </c>
      <c r="C1731" s="18">
        <v>44852</v>
      </c>
      <c r="D1731">
        <v>10</v>
      </c>
    </row>
    <row r="1732" spans="1:4" x14ac:dyDescent="0.3">
      <c r="A1732" t="s">
        <v>923</v>
      </c>
      <c r="B1732" t="s">
        <v>22</v>
      </c>
      <c r="C1732" s="18">
        <v>44991</v>
      </c>
      <c r="D1732">
        <v>62</v>
      </c>
    </row>
    <row r="1733" spans="1:4" x14ac:dyDescent="0.3">
      <c r="A1733" t="s">
        <v>923</v>
      </c>
      <c r="B1733" t="s">
        <v>34</v>
      </c>
      <c r="C1733" s="18">
        <v>44906</v>
      </c>
      <c r="D1733">
        <v>22</v>
      </c>
    </row>
    <row r="1734" spans="1:4" x14ac:dyDescent="0.3">
      <c r="A1734" t="s">
        <v>923</v>
      </c>
      <c r="B1734" t="s">
        <v>32</v>
      </c>
      <c r="C1734" s="18">
        <v>44831</v>
      </c>
      <c r="D1734">
        <v>14</v>
      </c>
    </row>
    <row r="1735" spans="1:4" x14ac:dyDescent="0.3">
      <c r="A1735" t="s">
        <v>924</v>
      </c>
      <c r="B1735" t="s">
        <v>22</v>
      </c>
      <c r="C1735" s="18">
        <v>45001</v>
      </c>
      <c r="D1735">
        <v>62</v>
      </c>
    </row>
    <row r="1736" spans="1:4" x14ac:dyDescent="0.3">
      <c r="A1736" t="s">
        <v>924</v>
      </c>
      <c r="B1736" t="s">
        <v>19</v>
      </c>
      <c r="C1736" s="18">
        <v>44858</v>
      </c>
      <c r="D1736">
        <v>25</v>
      </c>
    </row>
    <row r="1737" spans="1:4" x14ac:dyDescent="0.3">
      <c r="A1737" t="s">
        <v>924</v>
      </c>
      <c r="B1737" t="s">
        <v>34</v>
      </c>
      <c r="C1737" s="18">
        <v>44745</v>
      </c>
      <c r="D1737">
        <v>22</v>
      </c>
    </row>
    <row r="1738" spans="1:4" x14ac:dyDescent="0.3">
      <c r="A1738" t="s">
        <v>925</v>
      </c>
      <c r="B1738" t="s">
        <v>21</v>
      </c>
      <c r="C1738" s="18">
        <v>44622</v>
      </c>
      <c r="D1738">
        <v>26</v>
      </c>
    </row>
    <row r="1739" spans="1:4" x14ac:dyDescent="0.3">
      <c r="A1739" t="s">
        <v>926</v>
      </c>
      <c r="B1739" t="s">
        <v>23</v>
      </c>
      <c r="C1739" s="18">
        <v>44916</v>
      </c>
      <c r="D1739">
        <v>65</v>
      </c>
    </row>
    <row r="1740" spans="1:4" x14ac:dyDescent="0.3">
      <c r="A1740" t="s">
        <v>926</v>
      </c>
      <c r="B1740" t="s">
        <v>25</v>
      </c>
      <c r="C1740" s="18">
        <v>44619</v>
      </c>
      <c r="D1740">
        <v>16</v>
      </c>
    </row>
    <row r="1741" spans="1:4" x14ac:dyDescent="0.3">
      <c r="A1741" t="s">
        <v>927</v>
      </c>
      <c r="B1741" t="s">
        <v>26</v>
      </c>
      <c r="C1741" s="18">
        <v>45034</v>
      </c>
      <c r="D1741">
        <v>29</v>
      </c>
    </row>
    <row r="1742" spans="1:4" x14ac:dyDescent="0.3">
      <c r="A1742" t="s">
        <v>927</v>
      </c>
      <c r="B1742" t="s">
        <v>25</v>
      </c>
      <c r="C1742" s="18">
        <v>44619</v>
      </c>
      <c r="D1742">
        <v>16</v>
      </c>
    </row>
    <row r="1743" spans="1:4" x14ac:dyDescent="0.3">
      <c r="A1743" t="s">
        <v>928</v>
      </c>
      <c r="B1743" t="s">
        <v>23</v>
      </c>
      <c r="C1743" s="18">
        <v>44766</v>
      </c>
      <c r="D1743">
        <v>65</v>
      </c>
    </row>
    <row r="1744" spans="1:4" x14ac:dyDescent="0.3">
      <c r="A1744" t="s">
        <v>928</v>
      </c>
      <c r="B1744" t="s">
        <v>22</v>
      </c>
      <c r="C1744" s="18">
        <v>44653</v>
      </c>
      <c r="D1744">
        <v>62</v>
      </c>
    </row>
    <row r="1745" spans="1:4" x14ac:dyDescent="0.3">
      <c r="A1745" t="s">
        <v>928</v>
      </c>
      <c r="B1745" t="s">
        <v>27</v>
      </c>
      <c r="C1745" s="18">
        <v>44670</v>
      </c>
      <c r="D1745">
        <v>25</v>
      </c>
    </row>
    <row r="1746" spans="1:4" x14ac:dyDescent="0.3">
      <c r="A1746" t="s">
        <v>929</v>
      </c>
      <c r="B1746" t="s">
        <v>33</v>
      </c>
      <c r="C1746" s="18">
        <v>44981</v>
      </c>
      <c r="D1746">
        <v>27</v>
      </c>
    </row>
    <row r="1747" spans="1:4" x14ac:dyDescent="0.3">
      <c r="A1747" t="s">
        <v>929</v>
      </c>
      <c r="B1747" t="s">
        <v>21</v>
      </c>
      <c r="C1747" s="18">
        <v>44782</v>
      </c>
      <c r="D1747">
        <v>26</v>
      </c>
    </row>
    <row r="1748" spans="1:4" x14ac:dyDescent="0.3">
      <c r="A1748" t="s">
        <v>930</v>
      </c>
      <c r="B1748" t="s">
        <v>26</v>
      </c>
      <c r="C1748" s="18">
        <v>44990</v>
      </c>
      <c r="D1748">
        <v>29</v>
      </c>
    </row>
    <row r="1749" spans="1:4" x14ac:dyDescent="0.3">
      <c r="A1749" t="s">
        <v>930</v>
      </c>
      <c r="B1749" t="s">
        <v>34</v>
      </c>
      <c r="C1749" s="18">
        <v>44787</v>
      </c>
      <c r="D1749">
        <v>22</v>
      </c>
    </row>
    <row r="1750" spans="1:4" x14ac:dyDescent="0.3">
      <c r="A1750" t="s">
        <v>931</v>
      </c>
      <c r="B1750" t="s">
        <v>22</v>
      </c>
      <c r="C1750" s="18">
        <v>44805</v>
      </c>
      <c r="D1750">
        <v>62</v>
      </c>
    </row>
    <row r="1751" spans="1:4" x14ac:dyDescent="0.3">
      <c r="A1751" t="s">
        <v>932</v>
      </c>
      <c r="B1751" t="s">
        <v>31</v>
      </c>
      <c r="C1751" s="18">
        <v>44842</v>
      </c>
      <c r="D1751">
        <v>62</v>
      </c>
    </row>
    <row r="1752" spans="1:4" x14ac:dyDescent="0.3">
      <c r="A1752" t="s">
        <v>932</v>
      </c>
      <c r="B1752" t="s">
        <v>22</v>
      </c>
      <c r="C1752" s="18">
        <v>44773</v>
      </c>
      <c r="D1752">
        <v>62</v>
      </c>
    </row>
    <row r="1753" spans="1:4" x14ac:dyDescent="0.3">
      <c r="A1753" t="s">
        <v>932</v>
      </c>
      <c r="B1753" t="s">
        <v>19</v>
      </c>
      <c r="C1753" s="18">
        <v>44573</v>
      </c>
      <c r="D1753">
        <v>25</v>
      </c>
    </row>
    <row r="1754" spans="1:4" x14ac:dyDescent="0.3">
      <c r="A1754" t="s">
        <v>933</v>
      </c>
      <c r="B1754" t="s">
        <v>21</v>
      </c>
      <c r="C1754" s="18">
        <v>44604</v>
      </c>
      <c r="D1754">
        <v>26</v>
      </c>
    </row>
    <row r="1755" spans="1:4" x14ac:dyDescent="0.3">
      <c r="A1755" t="s">
        <v>934</v>
      </c>
      <c r="B1755" t="s">
        <v>23</v>
      </c>
      <c r="C1755" s="18">
        <v>44930</v>
      </c>
      <c r="D1755">
        <v>65</v>
      </c>
    </row>
    <row r="1756" spans="1:4" x14ac:dyDescent="0.3">
      <c r="A1756" t="s">
        <v>934</v>
      </c>
      <c r="B1756" t="s">
        <v>26</v>
      </c>
      <c r="C1756" s="18">
        <v>44753</v>
      </c>
      <c r="D1756">
        <v>29</v>
      </c>
    </row>
    <row r="1757" spans="1:4" x14ac:dyDescent="0.3">
      <c r="A1757" t="s">
        <v>935</v>
      </c>
      <c r="B1757" t="s">
        <v>28</v>
      </c>
      <c r="C1757" s="18">
        <v>44963</v>
      </c>
      <c r="D1757">
        <v>66</v>
      </c>
    </row>
    <row r="1758" spans="1:4" x14ac:dyDescent="0.3">
      <c r="A1758" t="s">
        <v>935</v>
      </c>
      <c r="B1758" t="s">
        <v>23</v>
      </c>
      <c r="C1758" s="18">
        <v>44894</v>
      </c>
      <c r="D1758">
        <v>65</v>
      </c>
    </row>
    <row r="1759" spans="1:4" x14ac:dyDescent="0.3">
      <c r="A1759" t="s">
        <v>935</v>
      </c>
      <c r="B1759" t="s">
        <v>19</v>
      </c>
      <c r="C1759" s="18">
        <v>45022</v>
      </c>
      <c r="D1759">
        <v>25</v>
      </c>
    </row>
    <row r="1760" spans="1:4" x14ac:dyDescent="0.3">
      <c r="A1760" t="s">
        <v>936</v>
      </c>
      <c r="B1760" t="s">
        <v>23</v>
      </c>
      <c r="C1760" s="18">
        <v>44645</v>
      </c>
      <c r="D1760">
        <v>65</v>
      </c>
    </row>
    <row r="1761" spans="1:4" x14ac:dyDescent="0.3">
      <c r="A1761" t="s">
        <v>936</v>
      </c>
      <c r="B1761" t="s">
        <v>32</v>
      </c>
      <c r="C1761" s="18">
        <v>44749</v>
      </c>
      <c r="D1761">
        <v>14</v>
      </c>
    </row>
    <row r="1762" spans="1:4" x14ac:dyDescent="0.3">
      <c r="A1762" t="s">
        <v>937</v>
      </c>
      <c r="B1762" t="s">
        <v>21</v>
      </c>
      <c r="C1762" s="18">
        <v>44580</v>
      </c>
      <c r="D1762">
        <v>26</v>
      </c>
    </row>
    <row r="1763" spans="1:4" x14ac:dyDescent="0.3">
      <c r="A1763" t="s">
        <v>937</v>
      </c>
      <c r="B1763" t="s">
        <v>20</v>
      </c>
      <c r="C1763" s="18">
        <v>45032</v>
      </c>
      <c r="D1763">
        <v>10</v>
      </c>
    </row>
    <row r="1764" spans="1:4" x14ac:dyDescent="0.3">
      <c r="A1764" t="s">
        <v>938</v>
      </c>
      <c r="B1764" t="s">
        <v>20</v>
      </c>
      <c r="C1764" s="18">
        <v>44721</v>
      </c>
      <c r="D1764">
        <v>10</v>
      </c>
    </row>
    <row r="1765" spans="1:4" x14ac:dyDescent="0.3">
      <c r="A1765" t="s">
        <v>939</v>
      </c>
      <c r="B1765" t="s">
        <v>31</v>
      </c>
      <c r="C1765" s="18">
        <v>44700</v>
      </c>
      <c r="D1765">
        <v>62</v>
      </c>
    </row>
    <row r="1766" spans="1:4" x14ac:dyDescent="0.3">
      <c r="A1766" t="s">
        <v>939</v>
      </c>
      <c r="B1766" t="s">
        <v>19</v>
      </c>
      <c r="C1766" s="18">
        <v>44751</v>
      </c>
      <c r="D1766">
        <v>25</v>
      </c>
    </row>
    <row r="1767" spans="1:4" x14ac:dyDescent="0.3">
      <c r="A1767" t="s">
        <v>940</v>
      </c>
      <c r="B1767" t="s">
        <v>32</v>
      </c>
      <c r="C1767" s="18">
        <v>44626</v>
      </c>
      <c r="D1767">
        <v>14</v>
      </c>
    </row>
    <row r="1768" spans="1:4" x14ac:dyDescent="0.3">
      <c r="A1768" t="s">
        <v>940</v>
      </c>
      <c r="B1768" t="s">
        <v>20</v>
      </c>
      <c r="C1768" s="18">
        <v>44996</v>
      </c>
      <c r="D1768">
        <v>10</v>
      </c>
    </row>
    <row r="1769" spans="1:4" x14ac:dyDescent="0.3">
      <c r="A1769" t="s">
        <v>941</v>
      </c>
      <c r="B1769" t="s">
        <v>35</v>
      </c>
      <c r="C1769" s="18">
        <v>44908</v>
      </c>
      <c r="D1769">
        <v>26</v>
      </c>
    </row>
    <row r="1770" spans="1:4" x14ac:dyDescent="0.3">
      <c r="A1770" t="s">
        <v>941</v>
      </c>
      <c r="B1770" t="s">
        <v>19</v>
      </c>
      <c r="C1770" s="18">
        <v>44986</v>
      </c>
      <c r="D1770">
        <v>25</v>
      </c>
    </row>
    <row r="1771" spans="1:4" x14ac:dyDescent="0.3">
      <c r="A1771" t="s">
        <v>942</v>
      </c>
      <c r="B1771" t="s">
        <v>26</v>
      </c>
      <c r="C1771" s="18">
        <v>44752</v>
      </c>
      <c r="D1771">
        <v>29</v>
      </c>
    </row>
    <row r="1772" spans="1:4" x14ac:dyDescent="0.3">
      <c r="A1772" t="s">
        <v>942</v>
      </c>
      <c r="B1772" t="s">
        <v>29</v>
      </c>
      <c r="C1772" s="18">
        <v>44899</v>
      </c>
      <c r="D1772">
        <v>28</v>
      </c>
    </row>
    <row r="1773" spans="1:4" x14ac:dyDescent="0.3">
      <c r="A1773" t="s">
        <v>943</v>
      </c>
      <c r="B1773" t="s">
        <v>19</v>
      </c>
      <c r="C1773" s="18">
        <v>44905</v>
      </c>
      <c r="D1773">
        <v>25</v>
      </c>
    </row>
    <row r="1774" spans="1:4" x14ac:dyDescent="0.3">
      <c r="A1774" t="s">
        <v>943</v>
      </c>
      <c r="B1774" t="s">
        <v>20</v>
      </c>
      <c r="C1774" s="18">
        <v>45021</v>
      </c>
      <c r="D1774">
        <v>10</v>
      </c>
    </row>
    <row r="1775" spans="1:4" x14ac:dyDescent="0.3">
      <c r="A1775" t="s">
        <v>944</v>
      </c>
      <c r="B1775" t="s">
        <v>24</v>
      </c>
      <c r="C1775" s="18">
        <v>44711</v>
      </c>
      <c r="D1775">
        <v>13</v>
      </c>
    </row>
    <row r="1776" spans="1:4" x14ac:dyDescent="0.3">
      <c r="A1776" t="s">
        <v>945</v>
      </c>
      <c r="B1776" t="s">
        <v>28</v>
      </c>
      <c r="C1776" s="18">
        <v>44827</v>
      </c>
      <c r="D1776">
        <v>66</v>
      </c>
    </row>
    <row r="1777" spans="1:4" x14ac:dyDescent="0.3">
      <c r="A1777" t="s">
        <v>945</v>
      </c>
      <c r="B1777" t="s">
        <v>27</v>
      </c>
      <c r="C1777" s="18">
        <v>44589</v>
      </c>
      <c r="D1777">
        <v>25</v>
      </c>
    </row>
    <row r="1778" spans="1:4" x14ac:dyDescent="0.3">
      <c r="A1778" t="s">
        <v>945</v>
      </c>
      <c r="B1778" t="s">
        <v>20</v>
      </c>
      <c r="C1778" s="18">
        <v>44935</v>
      </c>
      <c r="D1778">
        <v>10</v>
      </c>
    </row>
    <row r="1779" spans="1:4" x14ac:dyDescent="0.3">
      <c r="A1779" t="s">
        <v>946</v>
      </c>
      <c r="B1779" t="s">
        <v>34</v>
      </c>
      <c r="C1779" s="18">
        <v>45027</v>
      </c>
      <c r="D1779">
        <v>22</v>
      </c>
    </row>
    <row r="1780" spans="1:4" x14ac:dyDescent="0.3">
      <c r="A1780" t="s">
        <v>946</v>
      </c>
      <c r="B1780" t="s">
        <v>20</v>
      </c>
      <c r="C1780" s="18">
        <v>44867</v>
      </c>
      <c r="D1780">
        <v>10</v>
      </c>
    </row>
    <row r="1781" spans="1:4" x14ac:dyDescent="0.3">
      <c r="A1781" t="s">
        <v>947</v>
      </c>
      <c r="B1781" t="s">
        <v>28</v>
      </c>
      <c r="C1781" s="18">
        <v>44926</v>
      </c>
      <c r="D1781">
        <v>66</v>
      </c>
    </row>
    <row r="1782" spans="1:4" x14ac:dyDescent="0.3">
      <c r="A1782" t="s">
        <v>947</v>
      </c>
      <c r="B1782" t="s">
        <v>35</v>
      </c>
      <c r="C1782" s="18">
        <v>44836</v>
      </c>
      <c r="D1782">
        <v>26</v>
      </c>
    </row>
    <row r="1783" spans="1:4" x14ac:dyDescent="0.3">
      <c r="A1783" t="s">
        <v>948</v>
      </c>
      <c r="B1783" t="s">
        <v>28</v>
      </c>
      <c r="C1783" s="18">
        <v>44931</v>
      </c>
      <c r="D1783">
        <v>66</v>
      </c>
    </row>
    <row r="1784" spans="1:4" x14ac:dyDescent="0.3">
      <c r="A1784" t="s">
        <v>948</v>
      </c>
      <c r="B1784" t="s">
        <v>27</v>
      </c>
      <c r="C1784" s="18">
        <v>44772</v>
      </c>
      <c r="D1784">
        <v>25</v>
      </c>
    </row>
    <row r="1785" spans="1:4" x14ac:dyDescent="0.3">
      <c r="A1785" t="s">
        <v>949</v>
      </c>
      <c r="B1785" t="s">
        <v>23</v>
      </c>
      <c r="C1785" s="18">
        <v>44741</v>
      </c>
      <c r="D1785">
        <v>65</v>
      </c>
    </row>
    <row r="1786" spans="1:4" x14ac:dyDescent="0.3">
      <c r="A1786" t="s">
        <v>950</v>
      </c>
      <c r="B1786" t="s">
        <v>26</v>
      </c>
      <c r="C1786" s="18">
        <v>44947</v>
      </c>
      <c r="D1786">
        <v>29</v>
      </c>
    </row>
    <row r="1787" spans="1:4" x14ac:dyDescent="0.3">
      <c r="A1787" t="s">
        <v>950</v>
      </c>
      <c r="B1787" t="s">
        <v>35</v>
      </c>
      <c r="C1787" s="18">
        <v>44734</v>
      </c>
      <c r="D1787">
        <v>26</v>
      </c>
    </row>
    <row r="1788" spans="1:4" x14ac:dyDescent="0.3">
      <c r="A1788" t="s">
        <v>950</v>
      </c>
      <c r="B1788" t="s">
        <v>24</v>
      </c>
      <c r="C1788" s="18">
        <v>44602</v>
      </c>
      <c r="D1788">
        <v>13</v>
      </c>
    </row>
    <row r="1789" spans="1:4" x14ac:dyDescent="0.3">
      <c r="A1789" t="s">
        <v>951</v>
      </c>
      <c r="B1789" t="s">
        <v>30</v>
      </c>
      <c r="C1789" s="18">
        <v>44665</v>
      </c>
      <c r="D1789">
        <v>75</v>
      </c>
    </row>
    <row r="1790" spans="1:4" x14ac:dyDescent="0.3">
      <c r="A1790" t="s">
        <v>951</v>
      </c>
      <c r="B1790" t="s">
        <v>23</v>
      </c>
      <c r="C1790" s="18">
        <v>45019</v>
      </c>
      <c r="D1790">
        <v>65</v>
      </c>
    </row>
    <row r="1791" spans="1:4" x14ac:dyDescent="0.3">
      <c r="A1791" t="s">
        <v>951</v>
      </c>
      <c r="B1791" t="s">
        <v>26</v>
      </c>
      <c r="C1791" s="18">
        <v>44771</v>
      </c>
      <c r="D1791">
        <v>29</v>
      </c>
    </row>
    <row r="1792" spans="1:4" x14ac:dyDescent="0.3">
      <c r="A1792" t="s">
        <v>952</v>
      </c>
      <c r="B1792" t="s">
        <v>26</v>
      </c>
      <c r="C1792" s="18">
        <v>44945</v>
      </c>
      <c r="D1792">
        <v>29</v>
      </c>
    </row>
    <row r="1793" spans="1:4" x14ac:dyDescent="0.3">
      <c r="A1793" t="s">
        <v>952</v>
      </c>
      <c r="B1793" t="s">
        <v>27</v>
      </c>
      <c r="C1793" s="18">
        <v>45033</v>
      </c>
      <c r="D1793">
        <v>25</v>
      </c>
    </row>
    <row r="1794" spans="1:4" x14ac:dyDescent="0.3">
      <c r="A1794" t="s">
        <v>953</v>
      </c>
      <c r="B1794" t="s">
        <v>35</v>
      </c>
      <c r="C1794" s="18">
        <v>44741</v>
      </c>
      <c r="D1794">
        <v>26</v>
      </c>
    </row>
    <row r="1795" spans="1:4" x14ac:dyDescent="0.3">
      <c r="A1795" t="s">
        <v>954</v>
      </c>
      <c r="B1795" t="s">
        <v>28</v>
      </c>
      <c r="C1795" s="18">
        <v>44570</v>
      </c>
      <c r="D1795">
        <v>66</v>
      </c>
    </row>
    <row r="1796" spans="1:4" x14ac:dyDescent="0.3">
      <c r="A1796" t="s">
        <v>954</v>
      </c>
      <c r="B1796" t="s">
        <v>29</v>
      </c>
      <c r="C1796" s="18">
        <v>44931</v>
      </c>
      <c r="D1796">
        <v>28</v>
      </c>
    </row>
    <row r="1797" spans="1:4" x14ac:dyDescent="0.3">
      <c r="A1797" t="s">
        <v>955</v>
      </c>
      <c r="B1797" t="s">
        <v>33</v>
      </c>
      <c r="C1797" s="18">
        <v>44809</v>
      </c>
      <c r="D1797">
        <v>27</v>
      </c>
    </row>
    <row r="1798" spans="1:4" x14ac:dyDescent="0.3">
      <c r="A1798" t="s">
        <v>955</v>
      </c>
      <c r="B1798" t="s">
        <v>27</v>
      </c>
      <c r="C1798" s="18">
        <v>44713</v>
      </c>
      <c r="D1798">
        <v>25</v>
      </c>
    </row>
    <row r="1799" spans="1:4" x14ac:dyDescent="0.3">
      <c r="A1799" t="s">
        <v>956</v>
      </c>
      <c r="B1799" t="s">
        <v>28</v>
      </c>
      <c r="C1799" s="18">
        <v>44633</v>
      </c>
      <c r="D1799">
        <v>66</v>
      </c>
    </row>
    <row r="1800" spans="1:4" x14ac:dyDescent="0.3">
      <c r="A1800" t="s">
        <v>956</v>
      </c>
      <c r="B1800" t="s">
        <v>19</v>
      </c>
      <c r="C1800" s="18">
        <v>44790</v>
      </c>
      <c r="D1800">
        <v>25</v>
      </c>
    </row>
    <row r="1801" spans="1:4" x14ac:dyDescent="0.3">
      <c r="A1801" t="s">
        <v>957</v>
      </c>
      <c r="B1801" t="s">
        <v>23</v>
      </c>
      <c r="C1801" s="18">
        <v>44875</v>
      </c>
      <c r="D1801">
        <v>65</v>
      </c>
    </row>
    <row r="1802" spans="1:4" x14ac:dyDescent="0.3">
      <c r="A1802" t="s">
        <v>957</v>
      </c>
      <c r="B1802" t="s">
        <v>27</v>
      </c>
      <c r="C1802" s="18">
        <v>44699</v>
      </c>
      <c r="D1802">
        <v>25</v>
      </c>
    </row>
    <row r="1803" spans="1:4" x14ac:dyDescent="0.3">
      <c r="A1803" t="s">
        <v>958</v>
      </c>
      <c r="B1803" t="s">
        <v>19</v>
      </c>
      <c r="C1803" s="18">
        <v>44638</v>
      </c>
      <c r="D1803">
        <v>25</v>
      </c>
    </row>
    <row r="1804" spans="1:4" x14ac:dyDescent="0.3">
      <c r="A1804" t="s">
        <v>959</v>
      </c>
      <c r="B1804" t="s">
        <v>31</v>
      </c>
      <c r="C1804" s="18">
        <v>44946</v>
      </c>
      <c r="D1804">
        <v>62</v>
      </c>
    </row>
    <row r="1805" spans="1:4" x14ac:dyDescent="0.3">
      <c r="A1805" t="s">
        <v>959</v>
      </c>
      <c r="B1805" t="s">
        <v>19</v>
      </c>
      <c r="C1805" s="18">
        <v>44862</v>
      </c>
      <c r="D1805">
        <v>25</v>
      </c>
    </row>
    <row r="1806" spans="1:4" x14ac:dyDescent="0.3">
      <c r="A1806" t="s">
        <v>959</v>
      </c>
      <c r="B1806" t="s">
        <v>24</v>
      </c>
      <c r="C1806" s="18">
        <v>44580</v>
      </c>
      <c r="D1806">
        <v>13</v>
      </c>
    </row>
    <row r="1807" spans="1:4" x14ac:dyDescent="0.3">
      <c r="A1807" t="s">
        <v>960</v>
      </c>
      <c r="B1807" t="s">
        <v>30</v>
      </c>
      <c r="C1807" s="18">
        <v>44731</v>
      </c>
      <c r="D1807">
        <v>75</v>
      </c>
    </row>
    <row r="1808" spans="1:4" x14ac:dyDescent="0.3">
      <c r="A1808" t="s">
        <v>960</v>
      </c>
      <c r="B1808" t="s">
        <v>28</v>
      </c>
      <c r="C1808" s="18">
        <v>44623</v>
      </c>
      <c r="D1808">
        <v>66</v>
      </c>
    </row>
    <row r="1809" spans="1:4" x14ac:dyDescent="0.3">
      <c r="A1809" t="s">
        <v>960</v>
      </c>
      <c r="B1809" t="s">
        <v>24</v>
      </c>
      <c r="C1809" s="18">
        <v>44837</v>
      </c>
      <c r="D1809">
        <v>13</v>
      </c>
    </row>
    <row r="1810" spans="1:4" x14ac:dyDescent="0.3">
      <c r="A1810" t="s">
        <v>961</v>
      </c>
      <c r="B1810" t="s">
        <v>32</v>
      </c>
      <c r="C1810" s="18">
        <v>44982</v>
      </c>
      <c r="D1810">
        <v>14</v>
      </c>
    </row>
    <row r="1811" spans="1:4" x14ac:dyDescent="0.3">
      <c r="A1811" t="s">
        <v>961</v>
      </c>
      <c r="B1811" t="s">
        <v>24</v>
      </c>
      <c r="C1811" s="18">
        <v>44884</v>
      </c>
      <c r="D1811">
        <v>13</v>
      </c>
    </row>
    <row r="1812" spans="1:4" x14ac:dyDescent="0.3">
      <c r="A1812" t="s">
        <v>962</v>
      </c>
      <c r="B1812" t="s">
        <v>28</v>
      </c>
      <c r="C1812" s="18">
        <v>44799</v>
      </c>
      <c r="D1812">
        <v>66</v>
      </c>
    </row>
    <row r="1813" spans="1:4" x14ac:dyDescent="0.3">
      <c r="A1813" t="s">
        <v>962</v>
      </c>
      <c r="B1813" t="s">
        <v>34</v>
      </c>
      <c r="C1813" s="18">
        <v>44921</v>
      </c>
      <c r="D1813">
        <v>22</v>
      </c>
    </row>
    <row r="1814" spans="1:4" x14ac:dyDescent="0.3">
      <c r="A1814" t="s">
        <v>963</v>
      </c>
      <c r="B1814" t="s">
        <v>26</v>
      </c>
      <c r="C1814" s="18">
        <v>44921</v>
      </c>
      <c r="D1814">
        <v>29</v>
      </c>
    </row>
    <row r="1815" spans="1:4" x14ac:dyDescent="0.3">
      <c r="A1815" t="s">
        <v>963</v>
      </c>
      <c r="B1815" t="s">
        <v>29</v>
      </c>
      <c r="C1815" s="18">
        <v>44685</v>
      </c>
      <c r="D1815">
        <v>28</v>
      </c>
    </row>
    <row r="1816" spans="1:4" x14ac:dyDescent="0.3">
      <c r="A1816" t="s">
        <v>964</v>
      </c>
      <c r="B1816" t="s">
        <v>35</v>
      </c>
      <c r="C1816" s="18">
        <v>44776</v>
      </c>
      <c r="D1816">
        <v>26</v>
      </c>
    </row>
    <row r="1817" spans="1:4" x14ac:dyDescent="0.3">
      <c r="A1817" t="s">
        <v>964</v>
      </c>
      <c r="B1817" t="s">
        <v>20</v>
      </c>
      <c r="C1817" s="18">
        <v>45037</v>
      </c>
      <c r="D1817">
        <v>10</v>
      </c>
    </row>
    <row r="1818" spans="1:4" x14ac:dyDescent="0.3">
      <c r="A1818" t="s">
        <v>965</v>
      </c>
      <c r="B1818" t="s">
        <v>28</v>
      </c>
      <c r="C1818" s="18">
        <v>44668</v>
      </c>
      <c r="D1818">
        <v>66</v>
      </c>
    </row>
    <row r="1819" spans="1:4" x14ac:dyDescent="0.3">
      <c r="A1819" t="s">
        <v>965</v>
      </c>
      <c r="B1819" t="s">
        <v>33</v>
      </c>
      <c r="C1819" s="18">
        <v>44886</v>
      </c>
      <c r="D1819">
        <v>27</v>
      </c>
    </row>
    <row r="1820" spans="1:4" x14ac:dyDescent="0.3">
      <c r="A1820" t="s">
        <v>966</v>
      </c>
      <c r="B1820" t="s">
        <v>29</v>
      </c>
      <c r="C1820" s="18">
        <v>44914</v>
      </c>
      <c r="D1820">
        <v>28</v>
      </c>
    </row>
    <row r="1821" spans="1:4" x14ac:dyDescent="0.3">
      <c r="A1821" t="s">
        <v>966</v>
      </c>
      <c r="B1821" t="s">
        <v>24</v>
      </c>
      <c r="C1821" s="18">
        <v>44983</v>
      </c>
      <c r="D1821">
        <v>13</v>
      </c>
    </row>
    <row r="1822" spans="1:4" x14ac:dyDescent="0.3">
      <c r="A1822" t="s">
        <v>967</v>
      </c>
      <c r="B1822" t="s">
        <v>31</v>
      </c>
      <c r="C1822" s="18">
        <v>44674</v>
      </c>
      <c r="D1822">
        <v>62</v>
      </c>
    </row>
    <row r="1823" spans="1:4" x14ac:dyDescent="0.3">
      <c r="A1823" t="s">
        <v>967</v>
      </c>
      <c r="B1823" t="s">
        <v>32</v>
      </c>
      <c r="C1823" s="18">
        <v>44900</v>
      </c>
      <c r="D1823">
        <v>14</v>
      </c>
    </row>
    <row r="1824" spans="1:4" x14ac:dyDescent="0.3">
      <c r="A1824" t="s">
        <v>968</v>
      </c>
      <c r="B1824" t="s">
        <v>31</v>
      </c>
      <c r="C1824" s="18">
        <v>44795</v>
      </c>
      <c r="D1824">
        <v>62</v>
      </c>
    </row>
    <row r="1825" spans="1:4" x14ac:dyDescent="0.3">
      <c r="A1825" t="s">
        <v>968</v>
      </c>
      <c r="B1825" t="s">
        <v>34</v>
      </c>
      <c r="C1825" s="18">
        <v>44942</v>
      </c>
      <c r="D1825">
        <v>22</v>
      </c>
    </row>
    <row r="1826" spans="1:4" x14ac:dyDescent="0.3">
      <c r="A1826" t="s">
        <v>969</v>
      </c>
      <c r="B1826" t="s">
        <v>30</v>
      </c>
      <c r="C1826" s="18">
        <v>44651</v>
      </c>
      <c r="D1826">
        <v>75</v>
      </c>
    </row>
    <row r="1827" spans="1:4" x14ac:dyDescent="0.3">
      <c r="A1827" t="s">
        <v>969</v>
      </c>
      <c r="B1827" t="s">
        <v>22</v>
      </c>
      <c r="C1827" s="18">
        <v>44568</v>
      </c>
      <c r="D1827">
        <v>62</v>
      </c>
    </row>
    <row r="1828" spans="1:4" x14ac:dyDescent="0.3">
      <c r="A1828" t="s">
        <v>970</v>
      </c>
      <c r="B1828" t="s">
        <v>26</v>
      </c>
      <c r="C1828" s="18">
        <v>44934</v>
      </c>
      <c r="D1828">
        <v>29</v>
      </c>
    </row>
    <row r="1829" spans="1:4" x14ac:dyDescent="0.3">
      <c r="A1829" t="s">
        <v>970</v>
      </c>
      <c r="B1829" t="s">
        <v>29</v>
      </c>
      <c r="C1829" s="18">
        <v>44830</v>
      </c>
      <c r="D1829">
        <v>28</v>
      </c>
    </row>
    <row r="1830" spans="1:4" x14ac:dyDescent="0.3">
      <c r="A1830" t="s">
        <v>970</v>
      </c>
      <c r="B1830" t="s">
        <v>25</v>
      </c>
      <c r="C1830" s="18">
        <v>44882</v>
      </c>
      <c r="D1830">
        <v>16</v>
      </c>
    </row>
    <row r="1831" spans="1:4" x14ac:dyDescent="0.3">
      <c r="A1831" t="s">
        <v>971</v>
      </c>
      <c r="B1831" t="s">
        <v>22</v>
      </c>
      <c r="C1831" s="18">
        <v>44658</v>
      </c>
      <c r="D1831">
        <v>62</v>
      </c>
    </row>
    <row r="1832" spans="1:4" x14ac:dyDescent="0.3">
      <c r="A1832" t="s">
        <v>971</v>
      </c>
      <c r="B1832" t="s">
        <v>25</v>
      </c>
      <c r="C1832" s="18">
        <v>44943</v>
      </c>
      <c r="D1832">
        <v>16</v>
      </c>
    </row>
    <row r="1833" spans="1:4" x14ac:dyDescent="0.3">
      <c r="A1833" t="s">
        <v>972</v>
      </c>
      <c r="B1833" t="s">
        <v>33</v>
      </c>
      <c r="C1833" s="18">
        <v>45001</v>
      </c>
      <c r="D1833">
        <v>27</v>
      </c>
    </row>
    <row r="1834" spans="1:4" x14ac:dyDescent="0.3">
      <c r="A1834" t="s">
        <v>972</v>
      </c>
      <c r="B1834" t="s">
        <v>21</v>
      </c>
      <c r="C1834" s="18">
        <v>44688</v>
      </c>
      <c r="D1834">
        <v>26</v>
      </c>
    </row>
    <row r="1835" spans="1:4" x14ac:dyDescent="0.3">
      <c r="A1835" t="s">
        <v>973</v>
      </c>
      <c r="B1835" t="s">
        <v>28</v>
      </c>
      <c r="C1835" s="18">
        <v>44626</v>
      </c>
      <c r="D1835">
        <v>66</v>
      </c>
    </row>
    <row r="1836" spans="1:4" x14ac:dyDescent="0.3">
      <c r="A1836" t="s">
        <v>973</v>
      </c>
      <c r="B1836" t="s">
        <v>26</v>
      </c>
      <c r="C1836" s="18">
        <v>44831</v>
      </c>
      <c r="D1836">
        <v>29</v>
      </c>
    </row>
    <row r="1837" spans="1:4" x14ac:dyDescent="0.3">
      <c r="A1837" t="s">
        <v>974</v>
      </c>
      <c r="B1837" t="s">
        <v>21</v>
      </c>
      <c r="C1837" s="18">
        <v>44790</v>
      </c>
      <c r="D1837">
        <v>26</v>
      </c>
    </row>
    <row r="1838" spans="1:4" x14ac:dyDescent="0.3">
      <c r="A1838" t="s">
        <v>974</v>
      </c>
      <c r="B1838" t="s">
        <v>25</v>
      </c>
      <c r="C1838" s="18">
        <v>44664</v>
      </c>
      <c r="D1838">
        <v>16</v>
      </c>
    </row>
    <row r="1839" spans="1:4" x14ac:dyDescent="0.3">
      <c r="A1839" t="s">
        <v>975</v>
      </c>
      <c r="B1839" t="s">
        <v>31</v>
      </c>
      <c r="C1839" s="18">
        <v>44634</v>
      </c>
      <c r="D1839">
        <v>62</v>
      </c>
    </row>
    <row r="1840" spans="1:4" x14ac:dyDescent="0.3">
      <c r="A1840" t="s">
        <v>975</v>
      </c>
      <c r="B1840" t="s">
        <v>29</v>
      </c>
      <c r="C1840" s="18">
        <v>44929</v>
      </c>
      <c r="D1840">
        <v>28</v>
      </c>
    </row>
    <row r="1841" spans="1:4" x14ac:dyDescent="0.3">
      <c r="A1841" t="s">
        <v>976</v>
      </c>
      <c r="B1841" t="s">
        <v>23</v>
      </c>
      <c r="C1841" s="18">
        <v>44820</v>
      </c>
      <c r="D1841">
        <v>65</v>
      </c>
    </row>
    <row r="1842" spans="1:4" x14ac:dyDescent="0.3">
      <c r="A1842" t="s">
        <v>976</v>
      </c>
      <c r="B1842" t="s">
        <v>22</v>
      </c>
      <c r="C1842" s="18">
        <v>44604</v>
      </c>
      <c r="D1842">
        <v>62</v>
      </c>
    </row>
    <row r="1843" spans="1:4" x14ac:dyDescent="0.3">
      <c r="A1843" t="s">
        <v>977</v>
      </c>
      <c r="B1843" t="s">
        <v>26</v>
      </c>
      <c r="C1843" s="18">
        <v>44810</v>
      </c>
      <c r="D1843">
        <v>29</v>
      </c>
    </row>
    <row r="1844" spans="1:4" x14ac:dyDescent="0.3">
      <c r="A1844" t="s">
        <v>977</v>
      </c>
      <c r="B1844" t="s">
        <v>32</v>
      </c>
      <c r="C1844" s="18">
        <v>44919</v>
      </c>
      <c r="D1844">
        <v>14</v>
      </c>
    </row>
    <row r="1845" spans="1:4" x14ac:dyDescent="0.3">
      <c r="A1845" t="s">
        <v>978</v>
      </c>
      <c r="B1845" t="s">
        <v>26</v>
      </c>
      <c r="C1845" s="18">
        <v>44764</v>
      </c>
      <c r="D1845">
        <v>29</v>
      </c>
    </row>
    <row r="1846" spans="1:4" x14ac:dyDescent="0.3">
      <c r="A1846" t="s">
        <v>978</v>
      </c>
      <c r="B1846" t="s">
        <v>35</v>
      </c>
      <c r="C1846" s="18">
        <v>44860</v>
      </c>
      <c r="D1846">
        <v>26</v>
      </c>
    </row>
    <row r="1847" spans="1:4" x14ac:dyDescent="0.3">
      <c r="A1847" t="s">
        <v>979</v>
      </c>
      <c r="B1847" t="s">
        <v>27</v>
      </c>
      <c r="C1847" s="18">
        <v>44584</v>
      </c>
      <c r="D1847">
        <v>25</v>
      </c>
    </row>
    <row r="1848" spans="1:4" x14ac:dyDescent="0.3">
      <c r="A1848" t="s">
        <v>979</v>
      </c>
      <c r="B1848" t="s">
        <v>25</v>
      </c>
      <c r="C1848" s="18">
        <v>44822</v>
      </c>
      <c r="D1848">
        <v>16</v>
      </c>
    </row>
    <row r="1849" spans="1:4" x14ac:dyDescent="0.3">
      <c r="A1849" t="s">
        <v>980</v>
      </c>
      <c r="B1849" t="s">
        <v>23</v>
      </c>
      <c r="C1849" s="18">
        <v>44563</v>
      </c>
      <c r="D1849">
        <v>65</v>
      </c>
    </row>
    <row r="1850" spans="1:4" x14ac:dyDescent="0.3">
      <c r="A1850" t="s">
        <v>980</v>
      </c>
      <c r="B1850" t="s">
        <v>29</v>
      </c>
      <c r="C1850" s="18">
        <v>44734</v>
      </c>
      <c r="D1850">
        <v>28</v>
      </c>
    </row>
    <row r="1851" spans="1:4" x14ac:dyDescent="0.3">
      <c r="A1851" t="s">
        <v>981</v>
      </c>
      <c r="B1851" t="s">
        <v>19</v>
      </c>
      <c r="C1851" s="18">
        <v>44799</v>
      </c>
      <c r="D1851">
        <v>25</v>
      </c>
    </row>
    <row r="1852" spans="1:4" x14ac:dyDescent="0.3">
      <c r="A1852" t="s">
        <v>981</v>
      </c>
      <c r="B1852" t="s">
        <v>24</v>
      </c>
      <c r="C1852" s="18">
        <v>44787</v>
      </c>
      <c r="D1852">
        <v>13</v>
      </c>
    </row>
    <row r="1853" spans="1:4" x14ac:dyDescent="0.3">
      <c r="A1853" t="s">
        <v>982</v>
      </c>
      <c r="B1853" t="s">
        <v>27</v>
      </c>
      <c r="C1853" s="18">
        <v>45043</v>
      </c>
      <c r="D1853">
        <v>25</v>
      </c>
    </row>
    <row r="1854" spans="1:4" x14ac:dyDescent="0.3">
      <c r="A1854" t="s">
        <v>982</v>
      </c>
      <c r="B1854" t="s">
        <v>34</v>
      </c>
      <c r="C1854" s="18">
        <v>45003</v>
      </c>
      <c r="D1854">
        <v>22</v>
      </c>
    </row>
    <row r="1855" spans="1:4" x14ac:dyDescent="0.3">
      <c r="A1855" t="s">
        <v>983</v>
      </c>
      <c r="B1855" t="s">
        <v>30</v>
      </c>
      <c r="C1855" s="18">
        <v>44775</v>
      </c>
      <c r="D1855">
        <v>75</v>
      </c>
    </row>
    <row r="1856" spans="1:4" x14ac:dyDescent="0.3">
      <c r="A1856" t="s">
        <v>983</v>
      </c>
      <c r="B1856" t="s">
        <v>22</v>
      </c>
      <c r="C1856" s="18">
        <v>44578</v>
      </c>
      <c r="D1856">
        <v>62</v>
      </c>
    </row>
    <row r="1857" spans="1:4" x14ac:dyDescent="0.3">
      <c r="A1857" t="s">
        <v>984</v>
      </c>
      <c r="B1857" t="s">
        <v>22</v>
      </c>
      <c r="C1857" s="18">
        <v>44792</v>
      </c>
      <c r="D1857">
        <v>62</v>
      </c>
    </row>
    <row r="1858" spans="1:4" x14ac:dyDescent="0.3">
      <c r="A1858" t="s">
        <v>984</v>
      </c>
      <c r="B1858" t="s">
        <v>29</v>
      </c>
      <c r="C1858" s="18">
        <v>44935</v>
      </c>
      <c r="D1858">
        <v>28</v>
      </c>
    </row>
    <row r="1859" spans="1:4" x14ac:dyDescent="0.3">
      <c r="A1859" t="s">
        <v>985</v>
      </c>
      <c r="B1859" t="s">
        <v>19</v>
      </c>
      <c r="C1859" s="18">
        <v>45038</v>
      </c>
      <c r="D1859">
        <v>25</v>
      </c>
    </row>
    <row r="1860" spans="1:4" x14ac:dyDescent="0.3">
      <c r="A1860" t="s">
        <v>985</v>
      </c>
      <c r="B1860" t="s">
        <v>24</v>
      </c>
      <c r="C1860" s="18">
        <v>44998</v>
      </c>
      <c r="D1860">
        <v>13</v>
      </c>
    </row>
    <row r="1861" spans="1:4" x14ac:dyDescent="0.3">
      <c r="A1861" t="s">
        <v>986</v>
      </c>
      <c r="B1861" t="s">
        <v>25</v>
      </c>
      <c r="C1861" s="18">
        <v>44919</v>
      </c>
      <c r="D1861">
        <v>16</v>
      </c>
    </row>
    <row r="1862" spans="1:4" x14ac:dyDescent="0.3">
      <c r="A1862" t="s">
        <v>986</v>
      </c>
      <c r="B1862" t="s">
        <v>20</v>
      </c>
      <c r="C1862" s="18">
        <v>44851</v>
      </c>
      <c r="D1862">
        <v>10</v>
      </c>
    </row>
    <row r="1863" spans="1:4" x14ac:dyDescent="0.3">
      <c r="A1863" t="s">
        <v>987</v>
      </c>
      <c r="B1863" t="s">
        <v>23</v>
      </c>
      <c r="C1863" s="18">
        <v>44738</v>
      </c>
      <c r="D1863">
        <v>65</v>
      </c>
    </row>
    <row r="1864" spans="1:4" x14ac:dyDescent="0.3">
      <c r="A1864" t="s">
        <v>987</v>
      </c>
      <c r="B1864" t="s">
        <v>26</v>
      </c>
      <c r="C1864" s="18">
        <v>44871</v>
      </c>
      <c r="D1864">
        <v>29</v>
      </c>
    </row>
    <row r="1865" spans="1:4" x14ac:dyDescent="0.3">
      <c r="A1865" t="s">
        <v>987</v>
      </c>
      <c r="B1865" t="s">
        <v>33</v>
      </c>
      <c r="C1865" s="18">
        <v>44821</v>
      </c>
      <c r="D1865">
        <v>27</v>
      </c>
    </row>
    <row r="1866" spans="1:4" x14ac:dyDescent="0.3">
      <c r="A1866" t="s">
        <v>988</v>
      </c>
      <c r="B1866" t="s">
        <v>27</v>
      </c>
      <c r="C1866" s="18">
        <v>44921</v>
      </c>
      <c r="D1866">
        <v>25</v>
      </c>
    </row>
    <row r="1867" spans="1:4" x14ac:dyDescent="0.3">
      <c r="A1867" t="s">
        <v>989</v>
      </c>
      <c r="B1867" t="s">
        <v>20</v>
      </c>
      <c r="C1867" s="18">
        <v>44861</v>
      </c>
      <c r="D1867">
        <v>10</v>
      </c>
    </row>
    <row r="1868" spans="1:4" x14ac:dyDescent="0.3">
      <c r="A1868" t="s">
        <v>990</v>
      </c>
      <c r="B1868" t="s">
        <v>30</v>
      </c>
      <c r="C1868" s="18">
        <v>44682</v>
      </c>
      <c r="D1868">
        <v>75</v>
      </c>
    </row>
    <row r="1869" spans="1:4" x14ac:dyDescent="0.3">
      <c r="A1869" t="s">
        <v>990</v>
      </c>
      <c r="B1869" t="s">
        <v>21</v>
      </c>
      <c r="C1869" s="18">
        <v>44761</v>
      </c>
      <c r="D1869">
        <v>26</v>
      </c>
    </row>
    <row r="1870" spans="1:4" x14ac:dyDescent="0.3">
      <c r="A1870" t="s">
        <v>991</v>
      </c>
      <c r="B1870" t="s">
        <v>22</v>
      </c>
      <c r="C1870" s="18">
        <v>45002</v>
      </c>
      <c r="D1870">
        <v>62</v>
      </c>
    </row>
    <row r="1871" spans="1:4" x14ac:dyDescent="0.3">
      <c r="A1871" t="s">
        <v>991</v>
      </c>
      <c r="B1871" t="s">
        <v>32</v>
      </c>
      <c r="C1871" s="18">
        <v>44988</v>
      </c>
      <c r="D1871">
        <v>14</v>
      </c>
    </row>
    <row r="1872" spans="1:4" x14ac:dyDescent="0.3">
      <c r="A1872" t="s">
        <v>992</v>
      </c>
      <c r="B1872" t="s">
        <v>30</v>
      </c>
      <c r="C1872" s="18">
        <v>44773</v>
      </c>
      <c r="D1872">
        <v>75</v>
      </c>
    </row>
    <row r="1873" spans="1:4" x14ac:dyDescent="0.3">
      <c r="A1873" t="s">
        <v>992</v>
      </c>
      <c r="B1873" t="s">
        <v>32</v>
      </c>
      <c r="C1873" s="18">
        <v>44890</v>
      </c>
      <c r="D1873">
        <v>14</v>
      </c>
    </row>
    <row r="1874" spans="1:4" x14ac:dyDescent="0.3">
      <c r="A1874" t="s">
        <v>993</v>
      </c>
      <c r="B1874" t="s">
        <v>35</v>
      </c>
      <c r="C1874" s="18">
        <v>45022</v>
      </c>
      <c r="D1874">
        <v>26</v>
      </c>
    </row>
    <row r="1875" spans="1:4" x14ac:dyDescent="0.3">
      <c r="A1875" t="s">
        <v>994</v>
      </c>
      <c r="B1875" t="s">
        <v>29</v>
      </c>
      <c r="C1875" s="18">
        <v>44562</v>
      </c>
      <c r="D1875">
        <v>28</v>
      </c>
    </row>
    <row r="1876" spans="1:4" x14ac:dyDescent="0.3">
      <c r="A1876" t="s">
        <v>994</v>
      </c>
      <c r="B1876" t="s">
        <v>21</v>
      </c>
      <c r="C1876" s="18">
        <v>44932</v>
      </c>
      <c r="D1876">
        <v>26</v>
      </c>
    </row>
    <row r="1877" spans="1:4" x14ac:dyDescent="0.3">
      <c r="A1877" t="s">
        <v>995</v>
      </c>
      <c r="B1877" t="s">
        <v>28</v>
      </c>
      <c r="C1877" s="18">
        <v>44872</v>
      </c>
      <c r="D1877">
        <v>66</v>
      </c>
    </row>
    <row r="1878" spans="1:4" x14ac:dyDescent="0.3">
      <c r="A1878" t="s">
        <v>995</v>
      </c>
      <c r="B1878" t="s">
        <v>35</v>
      </c>
      <c r="C1878" s="18">
        <v>45026</v>
      </c>
      <c r="D1878">
        <v>26</v>
      </c>
    </row>
    <row r="1879" spans="1:4" x14ac:dyDescent="0.3">
      <c r="A1879" t="s">
        <v>996</v>
      </c>
      <c r="B1879" t="s">
        <v>28</v>
      </c>
      <c r="C1879" s="18">
        <v>45018</v>
      </c>
      <c r="D1879">
        <v>66</v>
      </c>
    </row>
    <row r="1880" spans="1:4" x14ac:dyDescent="0.3">
      <c r="A1880" t="s">
        <v>996</v>
      </c>
      <c r="B1880" t="s">
        <v>26</v>
      </c>
      <c r="C1880" s="18">
        <v>45035</v>
      </c>
      <c r="D1880">
        <v>29</v>
      </c>
    </row>
    <row r="1881" spans="1:4" x14ac:dyDescent="0.3">
      <c r="A1881" t="s">
        <v>997</v>
      </c>
      <c r="B1881" t="s">
        <v>19</v>
      </c>
      <c r="C1881" s="18">
        <v>45018</v>
      </c>
      <c r="D1881">
        <v>25</v>
      </c>
    </row>
    <row r="1882" spans="1:4" x14ac:dyDescent="0.3">
      <c r="A1882" t="s">
        <v>997</v>
      </c>
      <c r="B1882" t="s">
        <v>32</v>
      </c>
      <c r="C1882" s="18">
        <v>44878</v>
      </c>
      <c r="D1882">
        <v>14</v>
      </c>
    </row>
    <row r="1883" spans="1:4" x14ac:dyDescent="0.3">
      <c r="A1883" t="s">
        <v>998</v>
      </c>
      <c r="B1883" t="s">
        <v>30</v>
      </c>
      <c r="C1883" s="18">
        <v>44618</v>
      </c>
      <c r="D1883">
        <v>75</v>
      </c>
    </row>
    <row r="1884" spans="1:4" x14ac:dyDescent="0.3">
      <c r="A1884" t="s">
        <v>998</v>
      </c>
      <c r="B1884" t="s">
        <v>29</v>
      </c>
      <c r="C1884" s="18">
        <v>44615</v>
      </c>
      <c r="D1884">
        <v>28</v>
      </c>
    </row>
    <row r="1885" spans="1:4" x14ac:dyDescent="0.3">
      <c r="A1885" t="s">
        <v>999</v>
      </c>
      <c r="B1885" t="s">
        <v>30</v>
      </c>
      <c r="C1885" s="18">
        <v>44990</v>
      </c>
      <c r="D1885">
        <v>75</v>
      </c>
    </row>
    <row r="1886" spans="1:4" x14ac:dyDescent="0.3">
      <c r="A1886" t="s">
        <v>999</v>
      </c>
      <c r="B1886" t="s">
        <v>29</v>
      </c>
      <c r="C1886" s="18">
        <v>44606</v>
      </c>
      <c r="D1886">
        <v>28</v>
      </c>
    </row>
    <row r="1887" spans="1:4" x14ac:dyDescent="0.3">
      <c r="A1887" t="s">
        <v>1000</v>
      </c>
      <c r="B1887" t="s">
        <v>22</v>
      </c>
      <c r="C1887" s="18">
        <v>44875</v>
      </c>
      <c r="D1887">
        <v>62</v>
      </c>
    </row>
    <row r="1888" spans="1:4" x14ac:dyDescent="0.3">
      <c r="A1888" t="s">
        <v>1000</v>
      </c>
      <c r="B1888" t="s">
        <v>27</v>
      </c>
      <c r="C1888" s="18">
        <v>44913</v>
      </c>
      <c r="D1888">
        <v>25</v>
      </c>
    </row>
    <row r="1889" spans="1:4" x14ac:dyDescent="0.3">
      <c r="A1889" t="s">
        <v>1001</v>
      </c>
      <c r="B1889" t="s">
        <v>28</v>
      </c>
      <c r="C1889" s="18">
        <v>44863</v>
      </c>
      <c r="D1889">
        <v>66</v>
      </c>
    </row>
    <row r="1890" spans="1:4" x14ac:dyDescent="0.3">
      <c r="A1890" t="s">
        <v>1001</v>
      </c>
      <c r="B1890" t="s">
        <v>27</v>
      </c>
      <c r="C1890" s="18">
        <v>44592</v>
      </c>
      <c r="D1890">
        <v>25</v>
      </c>
    </row>
    <row r="1891" spans="1:4" x14ac:dyDescent="0.3">
      <c r="A1891" t="s">
        <v>1002</v>
      </c>
      <c r="B1891" t="s">
        <v>24</v>
      </c>
      <c r="C1891" s="18">
        <v>44862</v>
      </c>
      <c r="D1891">
        <v>13</v>
      </c>
    </row>
    <row r="1892" spans="1:4" x14ac:dyDescent="0.3">
      <c r="A1892" t="s">
        <v>1003</v>
      </c>
      <c r="B1892" t="s">
        <v>27</v>
      </c>
      <c r="C1892" s="18">
        <v>44565</v>
      </c>
      <c r="D1892">
        <v>25</v>
      </c>
    </row>
    <row r="1893" spans="1:4" x14ac:dyDescent="0.3">
      <c r="A1893" t="s">
        <v>1004</v>
      </c>
      <c r="B1893" t="s">
        <v>35</v>
      </c>
      <c r="C1893" s="18">
        <v>44589</v>
      </c>
      <c r="D1893">
        <v>26</v>
      </c>
    </row>
    <row r="1894" spans="1:4" x14ac:dyDescent="0.3">
      <c r="A1894" t="s">
        <v>1004</v>
      </c>
      <c r="B1894" t="s">
        <v>24</v>
      </c>
      <c r="C1894" s="18">
        <v>44718</v>
      </c>
      <c r="D1894">
        <v>13</v>
      </c>
    </row>
    <row r="1895" spans="1:4" x14ac:dyDescent="0.3">
      <c r="A1895" t="s">
        <v>1005</v>
      </c>
      <c r="B1895" t="s">
        <v>30</v>
      </c>
      <c r="C1895" s="18">
        <v>44629</v>
      </c>
      <c r="D1895">
        <v>75</v>
      </c>
    </row>
    <row r="1896" spans="1:4" x14ac:dyDescent="0.3">
      <c r="A1896" t="s">
        <v>1005</v>
      </c>
      <c r="B1896" t="s">
        <v>29</v>
      </c>
      <c r="C1896" s="18">
        <v>44821</v>
      </c>
      <c r="D1896">
        <v>28</v>
      </c>
    </row>
    <row r="1897" spans="1:4" x14ac:dyDescent="0.3">
      <c r="A1897" t="s">
        <v>1005</v>
      </c>
      <c r="B1897" t="s">
        <v>32</v>
      </c>
      <c r="C1897" s="18">
        <v>44667</v>
      </c>
      <c r="D1897">
        <v>14</v>
      </c>
    </row>
    <row r="1898" spans="1:4" x14ac:dyDescent="0.3">
      <c r="A1898" t="s">
        <v>1006</v>
      </c>
      <c r="B1898" t="s">
        <v>29</v>
      </c>
      <c r="C1898" s="18">
        <v>44617</v>
      </c>
      <c r="D1898">
        <v>28</v>
      </c>
    </row>
    <row r="1899" spans="1:4" x14ac:dyDescent="0.3">
      <c r="A1899" t="s">
        <v>1006</v>
      </c>
      <c r="B1899" t="s">
        <v>25</v>
      </c>
      <c r="C1899" s="18">
        <v>44848</v>
      </c>
      <c r="D1899">
        <v>16</v>
      </c>
    </row>
    <row r="1900" spans="1:4" x14ac:dyDescent="0.3">
      <c r="A1900" t="s">
        <v>1007</v>
      </c>
      <c r="B1900" t="s">
        <v>30</v>
      </c>
      <c r="C1900" s="18">
        <v>44979</v>
      </c>
      <c r="D1900">
        <v>75</v>
      </c>
    </row>
    <row r="1901" spans="1:4" x14ac:dyDescent="0.3">
      <c r="A1901" t="s">
        <v>1007</v>
      </c>
      <c r="B1901" t="s">
        <v>25</v>
      </c>
      <c r="C1901" s="18">
        <v>44744</v>
      </c>
      <c r="D1901">
        <v>16</v>
      </c>
    </row>
    <row r="1902" spans="1:4" x14ac:dyDescent="0.3">
      <c r="A1902" t="s">
        <v>1008</v>
      </c>
      <c r="B1902" t="s">
        <v>29</v>
      </c>
      <c r="C1902" s="18">
        <v>44783</v>
      </c>
      <c r="D1902">
        <v>28</v>
      </c>
    </row>
    <row r="1903" spans="1:4" x14ac:dyDescent="0.3">
      <c r="A1903" t="s">
        <v>1008</v>
      </c>
      <c r="B1903" t="s">
        <v>34</v>
      </c>
      <c r="C1903" s="18">
        <v>44835</v>
      </c>
      <c r="D1903">
        <v>22</v>
      </c>
    </row>
    <row r="1904" spans="1:4" x14ac:dyDescent="0.3">
      <c r="A1904" t="s">
        <v>1009</v>
      </c>
      <c r="B1904" t="s">
        <v>23</v>
      </c>
      <c r="C1904" s="18">
        <v>44571</v>
      </c>
      <c r="D1904">
        <v>65</v>
      </c>
    </row>
    <row r="1905" spans="1:4" x14ac:dyDescent="0.3">
      <c r="A1905" t="s">
        <v>1009</v>
      </c>
      <c r="B1905" t="s">
        <v>32</v>
      </c>
      <c r="C1905" s="18">
        <v>44711</v>
      </c>
      <c r="D1905">
        <v>14</v>
      </c>
    </row>
    <row r="1906" spans="1:4" x14ac:dyDescent="0.3">
      <c r="A1906" t="s">
        <v>1009</v>
      </c>
      <c r="B1906" t="s">
        <v>24</v>
      </c>
      <c r="C1906" s="18">
        <v>44876</v>
      </c>
      <c r="D1906">
        <v>13</v>
      </c>
    </row>
    <row r="1907" spans="1:4" x14ac:dyDescent="0.3">
      <c r="A1907" t="s">
        <v>1010</v>
      </c>
      <c r="B1907" t="s">
        <v>27</v>
      </c>
      <c r="C1907" s="18">
        <v>44659</v>
      </c>
      <c r="D1907">
        <v>25</v>
      </c>
    </row>
    <row r="1908" spans="1:4" x14ac:dyDescent="0.3">
      <c r="A1908" t="s">
        <v>1010</v>
      </c>
      <c r="B1908" t="s">
        <v>25</v>
      </c>
      <c r="C1908" s="18">
        <v>45019</v>
      </c>
      <c r="D1908">
        <v>16</v>
      </c>
    </row>
    <row r="1909" spans="1:4" x14ac:dyDescent="0.3">
      <c r="A1909" t="s">
        <v>1011</v>
      </c>
      <c r="B1909" t="s">
        <v>23</v>
      </c>
      <c r="C1909" s="18">
        <v>44634</v>
      </c>
      <c r="D1909">
        <v>65</v>
      </c>
    </row>
    <row r="1910" spans="1:4" x14ac:dyDescent="0.3">
      <c r="A1910" t="s">
        <v>1011</v>
      </c>
      <c r="B1910" t="s">
        <v>33</v>
      </c>
      <c r="C1910" s="18">
        <v>44808</v>
      </c>
      <c r="D1910">
        <v>27</v>
      </c>
    </row>
    <row r="1911" spans="1:4" x14ac:dyDescent="0.3">
      <c r="A1911" t="s">
        <v>1011</v>
      </c>
      <c r="B1911" t="s">
        <v>20</v>
      </c>
      <c r="C1911" s="18">
        <v>44947</v>
      </c>
      <c r="D1911">
        <v>10</v>
      </c>
    </row>
    <row r="1912" spans="1:4" x14ac:dyDescent="0.3">
      <c r="A1912" t="s">
        <v>1012</v>
      </c>
      <c r="B1912" t="s">
        <v>33</v>
      </c>
      <c r="C1912" s="18">
        <v>44799</v>
      </c>
      <c r="D1912">
        <v>27</v>
      </c>
    </row>
    <row r="1913" spans="1:4" x14ac:dyDescent="0.3">
      <c r="A1913" t="s">
        <v>1012</v>
      </c>
      <c r="B1913" t="s">
        <v>25</v>
      </c>
      <c r="C1913" s="18">
        <v>44682</v>
      </c>
      <c r="D1913">
        <v>16</v>
      </c>
    </row>
    <row r="1914" spans="1:4" x14ac:dyDescent="0.3">
      <c r="A1914" t="s">
        <v>1013</v>
      </c>
      <c r="B1914" t="s">
        <v>22</v>
      </c>
      <c r="C1914" s="18">
        <v>44608</v>
      </c>
      <c r="D1914">
        <v>62</v>
      </c>
    </row>
    <row r="1915" spans="1:4" x14ac:dyDescent="0.3">
      <c r="A1915" t="s">
        <v>1013</v>
      </c>
      <c r="B1915" t="s">
        <v>32</v>
      </c>
      <c r="C1915" s="18">
        <v>44769</v>
      </c>
      <c r="D1915">
        <v>14</v>
      </c>
    </row>
    <row r="1916" spans="1:4" x14ac:dyDescent="0.3">
      <c r="A1916" t="s">
        <v>1014</v>
      </c>
      <c r="B1916" t="s">
        <v>23</v>
      </c>
      <c r="C1916" s="18">
        <v>44666</v>
      </c>
      <c r="D1916">
        <v>65</v>
      </c>
    </row>
    <row r="1917" spans="1:4" x14ac:dyDescent="0.3">
      <c r="A1917" t="s">
        <v>1014</v>
      </c>
      <c r="B1917" t="s">
        <v>21</v>
      </c>
      <c r="C1917" s="18">
        <v>44669</v>
      </c>
      <c r="D1917">
        <v>26</v>
      </c>
    </row>
    <row r="1918" spans="1:4" x14ac:dyDescent="0.3">
      <c r="A1918" t="s">
        <v>1015</v>
      </c>
      <c r="B1918" t="s">
        <v>26</v>
      </c>
      <c r="C1918" s="18">
        <v>44920</v>
      </c>
      <c r="D1918">
        <v>29</v>
      </c>
    </row>
    <row r="1919" spans="1:4" x14ac:dyDescent="0.3">
      <c r="A1919" t="s">
        <v>1015</v>
      </c>
      <c r="B1919" t="s">
        <v>35</v>
      </c>
      <c r="C1919" s="18">
        <v>44660</v>
      </c>
      <c r="D1919">
        <v>26</v>
      </c>
    </row>
    <row r="1920" spans="1:4" x14ac:dyDescent="0.3">
      <c r="A1920" t="s">
        <v>1016</v>
      </c>
      <c r="B1920" t="s">
        <v>21</v>
      </c>
      <c r="C1920" s="18">
        <v>44756</v>
      </c>
      <c r="D1920">
        <v>26</v>
      </c>
    </row>
    <row r="1921" spans="1:4" x14ac:dyDescent="0.3">
      <c r="A1921" t="s">
        <v>1016</v>
      </c>
      <c r="B1921" t="s">
        <v>32</v>
      </c>
      <c r="C1921" s="18">
        <v>44892</v>
      </c>
      <c r="D1921">
        <v>14</v>
      </c>
    </row>
    <row r="1922" spans="1:4" x14ac:dyDescent="0.3">
      <c r="A1922" t="s">
        <v>1017</v>
      </c>
      <c r="B1922" t="s">
        <v>28</v>
      </c>
      <c r="C1922" s="18">
        <v>44814</v>
      </c>
      <c r="D1922">
        <v>66</v>
      </c>
    </row>
    <row r="1923" spans="1:4" x14ac:dyDescent="0.3">
      <c r="A1923" t="s">
        <v>1017</v>
      </c>
      <c r="B1923" t="s">
        <v>20</v>
      </c>
      <c r="C1923" s="18">
        <v>44838</v>
      </c>
      <c r="D1923">
        <v>10</v>
      </c>
    </row>
    <row r="1924" spans="1:4" x14ac:dyDescent="0.3">
      <c r="A1924" t="s">
        <v>1018</v>
      </c>
      <c r="B1924" t="s">
        <v>34</v>
      </c>
      <c r="C1924" s="18">
        <v>44763</v>
      </c>
      <c r="D1924">
        <v>22</v>
      </c>
    </row>
    <row r="1925" spans="1:4" x14ac:dyDescent="0.3">
      <c r="A1925" t="s">
        <v>1018</v>
      </c>
      <c r="B1925" t="s">
        <v>32</v>
      </c>
      <c r="C1925" s="18">
        <v>45019</v>
      </c>
      <c r="D1925">
        <v>14</v>
      </c>
    </row>
    <row r="1926" spans="1:4" x14ac:dyDescent="0.3">
      <c r="A1926" t="s">
        <v>1019</v>
      </c>
      <c r="B1926" t="s">
        <v>29</v>
      </c>
      <c r="C1926" s="18">
        <v>44628</v>
      </c>
      <c r="D1926">
        <v>28</v>
      </c>
    </row>
    <row r="1927" spans="1:4" x14ac:dyDescent="0.3">
      <c r="A1927" t="s">
        <v>1019</v>
      </c>
      <c r="B1927" t="s">
        <v>25</v>
      </c>
      <c r="C1927" s="18">
        <v>44732</v>
      </c>
      <c r="D1927">
        <v>16</v>
      </c>
    </row>
    <row r="1928" spans="1:4" x14ac:dyDescent="0.3">
      <c r="A1928" t="s">
        <v>1020</v>
      </c>
      <c r="B1928" t="s">
        <v>23</v>
      </c>
      <c r="C1928" s="18">
        <v>44716</v>
      </c>
      <c r="D1928">
        <v>65</v>
      </c>
    </row>
    <row r="1929" spans="1:4" x14ac:dyDescent="0.3">
      <c r="A1929" t="s">
        <v>1020</v>
      </c>
      <c r="B1929" t="s">
        <v>26</v>
      </c>
      <c r="C1929" s="18">
        <v>44907</v>
      </c>
      <c r="D1929">
        <v>29</v>
      </c>
    </row>
    <row r="1930" spans="1:4" x14ac:dyDescent="0.3">
      <c r="A1930" t="s">
        <v>1021</v>
      </c>
      <c r="B1930" t="s">
        <v>32</v>
      </c>
      <c r="C1930" s="18">
        <v>44585</v>
      </c>
      <c r="D1930">
        <v>14</v>
      </c>
    </row>
    <row r="1931" spans="1:4" x14ac:dyDescent="0.3">
      <c r="A1931" t="s">
        <v>1022</v>
      </c>
      <c r="B1931" t="s">
        <v>30</v>
      </c>
      <c r="C1931" s="18">
        <v>44883</v>
      </c>
      <c r="D1931">
        <v>75</v>
      </c>
    </row>
    <row r="1932" spans="1:4" x14ac:dyDescent="0.3">
      <c r="A1932" t="s">
        <v>1022</v>
      </c>
      <c r="B1932" t="s">
        <v>33</v>
      </c>
      <c r="C1932" s="18">
        <v>44862</v>
      </c>
      <c r="D1932">
        <v>27</v>
      </c>
    </row>
    <row r="1933" spans="1:4" x14ac:dyDescent="0.3">
      <c r="A1933" t="s">
        <v>1022</v>
      </c>
      <c r="B1933" t="s">
        <v>34</v>
      </c>
      <c r="C1933" s="18">
        <v>44631</v>
      </c>
      <c r="D1933">
        <v>22</v>
      </c>
    </row>
    <row r="1934" spans="1:4" x14ac:dyDescent="0.3">
      <c r="A1934" t="s">
        <v>1023</v>
      </c>
      <c r="B1934" t="s">
        <v>27</v>
      </c>
      <c r="C1934" s="18">
        <v>44664</v>
      </c>
      <c r="D1934">
        <v>25</v>
      </c>
    </row>
    <row r="1935" spans="1:4" x14ac:dyDescent="0.3">
      <c r="A1935" t="s">
        <v>1024</v>
      </c>
      <c r="B1935" t="s">
        <v>22</v>
      </c>
      <c r="C1935" s="18">
        <v>44774</v>
      </c>
      <c r="D1935">
        <v>62</v>
      </c>
    </row>
    <row r="1936" spans="1:4" x14ac:dyDescent="0.3">
      <c r="A1936" t="s">
        <v>1024</v>
      </c>
      <c r="B1936" t="s">
        <v>33</v>
      </c>
      <c r="C1936" s="18">
        <v>44853</v>
      </c>
      <c r="D1936">
        <v>27</v>
      </c>
    </row>
    <row r="1937" spans="1:4" x14ac:dyDescent="0.3">
      <c r="A1937" t="s">
        <v>1025</v>
      </c>
      <c r="B1937" t="s">
        <v>25</v>
      </c>
      <c r="C1937" s="18">
        <v>44995</v>
      </c>
      <c r="D1937">
        <v>16</v>
      </c>
    </row>
    <row r="1938" spans="1:4" x14ac:dyDescent="0.3">
      <c r="A1938" t="s">
        <v>1025</v>
      </c>
      <c r="B1938" t="s">
        <v>20</v>
      </c>
      <c r="C1938" s="18">
        <v>44812</v>
      </c>
      <c r="D1938">
        <v>10</v>
      </c>
    </row>
    <row r="1939" spans="1:4" x14ac:dyDescent="0.3">
      <c r="A1939" t="s">
        <v>1026</v>
      </c>
      <c r="B1939" t="s">
        <v>31</v>
      </c>
      <c r="C1939" s="18">
        <v>44905</v>
      </c>
      <c r="D1939">
        <v>62</v>
      </c>
    </row>
    <row r="1940" spans="1:4" x14ac:dyDescent="0.3">
      <c r="A1940" t="s">
        <v>1026</v>
      </c>
      <c r="B1940" t="s">
        <v>25</v>
      </c>
      <c r="C1940" s="18">
        <v>45000</v>
      </c>
      <c r="D1940">
        <v>16</v>
      </c>
    </row>
    <row r="1941" spans="1:4" x14ac:dyDescent="0.3">
      <c r="A1941" t="s">
        <v>1027</v>
      </c>
      <c r="B1941" t="s">
        <v>35</v>
      </c>
      <c r="C1941" s="18">
        <v>44821</v>
      </c>
      <c r="D1941">
        <v>26</v>
      </c>
    </row>
    <row r="1942" spans="1:4" x14ac:dyDescent="0.3">
      <c r="A1942" t="s">
        <v>1027</v>
      </c>
      <c r="B1942" t="s">
        <v>24</v>
      </c>
      <c r="C1942" s="18">
        <v>44768</v>
      </c>
      <c r="D1942">
        <v>13</v>
      </c>
    </row>
    <row r="1943" spans="1:4" x14ac:dyDescent="0.3">
      <c r="A1943" t="s">
        <v>1028</v>
      </c>
      <c r="B1943" t="s">
        <v>28</v>
      </c>
      <c r="C1943" s="18">
        <v>44940</v>
      </c>
      <c r="D1943">
        <v>66</v>
      </c>
    </row>
    <row r="1944" spans="1:4" x14ac:dyDescent="0.3">
      <c r="A1944" t="s">
        <v>1028</v>
      </c>
      <c r="B1944" t="s">
        <v>35</v>
      </c>
      <c r="C1944" s="18">
        <v>44964</v>
      </c>
      <c r="D1944">
        <v>26</v>
      </c>
    </row>
    <row r="1945" spans="1:4" x14ac:dyDescent="0.3">
      <c r="A1945" t="s">
        <v>1029</v>
      </c>
      <c r="B1945" t="s">
        <v>31</v>
      </c>
      <c r="C1945" s="18">
        <v>44906</v>
      </c>
      <c r="D1945">
        <v>62</v>
      </c>
    </row>
    <row r="1946" spans="1:4" x14ac:dyDescent="0.3">
      <c r="A1946" t="s">
        <v>1029</v>
      </c>
      <c r="B1946" t="s">
        <v>27</v>
      </c>
      <c r="C1946" s="18">
        <v>45032</v>
      </c>
      <c r="D1946">
        <v>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9BF18-09C8-4D08-958A-10EBB709925D}">
  <dimension ref="B3:G975"/>
  <sheetViews>
    <sheetView tabSelected="1" workbookViewId="0">
      <selection activeCell="J12" sqref="J12"/>
    </sheetView>
  </sheetViews>
  <sheetFormatPr defaultRowHeight="14.4" x14ac:dyDescent="0.3"/>
  <cols>
    <col min="2" max="2" width="22.109375" bestFit="1" customWidth="1"/>
    <col min="3" max="3" width="23.6640625" customWidth="1"/>
    <col min="4" max="4" width="23.109375" customWidth="1"/>
    <col min="5" max="5" width="20.44140625" customWidth="1"/>
    <col min="6" max="6" width="16" customWidth="1"/>
    <col min="7" max="7" width="53.44140625" bestFit="1" customWidth="1"/>
  </cols>
  <sheetData>
    <row r="3" spans="2:7" x14ac:dyDescent="0.3">
      <c r="B3" t="s">
        <v>1035</v>
      </c>
      <c r="C3" s="3" t="s">
        <v>1036</v>
      </c>
      <c r="D3" s="3" t="s">
        <v>1037</v>
      </c>
      <c r="E3" s="3" t="s">
        <v>1040</v>
      </c>
      <c r="F3" s="3" t="s">
        <v>1038</v>
      </c>
      <c r="G3" s="3" t="s">
        <v>1039</v>
      </c>
    </row>
    <row r="4" spans="2:7" x14ac:dyDescent="0.3">
      <c r="B4" t="s">
        <v>58</v>
      </c>
      <c r="C4" s="3" t="str" cm="1">
        <f t="array" ref="C4">_xlfn.XLOOKUP(1,(pivot!$A$2:$A$1946=Table3[[#This Row],[Müştəri adı]])*(pivot!$C$2:$C$1946=_xlfn.MAXIFS(pivot!$C$2:$C$1946,pivot!$A$2:$A$1946,Table3[[#This Row],[Müştəri adı]])),pivot!$B$2:$B$1946)</f>
        <v>NewCellphoneUser</v>
      </c>
      <c r="D4" s="22" cm="1">
        <f t="array" ref="D4">_xlfn.XLOOKUP(1,
  (pivot!$A$2:$A$1946=endirim!B4) * (pivot!$C$2:$C$1946 = _xlfn.MAXIFS(pivot!$C$2:$C$1946, pivot!$A$2:$A$1946, endirim!B4)),
  pivot!$D$2:$D$1946)</f>
        <v>25</v>
      </c>
      <c r="E4" s="3" t="str" cm="1">
        <f t="array" ref="E4">_xlfn.XLOOKUP(1,
    (pivot!$A$2:$A$1946=endirim!B4) * (pivot!$D$2:$D$1946 = _xlfn.MAXIFS(pivot!$D$2:$D$1946, pivot!$A$2:$A$1946, endirim!B4)),
    pivot!$B$2:$B$1946)</f>
        <v>HandsetWebCapable</v>
      </c>
      <c r="F4" s="22">
        <f>_xlfn.MAXIFS(pivot!$D$2:$D$1946, pivot!$A$2:$A$1946, endirim!B4)</f>
        <v>62</v>
      </c>
      <c r="G4" s="3" t="str">
        <f t="shared" ref="G4:G67" si="0">IF(D4=F4, "Təklif yoxdur", E4&amp;" Kompaniyasını 20% endirimlə təklif et")</f>
        <v>HandsetWebCapable Kompaniyasını 20% endirimlə təklif et</v>
      </c>
    </row>
    <row r="5" spans="2:7" x14ac:dyDescent="0.3">
      <c r="B5" t="s">
        <v>59</v>
      </c>
      <c r="C5" s="3" t="str" cm="1">
        <f t="array" ref="C5">_xlfn.XLOOKUP(1,(pivot!$A$2:$A$1946=Table3[[#This Row],[Müştəri adı]])*(pivot!$C$2:$C$1946=_xlfn.MAXIFS(pivot!$C$2:$C$1946,pivot!$A$2:$A$1946,Table3[[#This Row],[Müştəri adı]])),pivot!$B$2:$B$1946)</f>
        <v>BuysViaMailOrder</v>
      </c>
      <c r="D5" s="22" cm="1">
        <f t="array" ref="D5">_xlfn.XLOOKUP(1,
  (pivot!$A$2:$A$1946=endirim!B5) * (pivot!$C$2:$C$1946 = _xlfn.MAXIFS(pivot!$C$2:$C$1946, pivot!$A$2:$A$1946, endirim!B5)),
  pivot!$D$2:$D$1946)</f>
        <v>25</v>
      </c>
      <c r="E5" s="3" t="str" cm="1">
        <f t="array" ref="E5">_xlfn.XLOOKUP(1,
    (pivot!$A$2:$A$1946=endirim!B5) * (pivot!$D$2:$D$1946 = _xlfn.MAXIFS(pivot!$D$2:$D$1946, pivot!$A$2:$A$1946, endirim!B5)),
    pivot!$B$2:$B$1946)</f>
        <v>BuysViaMailOrder</v>
      </c>
      <c r="F5" s="22">
        <f>_xlfn.MAXIFS(pivot!$D$2:$D$1946, pivot!$A$2:$A$1946, endirim!B5)</f>
        <v>25</v>
      </c>
      <c r="G5" s="3" t="str">
        <f t="shared" si="0"/>
        <v>Təklif yoxdur</v>
      </c>
    </row>
    <row r="6" spans="2:7" x14ac:dyDescent="0.3">
      <c r="B6" t="s">
        <v>60</v>
      </c>
      <c r="C6" s="3" t="str" cm="1">
        <f t="array" ref="C6">_xlfn.XLOOKUP(1,(pivot!$A$2:$A$1946=Table3[[#This Row],[Müştəri adı]])*(pivot!$C$2:$C$1946=_xlfn.MAXIFS(pivot!$C$2:$C$1946,pivot!$A$2:$A$1946,Table3[[#This Row],[Müştəri adı]])),pivot!$B$2:$B$1946)</f>
        <v>RespondsToMailOffers</v>
      </c>
      <c r="D6" s="22" cm="1">
        <f t="array" ref="D6">_xlfn.XLOOKUP(1,
  (pivot!$A$2:$A$1946=endirim!B6) * (pivot!$C$2:$C$1946 = _xlfn.MAXIFS(pivot!$C$2:$C$1946, pivot!$A$2:$A$1946, endirim!B6)),
  pivot!$D$2:$D$1946)</f>
        <v>27</v>
      </c>
      <c r="E6" s="3" t="str" cm="1">
        <f t="array" ref="E6">_xlfn.XLOOKUP(1,
    (pivot!$A$2:$A$1946=endirim!B6) * (pivot!$D$2:$D$1946 = _xlfn.MAXIFS(pivot!$D$2:$D$1946, pivot!$A$2:$A$1946, endirim!B6)),
    pivot!$B$2:$B$1946)</f>
        <v>MaritalStatus</v>
      </c>
      <c r="F6" s="22">
        <f>_xlfn.MAXIFS(pivot!$D$2:$D$1946, pivot!$A$2:$A$1946, endirim!B6)</f>
        <v>29</v>
      </c>
      <c r="G6" s="3" t="str">
        <f t="shared" si="0"/>
        <v>MaritalStatus Kompaniyasını 20% endirimlə təklif et</v>
      </c>
    </row>
    <row r="7" spans="2:7" x14ac:dyDescent="0.3">
      <c r="B7" t="s">
        <v>61</v>
      </c>
      <c r="C7" s="3" t="str" cm="1">
        <f t="array" ref="C7">_xlfn.XLOOKUP(1,(pivot!$A$2:$A$1946=Table3[[#This Row],[Müştəri adı]])*(pivot!$C$2:$C$1946=_xlfn.MAXIFS(pivot!$C$2:$C$1946,pivot!$A$2:$A$1946,Table3[[#This Row],[Müştəri adı]])),pivot!$B$2:$B$1946)</f>
        <v>HandsetRefurbished</v>
      </c>
      <c r="D7" s="22" cm="1">
        <f t="array" ref="D7">_xlfn.XLOOKUP(1,
  (pivot!$A$2:$A$1946=endirim!B7) * (pivot!$C$2:$C$1946 = _xlfn.MAXIFS(pivot!$C$2:$C$1946, pivot!$A$2:$A$1946, endirim!B7)),
  pivot!$D$2:$D$1946)</f>
        <v>26</v>
      </c>
      <c r="E7" s="3" t="str" cm="1">
        <f t="array" ref="E7">_xlfn.XLOOKUP(1,
    (pivot!$A$2:$A$1946=endirim!B7) * (pivot!$D$2:$D$1946 = _xlfn.MAXIFS(pivot!$D$2:$D$1946, pivot!$A$2:$A$1946, endirim!B7)),
    pivot!$B$2:$B$1946)</f>
        <v>NonUSTravel</v>
      </c>
      <c r="F7" s="22">
        <f>_xlfn.MAXIFS(pivot!$D$2:$D$1946, pivot!$A$2:$A$1946, endirim!B7)</f>
        <v>66</v>
      </c>
      <c r="G7" s="3" t="str">
        <f t="shared" si="0"/>
        <v>NonUSTravel Kompaniyasını 20% endirimlə təklif et</v>
      </c>
    </row>
    <row r="8" spans="2:7" x14ac:dyDescent="0.3">
      <c r="B8" t="s">
        <v>62</v>
      </c>
      <c r="C8" s="3" t="str" cm="1">
        <f t="array" ref="C8">_xlfn.XLOOKUP(1,(pivot!$A$2:$A$1946=Table3[[#This Row],[Müştəri adı]])*(pivot!$C$2:$C$1946=_xlfn.MAXIFS(pivot!$C$2:$C$1946,pivot!$A$2:$A$1946,Table3[[#This Row],[Müştəri adı]])),pivot!$B$2:$B$1946)</f>
        <v>BuysViaMailOrder</v>
      </c>
      <c r="D8" s="22" cm="1">
        <f t="array" ref="D8">_xlfn.XLOOKUP(1,
  (pivot!$A$2:$A$1946=endirim!B8) * (pivot!$C$2:$C$1946 = _xlfn.MAXIFS(pivot!$C$2:$C$1946, pivot!$A$2:$A$1946, endirim!B8)),
  pivot!$D$2:$D$1946)</f>
        <v>25</v>
      </c>
      <c r="E8" s="3" t="str" cm="1">
        <f t="array" ref="E8">_xlfn.XLOOKUP(1,
    (pivot!$A$2:$A$1946=endirim!B8) * (pivot!$D$2:$D$1946 = _xlfn.MAXIFS(pivot!$D$2:$D$1946, pivot!$A$2:$A$1946, endirim!B8)),
    pivot!$B$2:$B$1946)</f>
        <v>NonUSTravel</v>
      </c>
      <c r="F8" s="22">
        <f>_xlfn.MAXIFS(pivot!$D$2:$D$1946, pivot!$A$2:$A$1946, endirim!B8)</f>
        <v>66</v>
      </c>
      <c r="G8" s="3" t="str">
        <f t="shared" si="0"/>
        <v>NonUSTravel Kompaniyasını 20% endirimlə təklif et</v>
      </c>
    </row>
    <row r="9" spans="2:7" x14ac:dyDescent="0.3">
      <c r="B9" t="s">
        <v>63</v>
      </c>
      <c r="C9" s="3" t="str" cm="1">
        <f t="array" ref="C9">_xlfn.XLOOKUP(1,(pivot!$A$2:$A$1946=Table3[[#This Row],[Müştəri adı]])*(pivot!$C$2:$C$1946=_xlfn.MAXIFS(pivot!$C$2:$C$1946,pivot!$A$2:$A$1946,Table3[[#This Row],[Müştəri adı]])),pivot!$B$2:$B$1946)</f>
        <v>OwnsMotorcycle</v>
      </c>
      <c r="D9" s="22" cm="1">
        <f t="array" ref="D9">_xlfn.XLOOKUP(1,
  (pivot!$A$2:$A$1946=endirim!B9) * (pivot!$C$2:$C$1946 = _xlfn.MAXIFS(pivot!$C$2:$C$1946, pivot!$A$2:$A$1946, endirim!B9)),
  pivot!$D$2:$D$1946)</f>
        <v>14</v>
      </c>
      <c r="E9" s="3" t="str" cm="1">
        <f t="array" ref="E9">_xlfn.XLOOKUP(1,
    (pivot!$A$2:$A$1946=endirim!B9) * (pivot!$D$2:$D$1946 = _xlfn.MAXIFS(pivot!$D$2:$D$1946, pivot!$A$2:$A$1946, endirim!B9)),
    pivot!$B$2:$B$1946)</f>
        <v>OwnsMotorcycle</v>
      </c>
      <c r="F9" s="22">
        <f>_xlfn.MAXIFS(pivot!$D$2:$D$1946, pivot!$A$2:$A$1946, endirim!B9)</f>
        <v>14</v>
      </c>
      <c r="G9" s="3" t="str">
        <f t="shared" si="0"/>
        <v>Təklif yoxdur</v>
      </c>
    </row>
    <row r="10" spans="2:7" x14ac:dyDescent="0.3">
      <c r="B10" t="s">
        <v>64</v>
      </c>
      <c r="C10" s="3" t="str" cm="1">
        <f t="array" ref="C10">_xlfn.XLOOKUP(1,(pivot!$A$2:$A$1946=Table3[[#This Row],[Müştəri adı]])*(pivot!$C$2:$C$1946=_xlfn.MAXIFS(pivot!$C$2:$C$1946,pivot!$A$2:$A$1946,Table3[[#This Row],[Müştəri adı]])),pivot!$B$2:$B$1946)</f>
        <v>RVOwner</v>
      </c>
      <c r="D10" s="22" cm="1">
        <f t="array" ref="D10">_xlfn.XLOOKUP(1,
  (pivot!$A$2:$A$1946=endirim!B10) * (pivot!$C$2:$C$1946 = _xlfn.MAXIFS(pivot!$C$2:$C$1946, pivot!$A$2:$A$1946, endirim!B10)),
  pivot!$D$2:$D$1946)</f>
        <v>22</v>
      </c>
      <c r="E10" s="3" t="str" cm="1">
        <f t="array" ref="E10">_xlfn.XLOOKUP(1,
    (pivot!$A$2:$A$1946=endirim!B10) * (pivot!$D$2:$D$1946 = _xlfn.MAXIFS(pivot!$D$2:$D$1946, pivot!$A$2:$A$1946, endirim!B10)),
    pivot!$B$2:$B$1946)</f>
        <v>BuysViaMailOrder</v>
      </c>
      <c r="F10" s="22">
        <f>_xlfn.MAXIFS(pivot!$D$2:$D$1946, pivot!$A$2:$A$1946, endirim!B10)</f>
        <v>25</v>
      </c>
      <c r="G10" s="3" t="str">
        <f t="shared" si="0"/>
        <v>BuysViaMailOrder Kompaniyasını 20% endirimlə təklif et</v>
      </c>
    </row>
    <row r="11" spans="2:7" x14ac:dyDescent="0.3">
      <c r="B11" t="s">
        <v>65</v>
      </c>
      <c r="C11" s="3" t="str" cm="1">
        <f t="array" ref="C11">_xlfn.XLOOKUP(1,(pivot!$A$2:$A$1946=Table3[[#This Row],[Müştəri adı]])*(pivot!$C$2:$C$1946=_xlfn.MAXIFS(pivot!$C$2:$C$1946,pivot!$A$2:$A$1946,Table3[[#This Row],[Müştəri adı]])),pivot!$B$2:$B$1946)</f>
        <v>ChildrenInHH</v>
      </c>
      <c r="D11" s="22" cm="1">
        <f t="array" ref="D11">_xlfn.XLOOKUP(1,
  (pivot!$A$2:$A$1946=endirim!B11) * (pivot!$C$2:$C$1946 = _xlfn.MAXIFS(pivot!$C$2:$C$1946, pivot!$A$2:$A$1946, endirim!B11)),
  pivot!$D$2:$D$1946)</f>
        <v>10</v>
      </c>
      <c r="E11" s="3" t="str" cm="1">
        <f t="array" ref="E11">_xlfn.XLOOKUP(1,
    (pivot!$A$2:$A$1946=endirim!B11) * (pivot!$D$2:$D$1946 = _xlfn.MAXIFS(pivot!$D$2:$D$1946, pivot!$A$2:$A$1946, endirim!B11)),
    pivot!$B$2:$B$1946)</f>
        <v>ChildrenInHH</v>
      </c>
      <c r="F11" s="22">
        <f>_xlfn.MAXIFS(pivot!$D$2:$D$1946, pivot!$A$2:$A$1946, endirim!B11)</f>
        <v>10</v>
      </c>
      <c r="G11" s="3" t="str">
        <f t="shared" si="0"/>
        <v>Təklif yoxdur</v>
      </c>
    </row>
    <row r="12" spans="2:7" x14ac:dyDescent="0.3">
      <c r="B12" t="s">
        <v>66</v>
      </c>
      <c r="C12" s="3" t="str" cm="1">
        <f t="array" ref="C12">_xlfn.XLOOKUP(1,(pivot!$A$2:$A$1946=Table3[[#This Row],[Müştəri adı]])*(pivot!$C$2:$C$1946=_xlfn.MAXIFS(pivot!$C$2:$C$1946,pivot!$A$2:$A$1946,Table3[[#This Row],[Müştəri adı]])),pivot!$B$2:$B$1946)</f>
        <v>OwnsComputer</v>
      </c>
      <c r="D12" s="22" cm="1">
        <f t="array" ref="D12">_xlfn.XLOOKUP(1,
  (pivot!$A$2:$A$1946=endirim!B12) * (pivot!$C$2:$C$1946 = _xlfn.MAXIFS(pivot!$C$2:$C$1946, pivot!$A$2:$A$1946, endirim!B12)),
  pivot!$D$2:$D$1946)</f>
        <v>62</v>
      </c>
      <c r="E12" s="3" t="str" cm="1">
        <f t="array" ref="E12">_xlfn.XLOOKUP(1,
    (pivot!$A$2:$A$1946=endirim!B12) * (pivot!$D$2:$D$1946 = _xlfn.MAXIFS(pivot!$D$2:$D$1946, pivot!$A$2:$A$1946, endirim!B12)),
    pivot!$B$2:$B$1946)</f>
        <v>OwnsComputer</v>
      </c>
      <c r="F12" s="22">
        <f>_xlfn.MAXIFS(pivot!$D$2:$D$1946, pivot!$A$2:$A$1946, endirim!B12)</f>
        <v>62</v>
      </c>
      <c r="G12" s="3" t="str">
        <f t="shared" si="0"/>
        <v>Təklif yoxdur</v>
      </c>
    </row>
    <row r="13" spans="2:7" x14ac:dyDescent="0.3">
      <c r="B13" t="s">
        <v>67</v>
      </c>
      <c r="C13" s="3" t="str" cm="1">
        <f t="array" ref="C13">_xlfn.XLOOKUP(1,(pivot!$A$2:$A$1946=Table3[[#This Row],[Müştəri adı]])*(pivot!$C$2:$C$1946=_xlfn.MAXIFS(pivot!$C$2:$C$1946,pivot!$A$2:$A$1946,Table3[[#This Row],[Müştəri adı]])),pivot!$B$2:$B$1946)</f>
        <v>HandsetWebCapable</v>
      </c>
      <c r="D13" s="22" cm="1">
        <f t="array" ref="D13">_xlfn.XLOOKUP(1,
  (pivot!$A$2:$A$1946=endirim!B13) * (pivot!$C$2:$C$1946 = _xlfn.MAXIFS(pivot!$C$2:$C$1946, pivot!$A$2:$A$1946, endirim!B13)),
  pivot!$D$2:$D$1946)</f>
        <v>62</v>
      </c>
      <c r="E13" s="3" t="str" cm="1">
        <f t="array" ref="E13">_xlfn.XLOOKUP(1,
    (pivot!$A$2:$A$1946=endirim!B13) * (pivot!$D$2:$D$1946 = _xlfn.MAXIFS(pivot!$D$2:$D$1946, pivot!$A$2:$A$1946, endirim!B13)),
    pivot!$B$2:$B$1946)</f>
        <v>HasCreditCard</v>
      </c>
      <c r="F13" s="22">
        <f>_xlfn.MAXIFS(pivot!$D$2:$D$1946, pivot!$A$2:$A$1946, endirim!B13)</f>
        <v>65</v>
      </c>
      <c r="G13" s="3" t="str">
        <f t="shared" si="0"/>
        <v>HasCreditCard Kompaniyasını 20% endirimlə təklif et</v>
      </c>
    </row>
    <row r="14" spans="2:7" x14ac:dyDescent="0.3">
      <c r="B14" t="s">
        <v>68</v>
      </c>
      <c r="C14" s="3" t="str" cm="1">
        <f t="array" ref="C14">_xlfn.XLOOKUP(1,(pivot!$A$2:$A$1946=Table3[[#This Row],[Müştəri adı]])*(pivot!$C$2:$C$1946=_xlfn.MAXIFS(pivot!$C$2:$C$1946,pivot!$A$2:$A$1946,Table3[[#This Row],[Müştəri adı]])),pivot!$B$2:$B$1946)</f>
        <v>RespondsToMailOffers</v>
      </c>
      <c r="D14" s="22" cm="1">
        <f t="array" ref="D14">_xlfn.XLOOKUP(1,
  (pivot!$A$2:$A$1946=endirim!B14) * (pivot!$C$2:$C$1946 = _xlfn.MAXIFS(pivot!$C$2:$C$1946, pivot!$A$2:$A$1946, endirim!B14)),
  pivot!$D$2:$D$1946)</f>
        <v>27</v>
      </c>
      <c r="E14" s="3" t="str" cm="1">
        <f t="array" ref="E14">_xlfn.XLOOKUP(1,
    (pivot!$A$2:$A$1946=endirim!B14) * (pivot!$D$2:$D$1946 = _xlfn.MAXIFS(pivot!$D$2:$D$1946, pivot!$A$2:$A$1946, endirim!B14)),
    pivot!$B$2:$B$1946)</f>
        <v>OptOutMailings</v>
      </c>
      <c r="F14" s="22">
        <f>_xlfn.MAXIFS(pivot!$D$2:$D$1946, pivot!$A$2:$A$1946, endirim!B14)</f>
        <v>75</v>
      </c>
      <c r="G14" s="3" t="str">
        <f t="shared" si="0"/>
        <v>OptOutMailings Kompaniyasını 20% endirimlə təklif et</v>
      </c>
    </row>
    <row r="15" spans="2:7" x14ac:dyDescent="0.3">
      <c r="B15" t="s">
        <v>69</v>
      </c>
      <c r="C15" s="3" t="str" cm="1">
        <f t="array" ref="C15">_xlfn.XLOOKUP(1,(pivot!$A$2:$A$1946=Table3[[#This Row],[Müştəri adı]])*(pivot!$C$2:$C$1946=_xlfn.MAXIFS(pivot!$C$2:$C$1946,pivot!$A$2:$A$1946,Table3[[#This Row],[Müştəri adı]])),pivot!$B$2:$B$1946)</f>
        <v>NonUSTravel</v>
      </c>
      <c r="D15" s="22" cm="1">
        <f t="array" ref="D15">_xlfn.XLOOKUP(1,
  (pivot!$A$2:$A$1946=endirim!B15) * (pivot!$C$2:$C$1946 = _xlfn.MAXIFS(pivot!$C$2:$C$1946, pivot!$A$2:$A$1946, endirim!B15)),
  pivot!$D$2:$D$1946)</f>
        <v>66</v>
      </c>
      <c r="E15" s="3" t="str" cm="1">
        <f t="array" ref="E15">_xlfn.XLOOKUP(1,
    (pivot!$A$2:$A$1946=endirim!B15) * (pivot!$D$2:$D$1946 = _xlfn.MAXIFS(pivot!$D$2:$D$1946, pivot!$A$2:$A$1946, endirim!B15)),
    pivot!$B$2:$B$1946)</f>
        <v>NonUSTravel</v>
      </c>
      <c r="F15" s="22">
        <f>_xlfn.MAXIFS(pivot!$D$2:$D$1946, pivot!$A$2:$A$1946, endirim!B15)</f>
        <v>66</v>
      </c>
      <c r="G15" s="3" t="str">
        <f t="shared" si="0"/>
        <v>Təklif yoxdur</v>
      </c>
    </row>
    <row r="16" spans="2:7" x14ac:dyDescent="0.3">
      <c r="B16" t="s">
        <v>70</v>
      </c>
      <c r="C16" s="3" t="str" cm="1">
        <f t="array" ref="C16">_xlfn.XLOOKUP(1,(pivot!$A$2:$A$1946=Table3[[#This Row],[Müştəri adı]])*(pivot!$C$2:$C$1946=_xlfn.MAXIFS(pivot!$C$2:$C$1946,pivot!$A$2:$A$1946,Table3[[#This Row],[Müştəri adı]])),pivot!$B$2:$B$1946)</f>
        <v>MaritalStatus</v>
      </c>
      <c r="D16" s="22" cm="1">
        <f t="array" ref="D16">_xlfn.XLOOKUP(1,
  (pivot!$A$2:$A$1946=endirim!B16) * (pivot!$C$2:$C$1946 = _xlfn.MAXIFS(pivot!$C$2:$C$1946, pivot!$A$2:$A$1946, endirim!B16)),
  pivot!$D$2:$D$1946)</f>
        <v>29</v>
      </c>
      <c r="E16" s="3" t="str" cm="1">
        <f t="array" ref="E16">_xlfn.XLOOKUP(1,
    (pivot!$A$2:$A$1946=endirim!B16) * (pivot!$D$2:$D$1946 = _xlfn.MAXIFS(pivot!$D$2:$D$1946, pivot!$A$2:$A$1946, endirim!B16)),
    pivot!$B$2:$B$1946)</f>
        <v>HandsetWebCapable</v>
      </c>
      <c r="F16" s="22">
        <f>_xlfn.MAXIFS(pivot!$D$2:$D$1946, pivot!$A$2:$A$1946, endirim!B16)</f>
        <v>62</v>
      </c>
      <c r="G16" s="3" t="str">
        <f t="shared" si="0"/>
        <v>HandsetWebCapable Kompaniyasını 20% endirimlə təklif et</v>
      </c>
    </row>
    <row r="17" spans="2:7" x14ac:dyDescent="0.3">
      <c r="B17" t="s">
        <v>71</v>
      </c>
      <c r="C17" s="3" t="str" cm="1">
        <f t="array" ref="C17">_xlfn.XLOOKUP(1,(pivot!$A$2:$A$1946=Table3[[#This Row],[Müştəri adı]])*(pivot!$C$2:$C$1946=_xlfn.MAXIFS(pivot!$C$2:$C$1946,pivot!$A$2:$A$1946,Table3[[#This Row],[Müştəri adı]])),pivot!$B$2:$B$1946)</f>
        <v>MadeCallToRetentionTeam</v>
      </c>
      <c r="D17" s="22" cm="1">
        <f t="array" ref="D17">_xlfn.XLOOKUP(1,
  (pivot!$A$2:$A$1946=endirim!B17) * (pivot!$C$2:$C$1946 = _xlfn.MAXIFS(pivot!$C$2:$C$1946, pivot!$A$2:$A$1946, endirim!B17)),
  pivot!$D$2:$D$1946)</f>
        <v>16</v>
      </c>
      <c r="E17" s="3" t="str" cm="1">
        <f t="array" ref="E17">_xlfn.XLOOKUP(1,
    (pivot!$A$2:$A$1946=endirim!B17) * (pivot!$D$2:$D$1946 = _xlfn.MAXIFS(pivot!$D$2:$D$1946, pivot!$A$2:$A$1946, endirim!B17)),
    pivot!$B$2:$B$1946)</f>
        <v>NonUSTravel</v>
      </c>
      <c r="F17" s="22">
        <f>_xlfn.MAXIFS(pivot!$D$2:$D$1946, pivot!$A$2:$A$1946, endirim!B17)</f>
        <v>66</v>
      </c>
      <c r="G17" s="3" t="str">
        <f t="shared" si="0"/>
        <v>NonUSTravel Kompaniyasını 20% endirimlə təklif et</v>
      </c>
    </row>
    <row r="18" spans="2:7" x14ac:dyDescent="0.3">
      <c r="B18" t="s">
        <v>72</v>
      </c>
      <c r="C18" s="3" t="str" cm="1">
        <f t="array" ref="C18">_xlfn.XLOOKUP(1,(pivot!$A$2:$A$1946=Table3[[#This Row],[Müştəri adı]])*(pivot!$C$2:$C$1946=_xlfn.MAXIFS(pivot!$C$2:$C$1946,pivot!$A$2:$A$1946,Table3[[#This Row],[Müştəri adı]])),pivot!$B$2:$B$1946)</f>
        <v>NewCellphoneUser</v>
      </c>
      <c r="D18" s="22" cm="1">
        <f t="array" ref="D18">_xlfn.XLOOKUP(1,
  (pivot!$A$2:$A$1946=endirim!B18) * (pivot!$C$2:$C$1946 = _xlfn.MAXIFS(pivot!$C$2:$C$1946, pivot!$A$2:$A$1946, endirim!B18)),
  pivot!$D$2:$D$1946)</f>
        <v>25</v>
      </c>
      <c r="E18" s="3" t="str" cm="1">
        <f t="array" ref="E18">_xlfn.XLOOKUP(1,
    (pivot!$A$2:$A$1946=endirim!B18) * (pivot!$D$2:$D$1946 = _xlfn.MAXIFS(pivot!$D$2:$D$1946, pivot!$A$2:$A$1946, endirim!B18)),
    pivot!$B$2:$B$1946)</f>
        <v>OwnsComputer</v>
      </c>
      <c r="F18" s="22">
        <f>_xlfn.MAXIFS(pivot!$D$2:$D$1946, pivot!$A$2:$A$1946, endirim!B18)</f>
        <v>62</v>
      </c>
      <c r="G18" s="3" t="str">
        <f t="shared" si="0"/>
        <v>OwnsComputer Kompaniyasını 20% endirimlə təklif et</v>
      </c>
    </row>
    <row r="19" spans="2:7" x14ac:dyDescent="0.3">
      <c r="B19" t="s">
        <v>73</v>
      </c>
      <c r="C19" s="3" t="str" cm="1">
        <f t="array" ref="C19">_xlfn.XLOOKUP(1,(pivot!$A$2:$A$1946=Table3[[#This Row],[Müştəri adı]])*(pivot!$C$2:$C$1946=_xlfn.MAXIFS(pivot!$C$2:$C$1946,pivot!$A$2:$A$1946,Table3[[#This Row],[Müştəri adı]])),pivot!$B$2:$B$1946)</f>
        <v>ChildrenInHH</v>
      </c>
      <c r="D19" s="22" cm="1">
        <f t="array" ref="D19">_xlfn.XLOOKUP(1,
  (pivot!$A$2:$A$1946=endirim!B19) * (pivot!$C$2:$C$1946 = _xlfn.MAXIFS(pivot!$C$2:$C$1946, pivot!$A$2:$A$1946, endirim!B19)),
  pivot!$D$2:$D$1946)</f>
        <v>10</v>
      </c>
      <c r="E19" s="3" t="str" cm="1">
        <f t="array" ref="E19">_xlfn.XLOOKUP(1,
    (pivot!$A$2:$A$1946=endirim!B19) * (pivot!$D$2:$D$1946 = _xlfn.MAXIFS(pivot!$D$2:$D$1946, pivot!$A$2:$A$1946, endirim!B19)),
    pivot!$B$2:$B$1946)</f>
        <v>RVOwner</v>
      </c>
      <c r="F19" s="22">
        <f>_xlfn.MAXIFS(pivot!$D$2:$D$1946, pivot!$A$2:$A$1946, endirim!B19)</f>
        <v>22</v>
      </c>
      <c r="G19" s="3" t="str">
        <f t="shared" si="0"/>
        <v>RVOwner Kompaniyasını 20% endirimlə təklif et</v>
      </c>
    </row>
    <row r="20" spans="2:7" x14ac:dyDescent="0.3">
      <c r="B20" t="s">
        <v>74</v>
      </c>
      <c r="C20" s="3" t="str" cm="1">
        <f t="array" ref="C20">_xlfn.XLOOKUP(1,(pivot!$A$2:$A$1946=Table3[[#This Row],[Müştəri adı]])*(pivot!$C$2:$C$1946=_xlfn.MAXIFS(pivot!$C$2:$C$1946,pivot!$A$2:$A$1946,Table3[[#This Row],[Müştəri adı]])),pivot!$B$2:$B$1946)</f>
        <v>MadeCallToRetentionTeam</v>
      </c>
      <c r="D20" s="22" cm="1">
        <f t="array" ref="D20">_xlfn.XLOOKUP(1,
  (pivot!$A$2:$A$1946=endirim!B20) * (pivot!$C$2:$C$1946 = _xlfn.MAXIFS(pivot!$C$2:$C$1946, pivot!$A$2:$A$1946, endirim!B20)),
  pivot!$D$2:$D$1946)</f>
        <v>16</v>
      </c>
      <c r="E20" s="3" t="str" cm="1">
        <f t="array" ref="E20">_xlfn.XLOOKUP(1,
    (pivot!$A$2:$A$1946=endirim!B20) * (pivot!$D$2:$D$1946 = _xlfn.MAXIFS(pivot!$D$2:$D$1946, pivot!$A$2:$A$1946, endirim!B20)),
    pivot!$B$2:$B$1946)</f>
        <v>NonUSTravel</v>
      </c>
      <c r="F20" s="22">
        <f>_xlfn.MAXIFS(pivot!$D$2:$D$1946, pivot!$A$2:$A$1946, endirim!B20)</f>
        <v>66</v>
      </c>
      <c r="G20" s="3" t="str">
        <f t="shared" si="0"/>
        <v>NonUSTravel Kompaniyasını 20% endirimlə təklif et</v>
      </c>
    </row>
    <row r="21" spans="2:7" x14ac:dyDescent="0.3">
      <c r="B21" t="s">
        <v>75</v>
      </c>
      <c r="C21" s="3" t="str" cm="1">
        <f t="array" ref="C21">_xlfn.XLOOKUP(1,(pivot!$A$2:$A$1946=Table3[[#This Row],[Müştəri adı]])*(pivot!$C$2:$C$1946=_xlfn.MAXIFS(pivot!$C$2:$C$1946,pivot!$A$2:$A$1946,Table3[[#This Row],[Müştəri adı]])),pivot!$B$2:$B$1946)</f>
        <v>OwnsComputer</v>
      </c>
      <c r="D21" s="22" cm="1">
        <f t="array" ref="D21">_xlfn.XLOOKUP(1,
  (pivot!$A$2:$A$1946=endirim!B21) * (pivot!$C$2:$C$1946 = _xlfn.MAXIFS(pivot!$C$2:$C$1946, pivot!$A$2:$A$1946, endirim!B21)),
  pivot!$D$2:$D$1946)</f>
        <v>62</v>
      </c>
      <c r="E21" s="3" t="str" cm="1">
        <f t="array" ref="E21">_xlfn.XLOOKUP(1,
    (pivot!$A$2:$A$1946=endirim!B21) * (pivot!$D$2:$D$1946 = _xlfn.MAXIFS(pivot!$D$2:$D$1946, pivot!$A$2:$A$1946, endirim!B21)),
    pivot!$B$2:$B$1946)</f>
        <v>OwnsComputer</v>
      </c>
      <c r="F21" s="22">
        <f>_xlfn.MAXIFS(pivot!$D$2:$D$1946, pivot!$A$2:$A$1946, endirim!B21)</f>
        <v>62</v>
      </c>
      <c r="G21" s="3" t="str">
        <f t="shared" si="0"/>
        <v>Təklif yoxdur</v>
      </c>
    </row>
    <row r="22" spans="2:7" x14ac:dyDescent="0.3">
      <c r="B22" t="s">
        <v>76</v>
      </c>
      <c r="C22" s="3" t="str" cm="1">
        <f t="array" ref="C22">_xlfn.XLOOKUP(1,(pivot!$A$2:$A$1946=Table3[[#This Row],[Müştəri adı]])*(pivot!$C$2:$C$1946=_xlfn.MAXIFS(pivot!$C$2:$C$1946,pivot!$A$2:$A$1946,Table3[[#This Row],[Müştəri adı]])),pivot!$B$2:$B$1946)</f>
        <v>NotNewCellphoneUser</v>
      </c>
      <c r="D22" s="22" cm="1">
        <f t="array" ref="D22">_xlfn.XLOOKUP(1,
  (pivot!$A$2:$A$1946=endirim!B22) * (pivot!$C$2:$C$1946 = _xlfn.MAXIFS(pivot!$C$2:$C$1946, pivot!$A$2:$A$1946, endirim!B22)),
  pivot!$D$2:$D$1946)</f>
        <v>28</v>
      </c>
      <c r="E22" s="3" t="str" cm="1">
        <f t="array" ref="E22">_xlfn.XLOOKUP(1,
    (pivot!$A$2:$A$1946=endirim!B22) * (pivot!$D$2:$D$1946 = _xlfn.MAXIFS(pivot!$D$2:$D$1946, pivot!$A$2:$A$1946, endirim!B22)),
    pivot!$B$2:$B$1946)</f>
        <v>HandsetWebCapable</v>
      </c>
      <c r="F22" s="22">
        <f>_xlfn.MAXIFS(pivot!$D$2:$D$1946, pivot!$A$2:$A$1946, endirim!B22)</f>
        <v>62</v>
      </c>
      <c r="G22" s="3" t="str">
        <f t="shared" si="0"/>
        <v>HandsetWebCapable Kompaniyasını 20% endirimlə təklif et</v>
      </c>
    </row>
    <row r="23" spans="2:7" x14ac:dyDescent="0.3">
      <c r="B23" t="s">
        <v>77</v>
      </c>
      <c r="C23" s="3" t="str" cm="1">
        <f t="array" ref="C23">_xlfn.XLOOKUP(1,(pivot!$A$2:$A$1946=Table3[[#This Row],[Müştəri adı]])*(pivot!$C$2:$C$1946=_xlfn.MAXIFS(pivot!$C$2:$C$1946,pivot!$A$2:$A$1946,Table3[[#This Row],[Müştəri adı]])),pivot!$B$2:$B$1946)</f>
        <v>OwnsMotorcycle</v>
      </c>
      <c r="D23" s="22" cm="1">
        <f t="array" ref="D23">_xlfn.XLOOKUP(1,
  (pivot!$A$2:$A$1946=endirim!B23) * (pivot!$C$2:$C$1946 = _xlfn.MAXIFS(pivot!$C$2:$C$1946, pivot!$A$2:$A$1946, endirim!B23)),
  pivot!$D$2:$D$1946)</f>
        <v>14</v>
      </c>
      <c r="E23" s="3" t="str" cm="1">
        <f t="array" ref="E23">_xlfn.XLOOKUP(1,
    (pivot!$A$2:$A$1946=endirim!B23) * (pivot!$D$2:$D$1946 = _xlfn.MAXIFS(pivot!$D$2:$D$1946, pivot!$A$2:$A$1946, endirim!B23)),
    pivot!$B$2:$B$1946)</f>
        <v>TruckOwner</v>
      </c>
      <c r="F23" s="22">
        <f>_xlfn.MAXIFS(pivot!$D$2:$D$1946, pivot!$A$2:$A$1946, endirim!B23)</f>
        <v>26</v>
      </c>
      <c r="G23" s="3" t="str">
        <f t="shared" si="0"/>
        <v>TruckOwner Kompaniyasını 20% endirimlə təklif et</v>
      </c>
    </row>
    <row r="24" spans="2:7" x14ac:dyDescent="0.3">
      <c r="B24" t="s">
        <v>78</v>
      </c>
      <c r="C24" s="3" t="str" cm="1">
        <f t="array" ref="C24">_xlfn.XLOOKUP(1,(pivot!$A$2:$A$1946=Table3[[#This Row],[Müştəri adı]])*(pivot!$C$2:$C$1946=_xlfn.MAXIFS(pivot!$C$2:$C$1946,pivot!$A$2:$A$1946,Table3[[#This Row],[Müştəri adı]])),pivot!$B$2:$B$1946)</f>
        <v>MaritalStatus</v>
      </c>
      <c r="D24" s="22" cm="1">
        <f t="array" ref="D24">_xlfn.XLOOKUP(1,
  (pivot!$A$2:$A$1946=endirim!B24) * (pivot!$C$2:$C$1946 = _xlfn.MAXIFS(pivot!$C$2:$C$1946, pivot!$A$2:$A$1946, endirim!B24)),
  pivot!$D$2:$D$1946)</f>
        <v>29</v>
      </c>
      <c r="E24" s="3" t="str" cm="1">
        <f t="array" ref="E24">_xlfn.XLOOKUP(1,
    (pivot!$A$2:$A$1946=endirim!B24) * (pivot!$D$2:$D$1946 = _xlfn.MAXIFS(pivot!$D$2:$D$1946, pivot!$A$2:$A$1946, endirim!B24)),
    pivot!$B$2:$B$1946)</f>
        <v>NonUSTravel</v>
      </c>
      <c r="F24" s="22">
        <f>_xlfn.MAXIFS(pivot!$D$2:$D$1946, pivot!$A$2:$A$1946, endirim!B24)</f>
        <v>66</v>
      </c>
      <c r="G24" s="3" t="str">
        <f t="shared" si="0"/>
        <v>NonUSTravel Kompaniyasını 20% endirimlə təklif et</v>
      </c>
    </row>
    <row r="25" spans="2:7" x14ac:dyDescent="0.3">
      <c r="B25" t="s">
        <v>79</v>
      </c>
      <c r="C25" s="3" t="str" cm="1">
        <f t="array" ref="C25">_xlfn.XLOOKUP(1,(pivot!$A$2:$A$1946=Table3[[#This Row],[Müştəri adı]])*(pivot!$C$2:$C$1946=_xlfn.MAXIFS(pivot!$C$2:$C$1946,pivot!$A$2:$A$1946,Table3[[#This Row],[Müştəri adı]])),pivot!$B$2:$B$1946)</f>
        <v>OwnsComputer</v>
      </c>
      <c r="D25" s="22" cm="1">
        <f t="array" ref="D25">_xlfn.XLOOKUP(1,
  (pivot!$A$2:$A$1946=endirim!B25) * (pivot!$C$2:$C$1946 = _xlfn.MAXIFS(pivot!$C$2:$C$1946, pivot!$A$2:$A$1946, endirim!B25)),
  pivot!$D$2:$D$1946)</f>
        <v>62</v>
      </c>
      <c r="E25" s="3" t="str" cm="1">
        <f t="array" ref="E25">_xlfn.XLOOKUP(1,
    (pivot!$A$2:$A$1946=endirim!B25) * (pivot!$D$2:$D$1946 = _xlfn.MAXIFS(pivot!$D$2:$D$1946, pivot!$A$2:$A$1946, endirim!B25)),
    pivot!$B$2:$B$1946)</f>
        <v>OwnsComputer</v>
      </c>
      <c r="F25" s="22">
        <f>_xlfn.MAXIFS(pivot!$D$2:$D$1946, pivot!$A$2:$A$1946, endirim!B25)</f>
        <v>62</v>
      </c>
      <c r="G25" s="3" t="str">
        <f t="shared" si="0"/>
        <v>Təklif yoxdur</v>
      </c>
    </row>
    <row r="26" spans="2:7" x14ac:dyDescent="0.3">
      <c r="B26" t="s">
        <v>80</v>
      </c>
      <c r="C26" s="3" t="str" cm="1">
        <f t="array" ref="C26">_xlfn.XLOOKUP(1,(pivot!$A$2:$A$1946=Table3[[#This Row],[Müştəri adı]])*(pivot!$C$2:$C$1946=_xlfn.MAXIFS(pivot!$C$2:$C$1946,pivot!$A$2:$A$1946,Table3[[#This Row],[Müştəri adı]])),pivot!$B$2:$B$1946)</f>
        <v>HasCreditCard</v>
      </c>
      <c r="D26" s="22" cm="1">
        <f t="array" ref="D26">_xlfn.XLOOKUP(1,
  (pivot!$A$2:$A$1946=endirim!B26) * (pivot!$C$2:$C$1946 = _xlfn.MAXIFS(pivot!$C$2:$C$1946, pivot!$A$2:$A$1946, endirim!B26)),
  pivot!$D$2:$D$1946)</f>
        <v>65</v>
      </c>
      <c r="E26" s="3" t="str" cm="1">
        <f t="array" ref="E26">_xlfn.XLOOKUP(1,
    (pivot!$A$2:$A$1946=endirim!B26) * (pivot!$D$2:$D$1946 = _xlfn.MAXIFS(pivot!$D$2:$D$1946, pivot!$A$2:$A$1946, endirim!B26)),
    pivot!$B$2:$B$1946)</f>
        <v>HasCreditCard</v>
      </c>
      <c r="F26" s="22">
        <f>_xlfn.MAXIFS(pivot!$D$2:$D$1946, pivot!$A$2:$A$1946, endirim!B26)</f>
        <v>65</v>
      </c>
      <c r="G26" s="3" t="str">
        <f t="shared" si="0"/>
        <v>Təklif yoxdur</v>
      </c>
    </row>
    <row r="27" spans="2:7" x14ac:dyDescent="0.3">
      <c r="B27" t="s">
        <v>81</v>
      </c>
      <c r="C27" s="3" t="str" cm="1">
        <f t="array" ref="C27">_xlfn.XLOOKUP(1,(pivot!$A$2:$A$1946=Table3[[#This Row],[Müştəri adı]])*(pivot!$C$2:$C$1946=_xlfn.MAXIFS(pivot!$C$2:$C$1946,pivot!$A$2:$A$1946,Table3[[#This Row],[Müştəri adı]])),pivot!$B$2:$B$1946)</f>
        <v>OwnsMotorcycle</v>
      </c>
      <c r="D27" s="22" cm="1">
        <f t="array" ref="D27">_xlfn.XLOOKUP(1,
  (pivot!$A$2:$A$1946=endirim!B27) * (pivot!$C$2:$C$1946 = _xlfn.MAXIFS(pivot!$C$2:$C$1946, pivot!$A$2:$A$1946, endirim!B27)),
  pivot!$D$2:$D$1946)</f>
        <v>14</v>
      </c>
      <c r="E27" s="3" t="str" cm="1">
        <f t="array" ref="E27">_xlfn.XLOOKUP(1,
    (pivot!$A$2:$A$1946=endirim!B27) * (pivot!$D$2:$D$1946 = _xlfn.MAXIFS(pivot!$D$2:$D$1946, pivot!$A$2:$A$1946, endirim!B27)),
    pivot!$B$2:$B$1946)</f>
        <v>RespondsToMailOffers</v>
      </c>
      <c r="F27" s="22">
        <f>_xlfn.MAXIFS(pivot!$D$2:$D$1946, pivot!$A$2:$A$1946, endirim!B27)</f>
        <v>27</v>
      </c>
      <c r="G27" s="3" t="str">
        <f t="shared" si="0"/>
        <v>RespondsToMailOffers Kompaniyasını 20% endirimlə təklif et</v>
      </c>
    </row>
    <row r="28" spans="2:7" x14ac:dyDescent="0.3">
      <c r="B28" t="s">
        <v>82</v>
      </c>
      <c r="C28" s="3" t="str" cm="1">
        <f t="array" ref="C28">_xlfn.XLOOKUP(1,(pivot!$A$2:$A$1946=Table3[[#This Row],[Müştəri adı]])*(pivot!$C$2:$C$1946=_xlfn.MAXIFS(pivot!$C$2:$C$1946,pivot!$A$2:$A$1946,Table3[[#This Row],[Müştəri adı]])),pivot!$B$2:$B$1946)</f>
        <v>Homeownership</v>
      </c>
      <c r="D28" s="22" cm="1">
        <f t="array" ref="D28">_xlfn.XLOOKUP(1,
  (pivot!$A$2:$A$1946=endirim!B28) * (pivot!$C$2:$C$1946 = _xlfn.MAXIFS(pivot!$C$2:$C$1946, pivot!$A$2:$A$1946, endirim!B28)),
  pivot!$D$2:$D$1946)</f>
        <v>13</v>
      </c>
      <c r="E28" s="3" t="str" cm="1">
        <f t="array" ref="E28">_xlfn.XLOOKUP(1,
    (pivot!$A$2:$A$1946=endirim!B28) * (pivot!$D$2:$D$1946 = _xlfn.MAXIFS(pivot!$D$2:$D$1946, pivot!$A$2:$A$1946, endirim!B28)),
    pivot!$B$2:$B$1946)</f>
        <v>Homeownership</v>
      </c>
      <c r="F28" s="22">
        <f>_xlfn.MAXIFS(pivot!$D$2:$D$1946, pivot!$A$2:$A$1946, endirim!B28)</f>
        <v>13</v>
      </c>
      <c r="G28" s="3" t="str">
        <f t="shared" si="0"/>
        <v>Təklif yoxdur</v>
      </c>
    </row>
    <row r="29" spans="2:7" x14ac:dyDescent="0.3">
      <c r="B29" t="s">
        <v>83</v>
      </c>
      <c r="C29" s="3" t="str" cm="1">
        <f t="array" ref="C29">_xlfn.XLOOKUP(1,(pivot!$A$2:$A$1946=Table3[[#This Row],[Müştəri adı]])*(pivot!$C$2:$C$1946=_xlfn.MAXIFS(pivot!$C$2:$C$1946,pivot!$A$2:$A$1946,Table3[[#This Row],[Müştəri adı]])),pivot!$B$2:$B$1946)</f>
        <v>HasCreditCard</v>
      </c>
      <c r="D29" s="22" cm="1">
        <f t="array" ref="D29">_xlfn.XLOOKUP(1,
  (pivot!$A$2:$A$1946=endirim!B29) * (pivot!$C$2:$C$1946 = _xlfn.MAXIFS(pivot!$C$2:$C$1946, pivot!$A$2:$A$1946, endirim!B29)),
  pivot!$D$2:$D$1946)</f>
        <v>65</v>
      </c>
      <c r="E29" s="3" t="str" cm="1">
        <f t="array" ref="E29">_xlfn.XLOOKUP(1,
    (pivot!$A$2:$A$1946=endirim!B29) * (pivot!$D$2:$D$1946 = _xlfn.MAXIFS(pivot!$D$2:$D$1946, pivot!$A$2:$A$1946, endirim!B29)),
    pivot!$B$2:$B$1946)</f>
        <v>HasCreditCard</v>
      </c>
      <c r="F29" s="22">
        <f>_xlfn.MAXIFS(pivot!$D$2:$D$1946, pivot!$A$2:$A$1946, endirim!B29)</f>
        <v>65</v>
      </c>
      <c r="G29" s="3" t="str">
        <f t="shared" si="0"/>
        <v>Təklif yoxdur</v>
      </c>
    </row>
    <row r="30" spans="2:7" x14ac:dyDescent="0.3">
      <c r="B30" t="s">
        <v>84</v>
      </c>
      <c r="C30" s="3" t="str" cm="1">
        <f t="array" ref="C30">_xlfn.XLOOKUP(1,(pivot!$A$2:$A$1946=Table3[[#This Row],[Müştəri adı]])*(pivot!$C$2:$C$1946=_xlfn.MAXIFS(pivot!$C$2:$C$1946,pivot!$A$2:$A$1946,Table3[[#This Row],[Müştəri adı]])),pivot!$B$2:$B$1946)</f>
        <v>HasCreditCard</v>
      </c>
      <c r="D30" s="22" cm="1">
        <f t="array" ref="D30">_xlfn.XLOOKUP(1,
  (pivot!$A$2:$A$1946=endirim!B30) * (pivot!$C$2:$C$1946 = _xlfn.MAXIFS(pivot!$C$2:$C$1946, pivot!$A$2:$A$1946, endirim!B30)),
  pivot!$D$2:$D$1946)</f>
        <v>65</v>
      </c>
      <c r="E30" s="3" t="str" cm="1">
        <f t="array" ref="E30">_xlfn.XLOOKUP(1,
    (pivot!$A$2:$A$1946=endirim!B30) * (pivot!$D$2:$D$1946 = _xlfn.MAXIFS(pivot!$D$2:$D$1946, pivot!$A$2:$A$1946, endirim!B30)),
    pivot!$B$2:$B$1946)</f>
        <v>HasCreditCard</v>
      </c>
      <c r="F30" s="22">
        <f>_xlfn.MAXIFS(pivot!$D$2:$D$1946, pivot!$A$2:$A$1946, endirim!B30)</f>
        <v>65</v>
      </c>
      <c r="G30" s="3" t="str">
        <f t="shared" si="0"/>
        <v>Təklif yoxdur</v>
      </c>
    </row>
    <row r="31" spans="2:7" x14ac:dyDescent="0.3">
      <c r="B31" t="s">
        <v>85</v>
      </c>
      <c r="C31" s="3" t="str" cm="1">
        <f t="array" ref="C31">_xlfn.XLOOKUP(1,(pivot!$A$2:$A$1946=Table3[[#This Row],[Müştəri adı]])*(pivot!$C$2:$C$1946=_xlfn.MAXIFS(pivot!$C$2:$C$1946,pivot!$A$2:$A$1946,Table3[[#This Row],[Müştəri adı]])),pivot!$B$2:$B$1946)</f>
        <v>BuysViaMailOrder</v>
      </c>
      <c r="D31" s="22" cm="1">
        <f t="array" ref="D31">_xlfn.XLOOKUP(1,
  (pivot!$A$2:$A$1946=endirim!B31) * (pivot!$C$2:$C$1946 = _xlfn.MAXIFS(pivot!$C$2:$C$1946, pivot!$A$2:$A$1946, endirim!B31)),
  pivot!$D$2:$D$1946)</f>
        <v>25</v>
      </c>
      <c r="E31" s="3" t="str" cm="1">
        <f t="array" ref="E31">_xlfn.XLOOKUP(1,
    (pivot!$A$2:$A$1946=endirim!B31) * (pivot!$D$2:$D$1946 = _xlfn.MAXIFS(pivot!$D$2:$D$1946, pivot!$A$2:$A$1946, endirim!B31)),
    pivot!$B$2:$B$1946)</f>
        <v>BuysViaMailOrder</v>
      </c>
      <c r="F31" s="22">
        <f>_xlfn.MAXIFS(pivot!$D$2:$D$1946, pivot!$A$2:$A$1946, endirim!B31)</f>
        <v>25</v>
      </c>
      <c r="G31" s="3" t="str">
        <f t="shared" si="0"/>
        <v>Təklif yoxdur</v>
      </c>
    </row>
    <row r="32" spans="2:7" x14ac:dyDescent="0.3">
      <c r="B32" t="s">
        <v>86</v>
      </c>
      <c r="C32" s="3" t="str" cm="1">
        <f t="array" ref="C32">_xlfn.XLOOKUP(1,(pivot!$A$2:$A$1946=Table3[[#This Row],[Müştəri adı]])*(pivot!$C$2:$C$1946=_xlfn.MAXIFS(pivot!$C$2:$C$1946,pivot!$A$2:$A$1946,Table3[[#This Row],[Müştəri adı]])),pivot!$B$2:$B$1946)</f>
        <v>OwnsMotorcycle</v>
      </c>
      <c r="D32" s="22" cm="1">
        <f t="array" ref="D32">_xlfn.XLOOKUP(1,
  (pivot!$A$2:$A$1946=endirim!B32) * (pivot!$C$2:$C$1946 = _xlfn.MAXIFS(pivot!$C$2:$C$1946, pivot!$A$2:$A$1946, endirim!B32)),
  pivot!$D$2:$D$1946)</f>
        <v>14</v>
      </c>
      <c r="E32" s="3" t="str" cm="1">
        <f t="array" ref="E32">_xlfn.XLOOKUP(1,
    (pivot!$A$2:$A$1946=endirim!B32) * (pivot!$D$2:$D$1946 = _xlfn.MAXIFS(pivot!$D$2:$D$1946, pivot!$A$2:$A$1946, endirim!B32)),
    pivot!$B$2:$B$1946)</f>
        <v>RVOwner</v>
      </c>
      <c r="F32" s="22">
        <f>_xlfn.MAXIFS(pivot!$D$2:$D$1946, pivot!$A$2:$A$1946, endirim!B32)</f>
        <v>22</v>
      </c>
      <c r="G32" s="3" t="str">
        <f t="shared" si="0"/>
        <v>RVOwner Kompaniyasını 20% endirimlə təklif et</v>
      </c>
    </row>
    <row r="33" spans="2:7" x14ac:dyDescent="0.3">
      <c r="B33" t="s">
        <v>87</v>
      </c>
      <c r="C33" s="3" t="str" cm="1">
        <f t="array" ref="C33">_xlfn.XLOOKUP(1,(pivot!$A$2:$A$1946=Table3[[#This Row],[Müştəri adı]])*(pivot!$C$2:$C$1946=_xlfn.MAXIFS(pivot!$C$2:$C$1946,pivot!$A$2:$A$1946,Table3[[#This Row],[Müştəri adı]])),pivot!$B$2:$B$1946)</f>
        <v>NonUSTravel</v>
      </c>
      <c r="D33" s="22" cm="1">
        <f t="array" ref="D33">_xlfn.XLOOKUP(1,
  (pivot!$A$2:$A$1946=endirim!B33) * (pivot!$C$2:$C$1946 = _xlfn.MAXIFS(pivot!$C$2:$C$1946, pivot!$A$2:$A$1946, endirim!B33)),
  pivot!$D$2:$D$1946)</f>
        <v>66</v>
      </c>
      <c r="E33" s="3" t="str" cm="1">
        <f t="array" ref="E33">_xlfn.XLOOKUP(1,
    (pivot!$A$2:$A$1946=endirim!B33) * (pivot!$D$2:$D$1946 = _xlfn.MAXIFS(pivot!$D$2:$D$1946, pivot!$A$2:$A$1946, endirim!B33)),
    pivot!$B$2:$B$1946)</f>
        <v>NonUSTravel</v>
      </c>
      <c r="F33" s="22">
        <f>_xlfn.MAXIFS(pivot!$D$2:$D$1946, pivot!$A$2:$A$1946, endirim!B33)</f>
        <v>66</v>
      </c>
      <c r="G33" s="3" t="str">
        <f t="shared" si="0"/>
        <v>Təklif yoxdur</v>
      </c>
    </row>
    <row r="34" spans="2:7" x14ac:dyDescent="0.3">
      <c r="B34" t="s">
        <v>88</v>
      </c>
      <c r="C34" s="3" t="str" cm="1">
        <f t="array" ref="C34">_xlfn.XLOOKUP(1,(pivot!$A$2:$A$1946=Table3[[#This Row],[Müştəri adı]])*(pivot!$C$2:$C$1946=_xlfn.MAXIFS(pivot!$C$2:$C$1946,pivot!$A$2:$A$1946,Table3[[#This Row],[Müştəri adı]])),pivot!$B$2:$B$1946)</f>
        <v>Homeownership</v>
      </c>
      <c r="D34" s="22" cm="1">
        <f t="array" ref="D34">_xlfn.XLOOKUP(1,
  (pivot!$A$2:$A$1946=endirim!B34) * (pivot!$C$2:$C$1946 = _xlfn.MAXIFS(pivot!$C$2:$C$1946, pivot!$A$2:$A$1946, endirim!B34)),
  pivot!$D$2:$D$1946)</f>
        <v>13</v>
      </c>
      <c r="E34" s="3" t="str" cm="1">
        <f t="array" ref="E34">_xlfn.XLOOKUP(1,
    (pivot!$A$2:$A$1946=endirim!B34) * (pivot!$D$2:$D$1946 = _xlfn.MAXIFS(pivot!$D$2:$D$1946, pivot!$A$2:$A$1946, endirim!B34)),
    pivot!$B$2:$B$1946)</f>
        <v>NotNewCellphoneUser</v>
      </c>
      <c r="F34" s="22">
        <f>_xlfn.MAXIFS(pivot!$D$2:$D$1946, pivot!$A$2:$A$1946, endirim!B34)</f>
        <v>28</v>
      </c>
      <c r="G34" s="3" t="str">
        <f t="shared" si="0"/>
        <v>NotNewCellphoneUser Kompaniyasını 20% endirimlə təklif et</v>
      </c>
    </row>
    <row r="35" spans="2:7" x14ac:dyDescent="0.3">
      <c r="B35" t="s">
        <v>89</v>
      </c>
      <c r="C35" s="3" t="str" cm="1">
        <f t="array" ref="C35">_xlfn.XLOOKUP(1,(pivot!$A$2:$A$1946=Table3[[#This Row],[Müştəri adı]])*(pivot!$C$2:$C$1946=_xlfn.MAXIFS(pivot!$C$2:$C$1946,pivot!$A$2:$A$1946,Table3[[#This Row],[Müştəri adı]])),pivot!$B$2:$B$1946)</f>
        <v>BuysViaMailOrder</v>
      </c>
      <c r="D35" s="22" cm="1">
        <f t="array" ref="D35">_xlfn.XLOOKUP(1,
  (pivot!$A$2:$A$1946=endirim!B35) * (pivot!$C$2:$C$1946 = _xlfn.MAXIFS(pivot!$C$2:$C$1946, pivot!$A$2:$A$1946, endirim!B35)),
  pivot!$D$2:$D$1946)</f>
        <v>25</v>
      </c>
      <c r="E35" s="3" t="str" cm="1">
        <f t="array" ref="E35">_xlfn.XLOOKUP(1,
    (pivot!$A$2:$A$1946=endirim!B35) * (pivot!$D$2:$D$1946 = _xlfn.MAXIFS(pivot!$D$2:$D$1946, pivot!$A$2:$A$1946, endirim!B35)),
    pivot!$B$2:$B$1946)</f>
        <v>BuysViaMailOrder</v>
      </c>
      <c r="F35" s="22">
        <f>_xlfn.MAXIFS(pivot!$D$2:$D$1946, pivot!$A$2:$A$1946, endirim!B35)</f>
        <v>25</v>
      </c>
      <c r="G35" s="3" t="str">
        <f t="shared" si="0"/>
        <v>Təklif yoxdur</v>
      </c>
    </row>
    <row r="36" spans="2:7" x14ac:dyDescent="0.3">
      <c r="B36" t="s">
        <v>90</v>
      </c>
      <c r="C36" s="3" t="str" cm="1">
        <f t="array" ref="C36">_xlfn.XLOOKUP(1,(pivot!$A$2:$A$1946=Table3[[#This Row],[Müştəri adı]])*(pivot!$C$2:$C$1946=_xlfn.MAXIFS(pivot!$C$2:$C$1946,pivot!$A$2:$A$1946,Table3[[#This Row],[Müştəri adı]])),pivot!$B$2:$B$1946)</f>
        <v>HandsetRefurbished</v>
      </c>
      <c r="D36" s="22" cm="1">
        <f t="array" ref="D36">_xlfn.XLOOKUP(1,
  (pivot!$A$2:$A$1946=endirim!B36) * (pivot!$C$2:$C$1946 = _xlfn.MAXIFS(pivot!$C$2:$C$1946, pivot!$A$2:$A$1946, endirim!B36)),
  pivot!$D$2:$D$1946)</f>
        <v>26</v>
      </c>
      <c r="E36" s="3" t="str" cm="1">
        <f t="array" ref="E36">_xlfn.XLOOKUP(1,
    (pivot!$A$2:$A$1946=endirim!B36) * (pivot!$D$2:$D$1946 = _xlfn.MAXIFS(pivot!$D$2:$D$1946, pivot!$A$2:$A$1946, endirim!B36)),
    pivot!$B$2:$B$1946)</f>
        <v>OptOutMailings</v>
      </c>
      <c r="F36" s="22">
        <f>_xlfn.MAXIFS(pivot!$D$2:$D$1946, pivot!$A$2:$A$1946, endirim!B36)</f>
        <v>75</v>
      </c>
      <c r="G36" s="3" t="str">
        <f t="shared" si="0"/>
        <v>OptOutMailings Kompaniyasını 20% endirimlə təklif et</v>
      </c>
    </row>
    <row r="37" spans="2:7" x14ac:dyDescent="0.3">
      <c r="B37" t="s">
        <v>91</v>
      </c>
      <c r="C37" s="3" t="str" cm="1">
        <f t="array" ref="C37">_xlfn.XLOOKUP(1,(pivot!$A$2:$A$1946=Table3[[#This Row],[Müştəri adı]])*(pivot!$C$2:$C$1946=_xlfn.MAXIFS(pivot!$C$2:$C$1946,pivot!$A$2:$A$1946,Table3[[#This Row],[Müştəri adı]])),pivot!$B$2:$B$1946)</f>
        <v>NewCellphoneUser</v>
      </c>
      <c r="D37" s="22" cm="1">
        <f t="array" ref="D37">_xlfn.XLOOKUP(1,
  (pivot!$A$2:$A$1946=endirim!B37) * (pivot!$C$2:$C$1946 = _xlfn.MAXIFS(pivot!$C$2:$C$1946, pivot!$A$2:$A$1946, endirim!B37)),
  pivot!$D$2:$D$1946)</f>
        <v>25</v>
      </c>
      <c r="E37" s="3" t="str" cm="1">
        <f t="array" ref="E37">_xlfn.XLOOKUP(1,
    (pivot!$A$2:$A$1946=endirim!B37) * (pivot!$D$2:$D$1946 = _xlfn.MAXIFS(pivot!$D$2:$D$1946, pivot!$A$2:$A$1946, endirim!B37)),
    pivot!$B$2:$B$1946)</f>
        <v>RespondsToMailOffers</v>
      </c>
      <c r="F37" s="22">
        <f>_xlfn.MAXIFS(pivot!$D$2:$D$1946, pivot!$A$2:$A$1946, endirim!B37)</f>
        <v>27</v>
      </c>
      <c r="G37" s="3" t="str">
        <f t="shared" si="0"/>
        <v>RespondsToMailOffers Kompaniyasını 20% endirimlə təklif et</v>
      </c>
    </row>
    <row r="38" spans="2:7" x14ac:dyDescent="0.3">
      <c r="B38" t="s">
        <v>92</v>
      </c>
      <c r="C38" s="3" t="str" cm="1">
        <f t="array" ref="C38">_xlfn.XLOOKUP(1,(pivot!$A$2:$A$1946=Table3[[#This Row],[Müştəri adı]])*(pivot!$C$2:$C$1946=_xlfn.MAXIFS(pivot!$C$2:$C$1946,pivot!$A$2:$A$1946,Table3[[#This Row],[Müştəri adı]])),pivot!$B$2:$B$1946)</f>
        <v>HandsetWebCapable</v>
      </c>
      <c r="D38" s="22" cm="1">
        <f t="array" ref="D38">_xlfn.XLOOKUP(1,
  (pivot!$A$2:$A$1946=endirim!B38) * (pivot!$C$2:$C$1946 = _xlfn.MAXIFS(pivot!$C$2:$C$1946, pivot!$A$2:$A$1946, endirim!B38)),
  pivot!$D$2:$D$1946)</f>
        <v>62</v>
      </c>
      <c r="E38" s="3" t="str" cm="1">
        <f t="array" ref="E38">_xlfn.XLOOKUP(1,
    (pivot!$A$2:$A$1946=endirim!B38) * (pivot!$D$2:$D$1946 = _xlfn.MAXIFS(pivot!$D$2:$D$1946, pivot!$A$2:$A$1946, endirim!B38)),
    pivot!$B$2:$B$1946)</f>
        <v>OptOutMailings</v>
      </c>
      <c r="F38" s="22">
        <f>_xlfn.MAXIFS(pivot!$D$2:$D$1946, pivot!$A$2:$A$1946, endirim!B38)</f>
        <v>75</v>
      </c>
      <c r="G38" s="3" t="str">
        <f t="shared" si="0"/>
        <v>OptOutMailings Kompaniyasını 20% endirimlə təklif et</v>
      </c>
    </row>
    <row r="39" spans="2:7" x14ac:dyDescent="0.3">
      <c r="B39" t="s">
        <v>93</v>
      </c>
      <c r="C39" s="3" t="str" cm="1">
        <f t="array" ref="C39">_xlfn.XLOOKUP(1,(pivot!$A$2:$A$1946=Table3[[#This Row],[Müştəri adı]])*(pivot!$C$2:$C$1946=_xlfn.MAXIFS(pivot!$C$2:$C$1946,pivot!$A$2:$A$1946,Table3[[#This Row],[Müştəri adı]])),pivot!$B$2:$B$1946)</f>
        <v>ChildrenInHH</v>
      </c>
      <c r="D39" s="22" cm="1">
        <f t="array" ref="D39">_xlfn.XLOOKUP(1,
  (pivot!$A$2:$A$1946=endirim!B39) * (pivot!$C$2:$C$1946 = _xlfn.MAXIFS(pivot!$C$2:$C$1946, pivot!$A$2:$A$1946, endirim!B39)),
  pivot!$D$2:$D$1946)</f>
        <v>10</v>
      </c>
      <c r="E39" s="3" t="str" cm="1">
        <f t="array" ref="E39">_xlfn.XLOOKUP(1,
    (pivot!$A$2:$A$1946=endirim!B39) * (pivot!$D$2:$D$1946 = _xlfn.MAXIFS(pivot!$D$2:$D$1946, pivot!$A$2:$A$1946, endirim!B39)),
    pivot!$B$2:$B$1946)</f>
        <v>Homeownership</v>
      </c>
      <c r="F39" s="22">
        <f>_xlfn.MAXIFS(pivot!$D$2:$D$1946, pivot!$A$2:$A$1946, endirim!B39)</f>
        <v>13</v>
      </c>
      <c r="G39" s="3" t="str">
        <f t="shared" si="0"/>
        <v>Homeownership Kompaniyasını 20% endirimlə təklif et</v>
      </c>
    </row>
    <row r="40" spans="2:7" x14ac:dyDescent="0.3">
      <c r="B40" t="s">
        <v>94</v>
      </c>
      <c r="C40" s="3" t="str" cm="1">
        <f t="array" ref="C40">_xlfn.XLOOKUP(1,(pivot!$A$2:$A$1946=Table3[[#This Row],[Müştəri adı]])*(pivot!$C$2:$C$1946=_xlfn.MAXIFS(pivot!$C$2:$C$1946,pivot!$A$2:$A$1946,Table3[[#This Row],[Müştəri adı]])),pivot!$B$2:$B$1946)</f>
        <v>NonUSTravel</v>
      </c>
      <c r="D40" s="22" cm="1">
        <f t="array" ref="D40">_xlfn.XLOOKUP(1,
  (pivot!$A$2:$A$1946=endirim!B40) * (pivot!$C$2:$C$1946 = _xlfn.MAXIFS(pivot!$C$2:$C$1946, pivot!$A$2:$A$1946, endirim!B40)),
  pivot!$D$2:$D$1946)</f>
        <v>66</v>
      </c>
      <c r="E40" s="3" t="str" cm="1">
        <f t="array" ref="E40">_xlfn.XLOOKUP(1,
    (pivot!$A$2:$A$1946=endirim!B40) * (pivot!$D$2:$D$1946 = _xlfn.MAXIFS(pivot!$D$2:$D$1946, pivot!$A$2:$A$1946, endirim!B40)),
    pivot!$B$2:$B$1946)</f>
        <v>NonUSTravel</v>
      </c>
      <c r="F40" s="22">
        <f>_xlfn.MAXIFS(pivot!$D$2:$D$1946, pivot!$A$2:$A$1946, endirim!B40)</f>
        <v>66</v>
      </c>
      <c r="G40" s="3" t="str">
        <f t="shared" si="0"/>
        <v>Təklif yoxdur</v>
      </c>
    </row>
    <row r="41" spans="2:7" x14ac:dyDescent="0.3">
      <c r="B41" t="s">
        <v>95</v>
      </c>
      <c r="C41" s="3" t="str" cm="1">
        <f t="array" ref="C41">_xlfn.XLOOKUP(1,(pivot!$A$2:$A$1946=Table3[[#This Row],[Müştəri adı]])*(pivot!$C$2:$C$1946=_xlfn.MAXIFS(pivot!$C$2:$C$1946,pivot!$A$2:$A$1946,Table3[[#This Row],[Müştəri adı]])),pivot!$B$2:$B$1946)</f>
        <v>RVOwner</v>
      </c>
      <c r="D41" s="22" cm="1">
        <f t="array" ref="D41">_xlfn.XLOOKUP(1,
  (pivot!$A$2:$A$1946=endirim!B41) * (pivot!$C$2:$C$1946 = _xlfn.MAXIFS(pivot!$C$2:$C$1946, pivot!$A$2:$A$1946, endirim!B41)),
  pivot!$D$2:$D$1946)</f>
        <v>22</v>
      </c>
      <c r="E41" s="3" t="str" cm="1">
        <f t="array" ref="E41">_xlfn.XLOOKUP(1,
    (pivot!$A$2:$A$1946=endirim!B41) * (pivot!$D$2:$D$1946 = _xlfn.MAXIFS(pivot!$D$2:$D$1946, pivot!$A$2:$A$1946, endirim!B41)),
    pivot!$B$2:$B$1946)</f>
        <v>BuysViaMailOrder</v>
      </c>
      <c r="F41" s="22">
        <f>_xlfn.MAXIFS(pivot!$D$2:$D$1946, pivot!$A$2:$A$1946, endirim!B41)</f>
        <v>25</v>
      </c>
      <c r="G41" s="3" t="str">
        <f t="shared" si="0"/>
        <v>BuysViaMailOrder Kompaniyasını 20% endirimlə təklif et</v>
      </c>
    </row>
    <row r="42" spans="2:7" x14ac:dyDescent="0.3">
      <c r="B42" t="s">
        <v>96</v>
      </c>
      <c r="C42" s="3" t="str" cm="1">
        <f t="array" ref="C42">_xlfn.XLOOKUP(1,(pivot!$A$2:$A$1946=Table3[[#This Row],[Müştəri adı]])*(pivot!$C$2:$C$1946=_xlfn.MAXIFS(pivot!$C$2:$C$1946,pivot!$A$2:$A$1946,Table3[[#This Row],[Müştəri adı]])),pivot!$B$2:$B$1946)</f>
        <v>RespondsToMailOffers</v>
      </c>
      <c r="D42" s="22" cm="1">
        <f t="array" ref="D42">_xlfn.XLOOKUP(1,
  (pivot!$A$2:$A$1946=endirim!B42) * (pivot!$C$2:$C$1946 = _xlfn.MAXIFS(pivot!$C$2:$C$1946, pivot!$A$2:$A$1946, endirim!B42)),
  pivot!$D$2:$D$1946)</f>
        <v>27</v>
      </c>
      <c r="E42" s="3" t="str" cm="1">
        <f t="array" ref="E42">_xlfn.XLOOKUP(1,
    (pivot!$A$2:$A$1946=endirim!B42) * (pivot!$D$2:$D$1946 = _xlfn.MAXIFS(pivot!$D$2:$D$1946, pivot!$A$2:$A$1946, endirim!B42)),
    pivot!$B$2:$B$1946)</f>
        <v>HandsetWebCapable</v>
      </c>
      <c r="F42" s="22">
        <f>_xlfn.MAXIFS(pivot!$D$2:$D$1946, pivot!$A$2:$A$1946, endirim!B42)</f>
        <v>62</v>
      </c>
      <c r="G42" s="3" t="str">
        <f t="shared" si="0"/>
        <v>HandsetWebCapable Kompaniyasını 20% endirimlə təklif et</v>
      </c>
    </row>
    <row r="43" spans="2:7" x14ac:dyDescent="0.3">
      <c r="B43" t="s">
        <v>97</v>
      </c>
      <c r="C43" s="3" t="str" cm="1">
        <f t="array" ref="C43">_xlfn.XLOOKUP(1,(pivot!$A$2:$A$1946=Table3[[#This Row],[Müştəri adı]])*(pivot!$C$2:$C$1946=_xlfn.MAXIFS(pivot!$C$2:$C$1946,pivot!$A$2:$A$1946,Table3[[#This Row],[Müştəri adı]])),pivot!$B$2:$B$1946)</f>
        <v>OwnsComputer</v>
      </c>
      <c r="D43" s="22" cm="1">
        <f t="array" ref="D43">_xlfn.XLOOKUP(1,
  (pivot!$A$2:$A$1946=endirim!B43) * (pivot!$C$2:$C$1946 = _xlfn.MAXIFS(pivot!$C$2:$C$1946, pivot!$A$2:$A$1946, endirim!B43)),
  pivot!$D$2:$D$1946)</f>
        <v>62</v>
      </c>
      <c r="E43" s="3" t="str" cm="1">
        <f t="array" ref="E43">_xlfn.XLOOKUP(1,
    (pivot!$A$2:$A$1946=endirim!B43) * (pivot!$D$2:$D$1946 = _xlfn.MAXIFS(pivot!$D$2:$D$1946, pivot!$A$2:$A$1946, endirim!B43)),
    pivot!$B$2:$B$1946)</f>
        <v>OwnsComputer</v>
      </c>
      <c r="F43" s="22">
        <f>_xlfn.MAXIFS(pivot!$D$2:$D$1946, pivot!$A$2:$A$1946, endirim!B43)</f>
        <v>62</v>
      </c>
      <c r="G43" s="3" t="str">
        <f t="shared" si="0"/>
        <v>Təklif yoxdur</v>
      </c>
    </row>
    <row r="44" spans="2:7" x14ac:dyDescent="0.3">
      <c r="B44" t="s">
        <v>98</v>
      </c>
      <c r="C44" s="3" t="str" cm="1">
        <f t="array" ref="C44">_xlfn.XLOOKUP(1,(pivot!$A$2:$A$1946=Table3[[#This Row],[Müştəri adı]])*(pivot!$C$2:$C$1946=_xlfn.MAXIFS(pivot!$C$2:$C$1946,pivot!$A$2:$A$1946,Table3[[#This Row],[Müştəri adı]])),pivot!$B$2:$B$1946)</f>
        <v>OptOutMailings</v>
      </c>
      <c r="D44" s="22" cm="1">
        <f t="array" ref="D44">_xlfn.XLOOKUP(1,
  (pivot!$A$2:$A$1946=endirim!B44) * (pivot!$C$2:$C$1946 = _xlfn.MAXIFS(pivot!$C$2:$C$1946, pivot!$A$2:$A$1946, endirim!B44)),
  pivot!$D$2:$D$1946)</f>
        <v>75</v>
      </c>
      <c r="E44" s="3" t="str" cm="1">
        <f t="array" ref="E44">_xlfn.XLOOKUP(1,
    (pivot!$A$2:$A$1946=endirim!B44) * (pivot!$D$2:$D$1946 = _xlfn.MAXIFS(pivot!$D$2:$D$1946, pivot!$A$2:$A$1946, endirim!B44)),
    pivot!$B$2:$B$1946)</f>
        <v>OptOutMailings</v>
      </c>
      <c r="F44" s="22">
        <f>_xlfn.MAXIFS(pivot!$D$2:$D$1946, pivot!$A$2:$A$1946, endirim!B44)</f>
        <v>75</v>
      </c>
      <c r="G44" s="3" t="str">
        <f t="shared" si="0"/>
        <v>Təklif yoxdur</v>
      </c>
    </row>
    <row r="45" spans="2:7" x14ac:dyDescent="0.3">
      <c r="B45" t="s">
        <v>99</v>
      </c>
      <c r="C45" s="3" t="str" cm="1">
        <f t="array" ref="C45">_xlfn.XLOOKUP(1,(pivot!$A$2:$A$1946=Table3[[#This Row],[Müştəri adı]])*(pivot!$C$2:$C$1946=_xlfn.MAXIFS(pivot!$C$2:$C$1946,pivot!$A$2:$A$1946,Table3[[#This Row],[Müştəri adı]])),pivot!$B$2:$B$1946)</f>
        <v>RespondsToMailOffers</v>
      </c>
      <c r="D45" s="22" cm="1">
        <f t="array" ref="D45">_xlfn.XLOOKUP(1,
  (pivot!$A$2:$A$1946=endirim!B45) * (pivot!$C$2:$C$1946 = _xlfn.MAXIFS(pivot!$C$2:$C$1946, pivot!$A$2:$A$1946, endirim!B45)),
  pivot!$D$2:$D$1946)</f>
        <v>27</v>
      </c>
      <c r="E45" s="3" t="str" cm="1">
        <f t="array" ref="E45">_xlfn.XLOOKUP(1,
    (pivot!$A$2:$A$1946=endirim!B45) * (pivot!$D$2:$D$1946 = _xlfn.MAXIFS(pivot!$D$2:$D$1946, pivot!$A$2:$A$1946, endirim!B45)),
    pivot!$B$2:$B$1946)</f>
        <v>RespondsToMailOffers</v>
      </c>
      <c r="F45" s="22">
        <f>_xlfn.MAXIFS(pivot!$D$2:$D$1946, pivot!$A$2:$A$1946, endirim!B45)</f>
        <v>27</v>
      </c>
      <c r="G45" s="3" t="str">
        <f t="shared" si="0"/>
        <v>Təklif yoxdur</v>
      </c>
    </row>
    <row r="46" spans="2:7" x14ac:dyDescent="0.3">
      <c r="B46" t="s">
        <v>100</v>
      </c>
      <c r="C46" s="3" t="str" cm="1">
        <f t="array" ref="C46">_xlfn.XLOOKUP(1,(pivot!$A$2:$A$1946=Table3[[#This Row],[Müştəri adı]])*(pivot!$C$2:$C$1946=_xlfn.MAXIFS(pivot!$C$2:$C$1946,pivot!$A$2:$A$1946,Table3[[#This Row],[Müştəri adı]])),pivot!$B$2:$B$1946)</f>
        <v>MaritalStatus</v>
      </c>
      <c r="D46" s="22" cm="1">
        <f t="array" ref="D46">_xlfn.XLOOKUP(1,
  (pivot!$A$2:$A$1946=endirim!B46) * (pivot!$C$2:$C$1946 = _xlfn.MAXIFS(pivot!$C$2:$C$1946, pivot!$A$2:$A$1946, endirim!B46)),
  pivot!$D$2:$D$1946)</f>
        <v>29</v>
      </c>
      <c r="E46" s="3" t="str" cm="1">
        <f t="array" ref="E46">_xlfn.XLOOKUP(1,
    (pivot!$A$2:$A$1946=endirim!B46) * (pivot!$D$2:$D$1946 = _xlfn.MAXIFS(pivot!$D$2:$D$1946, pivot!$A$2:$A$1946, endirim!B46)),
    pivot!$B$2:$B$1946)</f>
        <v>HasCreditCard</v>
      </c>
      <c r="F46" s="22">
        <f>_xlfn.MAXIFS(pivot!$D$2:$D$1946, pivot!$A$2:$A$1946, endirim!B46)</f>
        <v>65</v>
      </c>
      <c r="G46" s="3" t="str">
        <f t="shared" si="0"/>
        <v>HasCreditCard Kompaniyasını 20% endirimlə təklif et</v>
      </c>
    </row>
    <row r="47" spans="2:7" x14ac:dyDescent="0.3">
      <c r="B47" t="s">
        <v>101</v>
      </c>
      <c r="C47" s="3" t="str" cm="1">
        <f t="array" ref="C47">_xlfn.XLOOKUP(1,(pivot!$A$2:$A$1946=Table3[[#This Row],[Müştəri adı]])*(pivot!$C$2:$C$1946=_xlfn.MAXIFS(pivot!$C$2:$C$1946,pivot!$A$2:$A$1946,Table3[[#This Row],[Müştəri adı]])),pivot!$B$2:$B$1946)</f>
        <v>RespondsToMailOffers</v>
      </c>
      <c r="D47" s="22" cm="1">
        <f t="array" ref="D47">_xlfn.XLOOKUP(1,
  (pivot!$A$2:$A$1946=endirim!B47) * (pivot!$C$2:$C$1946 = _xlfn.MAXIFS(pivot!$C$2:$C$1946, pivot!$A$2:$A$1946, endirim!B47)),
  pivot!$D$2:$D$1946)</f>
        <v>27</v>
      </c>
      <c r="E47" s="3" t="str" cm="1">
        <f t="array" ref="E47">_xlfn.XLOOKUP(1,
    (pivot!$A$2:$A$1946=endirim!B47) * (pivot!$D$2:$D$1946 = _xlfn.MAXIFS(pivot!$D$2:$D$1946, pivot!$A$2:$A$1946, endirim!B47)),
    pivot!$B$2:$B$1946)</f>
        <v>RespondsToMailOffers</v>
      </c>
      <c r="F47" s="22">
        <f>_xlfn.MAXIFS(pivot!$D$2:$D$1946, pivot!$A$2:$A$1946, endirim!B47)</f>
        <v>27</v>
      </c>
      <c r="G47" s="3" t="str">
        <f t="shared" si="0"/>
        <v>Təklif yoxdur</v>
      </c>
    </row>
    <row r="48" spans="2:7" x14ac:dyDescent="0.3">
      <c r="B48" t="s">
        <v>102</v>
      </c>
      <c r="C48" s="3" t="str" cm="1">
        <f t="array" ref="C48">_xlfn.XLOOKUP(1,(pivot!$A$2:$A$1946=Table3[[#This Row],[Müştəri adı]])*(pivot!$C$2:$C$1946=_xlfn.MAXIFS(pivot!$C$2:$C$1946,pivot!$A$2:$A$1946,Table3[[#This Row],[Müştəri adı]])),pivot!$B$2:$B$1946)</f>
        <v>HandsetWebCapable</v>
      </c>
      <c r="D48" s="22" cm="1">
        <f t="array" ref="D48">_xlfn.XLOOKUP(1,
  (pivot!$A$2:$A$1946=endirim!B48) * (pivot!$C$2:$C$1946 = _xlfn.MAXIFS(pivot!$C$2:$C$1946, pivot!$A$2:$A$1946, endirim!B48)),
  pivot!$D$2:$D$1946)</f>
        <v>62</v>
      </c>
      <c r="E48" s="3" t="str" cm="1">
        <f t="array" ref="E48">_xlfn.XLOOKUP(1,
    (pivot!$A$2:$A$1946=endirim!B48) * (pivot!$D$2:$D$1946 = _xlfn.MAXIFS(pivot!$D$2:$D$1946, pivot!$A$2:$A$1946, endirim!B48)),
    pivot!$B$2:$B$1946)</f>
        <v>HandsetWebCapable</v>
      </c>
      <c r="F48" s="22">
        <f>_xlfn.MAXIFS(pivot!$D$2:$D$1946, pivot!$A$2:$A$1946, endirim!B48)</f>
        <v>62</v>
      </c>
      <c r="G48" s="3" t="str">
        <f t="shared" si="0"/>
        <v>Təklif yoxdur</v>
      </c>
    </row>
    <row r="49" spans="2:7" x14ac:dyDescent="0.3">
      <c r="B49" t="s">
        <v>103</v>
      </c>
      <c r="C49" s="3" t="str" cm="1">
        <f t="array" ref="C49">_xlfn.XLOOKUP(1,(pivot!$A$2:$A$1946=Table3[[#This Row],[Müştəri adı]])*(pivot!$C$2:$C$1946=_xlfn.MAXIFS(pivot!$C$2:$C$1946,pivot!$A$2:$A$1946,Table3[[#This Row],[Müştəri adı]])),pivot!$B$2:$B$1946)</f>
        <v>NotNewCellphoneUser</v>
      </c>
      <c r="D49" s="22" cm="1">
        <f t="array" ref="D49">_xlfn.XLOOKUP(1,
  (pivot!$A$2:$A$1946=endirim!B49) * (pivot!$C$2:$C$1946 = _xlfn.MAXIFS(pivot!$C$2:$C$1946, pivot!$A$2:$A$1946, endirim!B49)),
  pivot!$D$2:$D$1946)</f>
        <v>28</v>
      </c>
      <c r="E49" s="3" t="str" cm="1">
        <f t="array" ref="E49">_xlfn.XLOOKUP(1,
    (pivot!$A$2:$A$1946=endirim!B49) * (pivot!$D$2:$D$1946 = _xlfn.MAXIFS(pivot!$D$2:$D$1946, pivot!$A$2:$A$1946, endirim!B49)),
    pivot!$B$2:$B$1946)</f>
        <v>NotNewCellphoneUser</v>
      </c>
      <c r="F49" s="22">
        <f>_xlfn.MAXIFS(pivot!$D$2:$D$1946, pivot!$A$2:$A$1946, endirim!B49)</f>
        <v>28</v>
      </c>
      <c r="G49" s="3" t="str">
        <f t="shared" si="0"/>
        <v>Təklif yoxdur</v>
      </c>
    </row>
    <row r="50" spans="2:7" x14ac:dyDescent="0.3">
      <c r="B50" t="s">
        <v>104</v>
      </c>
      <c r="C50" s="3" t="str" cm="1">
        <f t="array" ref="C50">_xlfn.XLOOKUP(1,(pivot!$A$2:$A$1946=Table3[[#This Row],[Müştəri adı]])*(pivot!$C$2:$C$1946=_xlfn.MAXIFS(pivot!$C$2:$C$1946,pivot!$A$2:$A$1946,Table3[[#This Row],[Müştəri adı]])),pivot!$B$2:$B$1946)</f>
        <v>NotNewCellphoneUser</v>
      </c>
      <c r="D50" s="22" cm="1">
        <f t="array" ref="D50">_xlfn.XLOOKUP(1,
  (pivot!$A$2:$A$1946=endirim!B50) * (pivot!$C$2:$C$1946 = _xlfn.MAXIFS(pivot!$C$2:$C$1946, pivot!$A$2:$A$1946, endirim!B50)),
  pivot!$D$2:$D$1946)</f>
        <v>28</v>
      </c>
      <c r="E50" s="3" t="str" cm="1">
        <f t="array" ref="E50">_xlfn.XLOOKUP(1,
    (pivot!$A$2:$A$1946=endirim!B50) * (pivot!$D$2:$D$1946 = _xlfn.MAXIFS(pivot!$D$2:$D$1946, pivot!$A$2:$A$1946, endirim!B50)),
    pivot!$B$2:$B$1946)</f>
        <v>HandsetWebCapable</v>
      </c>
      <c r="F50" s="22">
        <f>_xlfn.MAXIFS(pivot!$D$2:$D$1946, pivot!$A$2:$A$1946, endirim!B50)</f>
        <v>62</v>
      </c>
      <c r="G50" s="3" t="str">
        <f t="shared" si="0"/>
        <v>HandsetWebCapable Kompaniyasını 20% endirimlə təklif et</v>
      </c>
    </row>
    <row r="51" spans="2:7" x14ac:dyDescent="0.3">
      <c r="B51" t="s">
        <v>105</v>
      </c>
      <c r="C51" s="3" t="str" cm="1">
        <f t="array" ref="C51">_xlfn.XLOOKUP(1,(pivot!$A$2:$A$1946=Table3[[#This Row],[Müştəri adı]])*(pivot!$C$2:$C$1946=_xlfn.MAXIFS(pivot!$C$2:$C$1946,pivot!$A$2:$A$1946,Table3[[#This Row],[Müştəri adı]])),pivot!$B$2:$B$1946)</f>
        <v>RespondsToMailOffers</v>
      </c>
      <c r="D51" s="22" cm="1">
        <f t="array" ref="D51">_xlfn.XLOOKUP(1,
  (pivot!$A$2:$A$1946=endirim!B51) * (pivot!$C$2:$C$1946 = _xlfn.MAXIFS(pivot!$C$2:$C$1946, pivot!$A$2:$A$1946, endirim!B51)),
  pivot!$D$2:$D$1946)</f>
        <v>27</v>
      </c>
      <c r="E51" s="3" t="str" cm="1">
        <f t="array" ref="E51">_xlfn.XLOOKUP(1,
    (pivot!$A$2:$A$1946=endirim!B51) * (pivot!$D$2:$D$1946 = _xlfn.MAXIFS(pivot!$D$2:$D$1946, pivot!$A$2:$A$1946, endirim!B51)),
    pivot!$B$2:$B$1946)</f>
        <v>RespondsToMailOffers</v>
      </c>
      <c r="F51" s="22">
        <f>_xlfn.MAXIFS(pivot!$D$2:$D$1946, pivot!$A$2:$A$1946, endirim!B51)</f>
        <v>27</v>
      </c>
      <c r="G51" s="3" t="str">
        <f t="shared" si="0"/>
        <v>Təklif yoxdur</v>
      </c>
    </row>
    <row r="52" spans="2:7" x14ac:dyDescent="0.3">
      <c r="B52" t="s">
        <v>106</v>
      </c>
      <c r="C52" s="3" t="str" cm="1">
        <f t="array" ref="C52">_xlfn.XLOOKUP(1,(pivot!$A$2:$A$1946=Table3[[#This Row],[Müştəri adı]])*(pivot!$C$2:$C$1946=_xlfn.MAXIFS(pivot!$C$2:$C$1946,pivot!$A$2:$A$1946,Table3[[#This Row],[Müştəri adı]])),pivot!$B$2:$B$1946)</f>
        <v>OwnsComputer</v>
      </c>
      <c r="D52" s="22" cm="1">
        <f t="array" ref="D52">_xlfn.XLOOKUP(1,
  (pivot!$A$2:$A$1946=endirim!B52) * (pivot!$C$2:$C$1946 = _xlfn.MAXIFS(pivot!$C$2:$C$1946, pivot!$A$2:$A$1946, endirim!B52)),
  pivot!$D$2:$D$1946)</f>
        <v>62</v>
      </c>
      <c r="E52" s="3" t="str" cm="1">
        <f t="array" ref="E52">_xlfn.XLOOKUP(1,
    (pivot!$A$2:$A$1946=endirim!B52) * (pivot!$D$2:$D$1946 = _xlfn.MAXIFS(pivot!$D$2:$D$1946, pivot!$A$2:$A$1946, endirim!B52)),
    pivot!$B$2:$B$1946)</f>
        <v>OwnsComputer</v>
      </c>
      <c r="F52" s="22">
        <f>_xlfn.MAXIFS(pivot!$D$2:$D$1946, pivot!$A$2:$A$1946, endirim!B52)</f>
        <v>62</v>
      </c>
      <c r="G52" s="3" t="str">
        <f t="shared" si="0"/>
        <v>Təklif yoxdur</v>
      </c>
    </row>
    <row r="53" spans="2:7" x14ac:dyDescent="0.3">
      <c r="B53" t="s">
        <v>107</v>
      </c>
      <c r="C53" s="3" t="str" cm="1">
        <f t="array" ref="C53">_xlfn.XLOOKUP(1,(pivot!$A$2:$A$1946=Table3[[#This Row],[Müştəri adı]])*(pivot!$C$2:$C$1946=_xlfn.MAXIFS(pivot!$C$2:$C$1946,pivot!$A$2:$A$1946,Table3[[#This Row],[Müştəri adı]])),pivot!$B$2:$B$1946)</f>
        <v>Homeownership</v>
      </c>
      <c r="D53" s="22" cm="1">
        <f t="array" ref="D53">_xlfn.XLOOKUP(1,
  (pivot!$A$2:$A$1946=endirim!B53) * (pivot!$C$2:$C$1946 = _xlfn.MAXIFS(pivot!$C$2:$C$1946, pivot!$A$2:$A$1946, endirim!B53)),
  pivot!$D$2:$D$1946)</f>
        <v>13</v>
      </c>
      <c r="E53" s="3" t="str" cm="1">
        <f t="array" ref="E53">_xlfn.XLOOKUP(1,
    (pivot!$A$2:$A$1946=endirim!B53) * (pivot!$D$2:$D$1946 = _xlfn.MAXIFS(pivot!$D$2:$D$1946, pivot!$A$2:$A$1946, endirim!B53)),
    pivot!$B$2:$B$1946)</f>
        <v>RespondsToMailOffers</v>
      </c>
      <c r="F53" s="22">
        <f>_xlfn.MAXIFS(pivot!$D$2:$D$1946, pivot!$A$2:$A$1946, endirim!B53)</f>
        <v>27</v>
      </c>
      <c r="G53" s="3" t="str">
        <f t="shared" si="0"/>
        <v>RespondsToMailOffers Kompaniyasını 20% endirimlə təklif et</v>
      </c>
    </row>
    <row r="54" spans="2:7" x14ac:dyDescent="0.3">
      <c r="B54" t="s">
        <v>108</v>
      </c>
      <c r="C54" s="3" t="str" cm="1">
        <f t="array" ref="C54">_xlfn.XLOOKUP(1,(pivot!$A$2:$A$1946=Table3[[#This Row],[Müştəri adı]])*(pivot!$C$2:$C$1946=_xlfn.MAXIFS(pivot!$C$2:$C$1946,pivot!$A$2:$A$1946,Table3[[#This Row],[Müştəri adı]])),pivot!$B$2:$B$1946)</f>
        <v>NewCellphoneUser</v>
      </c>
      <c r="D54" s="22" cm="1">
        <f t="array" ref="D54">_xlfn.XLOOKUP(1,
  (pivot!$A$2:$A$1946=endirim!B54) * (pivot!$C$2:$C$1946 = _xlfn.MAXIFS(pivot!$C$2:$C$1946, pivot!$A$2:$A$1946, endirim!B54)),
  pivot!$D$2:$D$1946)</f>
        <v>25</v>
      </c>
      <c r="E54" s="3" t="str" cm="1">
        <f t="array" ref="E54">_xlfn.XLOOKUP(1,
    (pivot!$A$2:$A$1946=endirim!B54) * (pivot!$D$2:$D$1946 = _xlfn.MAXIFS(pivot!$D$2:$D$1946, pivot!$A$2:$A$1946, endirim!B54)),
    pivot!$B$2:$B$1946)</f>
        <v>NonUSTravel</v>
      </c>
      <c r="F54" s="22">
        <f>_xlfn.MAXIFS(pivot!$D$2:$D$1946, pivot!$A$2:$A$1946, endirim!B54)</f>
        <v>66</v>
      </c>
      <c r="G54" s="3" t="str">
        <f t="shared" si="0"/>
        <v>NonUSTravel Kompaniyasını 20% endirimlə təklif et</v>
      </c>
    </row>
    <row r="55" spans="2:7" x14ac:dyDescent="0.3">
      <c r="B55" t="s">
        <v>109</v>
      </c>
      <c r="C55" s="3" t="str" cm="1">
        <f t="array" ref="C55">_xlfn.XLOOKUP(1,(pivot!$A$2:$A$1946=Table3[[#This Row],[Müştəri adı]])*(pivot!$C$2:$C$1946=_xlfn.MAXIFS(pivot!$C$2:$C$1946,pivot!$A$2:$A$1946,Table3[[#This Row],[Müştəri adı]])),pivot!$B$2:$B$1946)</f>
        <v>RespondsToMailOffers</v>
      </c>
      <c r="D55" s="22" cm="1">
        <f t="array" ref="D55">_xlfn.XLOOKUP(1,
  (pivot!$A$2:$A$1946=endirim!B55) * (pivot!$C$2:$C$1946 = _xlfn.MAXIFS(pivot!$C$2:$C$1946, pivot!$A$2:$A$1946, endirim!B55)),
  pivot!$D$2:$D$1946)</f>
        <v>27</v>
      </c>
      <c r="E55" s="3" t="str" cm="1">
        <f t="array" ref="E55">_xlfn.XLOOKUP(1,
    (pivot!$A$2:$A$1946=endirim!B55) * (pivot!$D$2:$D$1946 = _xlfn.MAXIFS(pivot!$D$2:$D$1946, pivot!$A$2:$A$1946, endirim!B55)),
    pivot!$B$2:$B$1946)</f>
        <v>RespondsToMailOffers</v>
      </c>
      <c r="F55" s="22">
        <f>_xlfn.MAXIFS(pivot!$D$2:$D$1946, pivot!$A$2:$A$1946, endirim!B55)</f>
        <v>27</v>
      </c>
      <c r="G55" s="3" t="str">
        <f t="shared" si="0"/>
        <v>Təklif yoxdur</v>
      </c>
    </row>
    <row r="56" spans="2:7" x14ac:dyDescent="0.3">
      <c r="B56" t="s">
        <v>110</v>
      </c>
      <c r="C56" s="3" t="str" cm="1">
        <f t="array" ref="C56">_xlfn.XLOOKUP(1,(pivot!$A$2:$A$1946=Table3[[#This Row],[Müştəri adı]])*(pivot!$C$2:$C$1946=_xlfn.MAXIFS(pivot!$C$2:$C$1946,pivot!$A$2:$A$1946,Table3[[#This Row],[Müştəri adı]])),pivot!$B$2:$B$1946)</f>
        <v>HandsetRefurbished</v>
      </c>
      <c r="D56" s="22" cm="1">
        <f t="array" ref="D56">_xlfn.XLOOKUP(1,
  (pivot!$A$2:$A$1946=endirim!B56) * (pivot!$C$2:$C$1946 = _xlfn.MAXIFS(pivot!$C$2:$C$1946, pivot!$A$2:$A$1946, endirim!B56)),
  pivot!$D$2:$D$1946)</f>
        <v>26</v>
      </c>
      <c r="E56" s="3" t="str" cm="1">
        <f t="array" ref="E56">_xlfn.XLOOKUP(1,
    (pivot!$A$2:$A$1946=endirim!B56) * (pivot!$D$2:$D$1946 = _xlfn.MAXIFS(pivot!$D$2:$D$1946, pivot!$A$2:$A$1946, endirim!B56)),
    pivot!$B$2:$B$1946)</f>
        <v>TruckOwner</v>
      </c>
      <c r="F56" s="22">
        <f>_xlfn.MAXIFS(pivot!$D$2:$D$1946, pivot!$A$2:$A$1946, endirim!B56)</f>
        <v>26</v>
      </c>
      <c r="G56" s="3" t="str">
        <f t="shared" si="0"/>
        <v>Təklif yoxdur</v>
      </c>
    </row>
    <row r="57" spans="2:7" x14ac:dyDescent="0.3">
      <c r="B57" t="s">
        <v>111</v>
      </c>
      <c r="C57" s="3" t="str" cm="1">
        <f t="array" ref="C57">_xlfn.XLOOKUP(1,(pivot!$A$2:$A$1946=Table3[[#This Row],[Müştəri adı]])*(pivot!$C$2:$C$1946=_xlfn.MAXIFS(pivot!$C$2:$C$1946,pivot!$A$2:$A$1946,Table3[[#This Row],[Müştəri adı]])),pivot!$B$2:$B$1946)</f>
        <v>ChildrenInHH</v>
      </c>
      <c r="D57" s="22" cm="1">
        <f t="array" ref="D57">_xlfn.XLOOKUP(1,
  (pivot!$A$2:$A$1946=endirim!B57) * (pivot!$C$2:$C$1946 = _xlfn.MAXIFS(pivot!$C$2:$C$1946, pivot!$A$2:$A$1946, endirim!B57)),
  pivot!$D$2:$D$1946)</f>
        <v>10</v>
      </c>
      <c r="E57" s="3" t="str" cm="1">
        <f t="array" ref="E57">_xlfn.XLOOKUP(1,
    (pivot!$A$2:$A$1946=endirim!B57) * (pivot!$D$2:$D$1946 = _xlfn.MAXIFS(pivot!$D$2:$D$1946, pivot!$A$2:$A$1946, endirim!B57)),
    pivot!$B$2:$B$1946)</f>
        <v>Homeownership</v>
      </c>
      <c r="F57" s="22">
        <f>_xlfn.MAXIFS(pivot!$D$2:$D$1946, pivot!$A$2:$A$1946, endirim!B57)</f>
        <v>13</v>
      </c>
      <c r="G57" s="3" t="str">
        <f t="shared" si="0"/>
        <v>Homeownership Kompaniyasını 20% endirimlə təklif et</v>
      </c>
    </row>
    <row r="58" spans="2:7" x14ac:dyDescent="0.3">
      <c r="B58" t="s">
        <v>112</v>
      </c>
      <c r="C58" s="3" t="str" cm="1">
        <f t="array" ref="C58">_xlfn.XLOOKUP(1,(pivot!$A$2:$A$1946=Table3[[#This Row],[Müştəri adı]])*(pivot!$C$2:$C$1946=_xlfn.MAXIFS(pivot!$C$2:$C$1946,pivot!$A$2:$A$1946,Table3[[#This Row],[Müştəri adı]])),pivot!$B$2:$B$1946)</f>
        <v>MadeCallToRetentionTeam</v>
      </c>
      <c r="D58" s="22" cm="1">
        <f t="array" ref="D58">_xlfn.XLOOKUP(1,
  (pivot!$A$2:$A$1946=endirim!B58) * (pivot!$C$2:$C$1946 = _xlfn.MAXIFS(pivot!$C$2:$C$1946, pivot!$A$2:$A$1946, endirim!B58)),
  pivot!$D$2:$D$1946)</f>
        <v>16</v>
      </c>
      <c r="E58" s="3" t="str" cm="1">
        <f t="array" ref="E58">_xlfn.XLOOKUP(1,
    (pivot!$A$2:$A$1946=endirim!B58) * (pivot!$D$2:$D$1946 = _xlfn.MAXIFS(pivot!$D$2:$D$1946, pivot!$A$2:$A$1946, endirim!B58)),
    pivot!$B$2:$B$1946)</f>
        <v>HasCreditCard</v>
      </c>
      <c r="F58" s="22">
        <f>_xlfn.MAXIFS(pivot!$D$2:$D$1946, pivot!$A$2:$A$1946, endirim!B58)</f>
        <v>65</v>
      </c>
      <c r="G58" s="3" t="str">
        <f t="shared" si="0"/>
        <v>HasCreditCard Kompaniyasını 20% endirimlə təklif et</v>
      </c>
    </row>
    <row r="59" spans="2:7" x14ac:dyDescent="0.3">
      <c r="B59" t="s">
        <v>113</v>
      </c>
      <c r="C59" s="3" t="str" cm="1">
        <f t="array" ref="C59">_xlfn.XLOOKUP(1,(pivot!$A$2:$A$1946=Table3[[#This Row],[Müştəri adı]])*(pivot!$C$2:$C$1946=_xlfn.MAXIFS(pivot!$C$2:$C$1946,pivot!$A$2:$A$1946,Table3[[#This Row],[Müştəri adı]])),pivot!$B$2:$B$1946)</f>
        <v>TruckOwner</v>
      </c>
      <c r="D59" s="22" cm="1">
        <f t="array" ref="D59">_xlfn.XLOOKUP(1,
  (pivot!$A$2:$A$1946=endirim!B59) * (pivot!$C$2:$C$1946 = _xlfn.MAXIFS(pivot!$C$2:$C$1946, pivot!$A$2:$A$1946, endirim!B59)),
  pivot!$D$2:$D$1946)</f>
        <v>26</v>
      </c>
      <c r="E59" s="3" t="str" cm="1">
        <f t="array" ref="E59">_xlfn.XLOOKUP(1,
    (pivot!$A$2:$A$1946=endirim!B59) * (pivot!$D$2:$D$1946 = _xlfn.MAXIFS(pivot!$D$2:$D$1946, pivot!$A$2:$A$1946, endirim!B59)),
    pivot!$B$2:$B$1946)</f>
        <v>TruckOwner</v>
      </c>
      <c r="F59" s="22">
        <f>_xlfn.MAXIFS(pivot!$D$2:$D$1946, pivot!$A$2:$A$1946, endirim!B59)</f>
        <v>26</v>
      </c>
      <c r="G59" s="3" t="str">
        <f t="shared" si="0"/>
        <v>Təklif yoxdur</v>
      </c>
    </row>
    <row r="60" spans="2:7" x14ac:dyDescent="0.3">
      <c r="B60" t="s">
        <v>114</v>
      </c>
      <c r="C60" s="3" t="str" cm="1">
        <f t="array" ref="C60">_xlfn.XLOOKUP(1,(pivot!$A$2:$A$1946=Table3[[#This Row],[Müştəri adı]])*(pivot!$C$2:$C$1946=_xlfn.MAXIFS(pivot!$C$2:$C$1946,pivot!$A$2:$A$1946,Table3[[#This Row],[Müştəri adı]])),pivot!$B$2:$B$1946)</f>
        <v>MaritalStatus</v>
      </c>
      <c r="D60" s="22" cm="1">
        <f t="array" ref="D60">_xlfn.XLOOKUP(1,
  (pivot!$A$2:$A$1946=endirim!B60) * (pivot!$C$2:$C$1946 = _xlfn.MAXIFS(pivot!$C$2:$C$1946, pivot!$A$2:$A$1946, endirim!B60)),
  pivot!$D$2:$D$1946)</f>
        <v>29</v>
      </c>
      <c r="E60" s="3" t="str" cm="1">
        <f t="array" ref="E60">_xlfn.XLOOKUP(1,
    (pivot!$A$2:$A$1946=endirim!B60) * (pivot!$D$2:$D$1946 = _xlfn.MAXIFS(pivot!$D$2:$D$1946, pivot!$A$2:$A$1946, endirim!B60)),
    pivot!$B$2:$B$1946)</f>
        <v>MaritalStatus</v>
      </c>
      <c r="F60" s="22">
        <f>_xlfn.MAXIFS(pivot!$D$2:$D$1946, pivot!$A$2:$A$1946, endirim!B60)</f>
        <v>29</v>
      </c>
      <c r="G60" s="3" t="str">
        <f t="shared" si="0"/>
        <v>Təklif yoxdur</v>
      </c>
    </row>
    <row r="61" spans="2:7" x14ac:dyDescent="0.3">
      <c r="B61" t="s">
        <v>115</v>
      </c>
      <c r="C61" s="3" t="str" cm="1">
        <f t="array" ref="C61">_xlfn.XLOOKUP(1,(pivot!$A$2:$A$1946=Table3[[#This Row],[Müştəri adı]])*(pivot!$C$2:$C$1946=_xlfn.MAXIFS(pivot!$C$2:$C$1946,pivot!$A$2:$A$1946,Table3[[#This Row],[Müştəri adı]])),pivot!$B$2:$B$1946)</f>
        <v>MaritalStatus</v>
      </c>
      <c r="D61" s="22" cm="1">
        <f t="array" ref="D61">_xlfn.XLOOKUP(1,
  (pivot!$A$2:$A$1946=endirim!B61) * (pivot!$C$2:$C$1946 = _xlfn.MAXIFS(pivot!$C$2:$C$1946, pivot!$A$2:$A$1946, endirim!B61)),
  pivot!$D$2:$D$1946)</f>
        <v>29</v>
      </c>
      <c r="E61" s="3" t="str" cm="1">
        <f t="array" ref="E61">_xlfn.XLOOKUP(1,
    (pivot!$A$2:$A$1946=endirim!B61) * (pivot!$D$2:$D$1946 = _xlfn.MAXIFS(pivot!$D$2:$D$1946, pivot!$A$2:$A$1946, endirim!B61)),
    pivot!$B$2:$B$1946)</f>
        <v>MaritalStatus</v>
      </c>
      <c r="F61" s="22">
        <f>_xlfn.MAXIFS(pivot!$D$2:$D$1946, pivot!$A$2:$A$1946, endirim!B61)</f>
        <v>29</v>
      </c>
      <c r="G61" s="3" t="str">
        <f t="shared" si="0"/>
        <v>Təklif yoxdur</v>
      </c>
    </row>
    <row r="62" spans="2:7" x14ac:dyDescent="0.3">
      <c r="B62" t="s">
        <v>116</v>
      </c>
      <c r="C62" s="3" t="str" cm="1">
        <f t="array" ref="C62">_xlfn.XLOOKUP(1,(pivot!$A$2:$A$1946=Table3[[#This Row],[Müştəri adı]])*(pivot!$C$2:$C$1946=_xlfn.MAXIFS(pivot!$C$2:$C$1946,pivot!$A$2:$A$1946,Table3[[#This Row],[Müştəri adı]])),pivot!$B$2:$B$1946)</f>
        <v>ChildrenInHH</v>
      </c>
      <c r="D62" s="22" cm="1">
        <f t="array" ref="D62">_xlfn.XLOOKUP(1,
  (pivot!$A$2:$A$1946=endirim!B62) * (pivot!$C$2:$C$1946 = _xlfn.MAXIFS(pivot!$C$2:$C$1946, pivot!$A$2:$A$1946, endirim!B62)),
  pivot!$D$2:$D$1946)</f>
        <v>10</v>
      </c>
      <c r="E62" s="3" t="str" cm="1">
        <f t="array" ref="E62">_xlfn.XLOOKUP(1,
    (pivot!$A$2:$A$1946=endirim!B62) * (pivot!$D$2:$D$1946 = _xlfn.MAXIFS(pivot!$D$2:$D$1946, pivot!$A$2:$A$1946, endirim!B62)),
    pivot!$B$2:$B$1946)</f>
        <v>OptOutMailings</v>
      </c>
      <c r="F62" s="22">
        <f>_xlfn.MAXIFS(pivot!$D$2:$D$1946, pivot!$A$2:$A$1946, endirim!B62)</f>
        <v>75</v>
      </c>
      <c r="G62" s="3" t="str">
        <f t="shared" si="0"/>
        <v>OptOutMailings Kompaniyasını 20% endirimlə təklif et</v>
      </c>
    </row>
    <row r="63" spans="2:7" x14ac:dyDescent="0.3">
      <c r="B63" t="s">
        <v>117</v>
      </c>
      <c r="C63" s="3" t="str" cm="1">
        <f t="array" ref="C63">_xlfn.XLOOKUP(1,(pivot!$A$2:$A$1946=Table3[[#This Row],[Müştəri adı]])*(pivot!$C$2:$C$1946=_xlfn.MAXIFS(pivot!$C$2:$C$1946,pivot!$A$2:$A$1946,Table3[[#This Row],[Müştəri adı]])),pivot!$B$2:$B$1946)</f>
        <v>OwnsMotorcycle</v>
      </c>
      <c r="D63" s="22" cm="1">
        <f t="array" ref="D63">_xlfn.XLOOKUP(1,
  (pivot!$A$2:$A$1946=endirim!B63) * (pivot!$C$2:$C$1946 = _xlfn.MAXIFS(pivot!$C$2:$C$1946, pivot!$A$2:$A$1946, endirim!B63)),
  pivot!$D$2:$D$1946)</f>
        <v>14</v>
      </c>
      <c r="E63" s="3" t="str" cm="1">
        <f t="array" ref="E63">_xlfn.XLOOKUP(1,
    (pivot!$A$2:$A$1946=endirim!B63) * (pivot!$D$2:$D$1946 = _xlfn.MAXIFS(pivot!$D$2:$D$1946, pivot!$A$2:$A$1946, endirim!B63)),
    pivot!$B$2:$B$1946)</f>
        <v>OwnsComputer</v>
      </c>
      <c r="F63" s="22">
        <f>_xlfn.MAXIFS(pivot!$D$2:$D$1946, pivot!$A$2:$A$1946, endirim!B63)</f>
        <v>62</v>
      </c>
      <c r="G63" s="3" t="str">
        <f t="shared" si="0"/>
        <v>OwnsComputer Kompaniyasını 20% endirimlə təklif et</v>
      </c>
    </row>
    <row r="64" spans="2:7" x14ac:dyDescent="0.3">
      <c r="B64" t="s">
        <v>118</v>
      </c>
      <c r="C64" s="3" t="str" cm="1">
        <f t="array" ref="C64">_xlfn.XLOOKUP(1,(pivot!$A$2:$A$1946=Table3[[#This Row],[Müştəri adı]])*(pivot!$C$2:$C$1946=_xlfn.MAXIFS(pivot!$C$2:$C$1946,pivot!$A$2:$A$1946,Table3[[#This Row],[Müştəri adı]])),pivot!$B$2:$B$1946)</f>
        <v>RVOwner</v>
      </c>
      <c r="D64" s="22" cm="1">
        <f t="array" ref="D64">_xlfn.XLOOKUP(1,
  (pivot!$A$2:$A$1946=endirim!B64) * (pivot!$C$2:$C$1946 = _xlfn.MAXIFS(pivot!$C$2:$C$1946, pivot!$A$2:$A$1946, endirim!B64)),
  pivot!$D$2:$D$1946)</f>
        <v>22</v>
      </c>
      <c r="E64" s="3" t="str" cm="1">
        <f t="array" ref="E64">_xlfn.XLOOKUP(1,
    (pivot!$A$2:$A$1946=endirim!B64) * (pivot!$D$2:$D$1946 = _xlfn.MAXIFS(pivot!$D$2:$D$1946, pivot!$A$2:$A$1946, endirim!B64)),
    pivot!$B$2:$B$1946)</f>
        <v>RVOwner</v>
      </c>
      <c r="F64" s="22">
        <f>_xlfn.MAXIFS(pivot!$D$2:$D$1946, pivot!$A$2:$A$1946, endirim!B64)</f>
        <v>22</v>
      </c>
      <c r="G64" s="3" t="str">
        <f t="shared" si="0"/>
        <v>Təklif yoxdur</v>
      </c>
    </row>
    <row r="65" spans="2:7" x14ac:dyDescent="0.3">
      <c r="B65" t="s">
        <v>119</v>
      </c>
      <c r="C65" s="3" t="str" cm="1">
        <f t="array" ref="C65">_xlfn.XLOOKUP(1,(pivot!$A$2:$A$1946=Table3[[#This Row],[Müştəri adı]])*(pivot!$C$2:$C$1946=_xlfn.MAXIFS(pivot!$C$2:$C$1946,pivot!$A$2:$A$1946,Table3[[#This Row],[Müştəri adı]])),pivot!$B$2:$B$1946)</f>
        <v>MaritalStatus</v>
      </c>
      <c r="D65" s="22" cm="1">
        <f t="array" ref="D65">_xlfn.XLOOKUP(1,
  (pivot!$A$2:$A$1946=endirim!B65) * (pivot!$C$2:$C$1946 = _xlfn.MAXIFS(pivot!$C$2:$C$1946, pivot!$A$2:$A$1946, endirim!B65)),
  pivot!$D$2:$D$1946)</f>
        <v>29</v>
      </c>
      <c r="E65" s="3" t="str" cm="1">
        <f t="array" ref="E65">_xlfn.XLOOKUP(1,
    (pivot!$A$2:$A$1946=endirim!B65) * (pivot!$D$2:$D$1946 = _xlfn.MAXIFS(pivot!$D$2:$D$1946, pivot!$A$2:$A$1946, endirim!B65)),
    pivot!$B$2:$B$1946)</f>
        <v>MaritalStatus</v>
      </c>
      <c r="F65" s="22">
        <f>_xlfn.MAXIFS(pivot!$D$2:$D$1946, pivot!$A$2:$A$1946, endirim!B65)</f>
        <v>29</v>
      </c>
      <c r="G65" s="3" t="str">
        <f t="shared" si="0"/>
        <v>Təklif yoxdur</v>
      </c>
    </row>
    <row r="66" spans="2:7" x14ac:dyDescent="0.3">
      <c r="B66" t="s">
        <v>120</v>
      </c>
      <c r="C66" s="3" t="str" cm="1">
        <f t="array" ref="C66">_xlfn.XLOOKUP(1,(pivot!$A$2:$A$1946=Table3[[#This Row],[Müştəri adı]])*(pivot!$C$2:$C$1946=_xlfn.MAXIFS(pivot!$C$2:$C$1946,pivot!$A$2:$A$1946,Table3[[#This Row],[Müştəri adı]])),pivot!$B$2:$B$1946)</f>
        <v>NewCellphoneUser</v>
      </c>
      <c r="D66" s="22" cm="1">
        <f t="array" ref="D66">_xlfn.XLOOKUP(1,
  (pivot!$A$2:$A$1946=endirim!B66) * (pivot!$C$2:$C$1946 = _xlfn.MAXIFS(pivot!$C$2:$C$1946, pivot!$A$2:$A$1946, endirim!B66)),
  pivot!$D$2:$D$1946)</f>
        <v>25</v>
      </c>
      <c r="E66" s="3" t="str" cm="1">
        <f t="array" ref="E66">_xlfn.XLOOKUP(1,
    (pivot!$A$2:$A$1946=endirim!B66) * (pivot!$D$2:$D$1946 = _xlfn.MAXIFS(pivot!$D$2:$D$1946, pivot!$A$2:$A$1946, endirim!B66)),
    pivot!$B$2:$B$1946)</f>
        <v>NewCellphoneUser</v>
      </c>
      <c r="F66" s="22">
        <f>_xlfn.MAXIFS(pivot!$D$2:$D$1946, pivot!$A$2:$A$1946, endirim!B66)</f>
        <v>25</v>
      </c>
      <c r="G66" s="3" t="str">
        <f t="shared" si="0"/>
        <v>Təklif yoxdur</v>
      </c>
    </row>
    <row r="67" spans="2:7" x14ac:dyDescent="0.3">
      <c r="B67" t="s">
        <v>121</v>
      </c>
      <c r="C67" s="3" t="str" cm="1">
        <f t="array" ref="C67">_xlfn.XLOOKUP(1,(pivot!$A$2:$A$1946=Table3[[#This Row],[Müştəri adı]])*(pivot!$C$2:$C$1946=_xlfn.MAXIFS(pivot!$C$2:$C$1946,pivot!$A$2:$A$1946,Table3[[#This Row],[Müştəri adı]])),pivot!$B$2:$B$1946)</f>
        <v>NotNewCellphoneUser</v>
      </c>
      <c r="D67" s="22" cm="1">
        <f t="array" ref="D67">_xlfn.XLOOKUP(1,
  (pivot!$A$2:$A$1946=endirim!B67) * (pivot!$C$2:$C$1946 = _xlfn.MAXIFS(pivot!$C$2:$C$1946, pivot!$A$2:$A$1946, endirim!B67)),
  pivot!$D$2:$D$1946)</f>
        <v>28</v>
      </c>
      <c r="E67" s="3" t="str" cm="1">
        <f t="array" ref="E67">_xlfn.XLOOKUP(1,
    (pivot!$A$2:$A$1946=endirim!B67) * (pivot!$D$2:$D$1946 = _xlfn.MAXIFS(pivot!$D$2:$D$1946, pivot!$A$2:$A$1946, endirim!B67)),
    pivot!$B$2:$B$1946)</f>
        <v>NotNewCellphoneUser</v>
      </c>
      <c r="F67" s="22">
        <f>_xlfn.MAXIFS(pivot!$D$2:$D$1946, pivot!$A$2:$A$1946, endirim!B67)</f>
        <v>28</v>
      </c>
      <c r="G67" s="3" t="str">
        <f t="shared" si="0"/>
        <v>Təklif yoxdur</v>
      </c>
    </row>
    <row r="68" spans="2:7" x14ac:dyDescent="0.3">
      <c r="B68" t="s">
        <v>122</v>
      </c>
      <c r="C68" s="3" t="str" cm="1">
        <f t="array" ref="C68">_xlfn.XLOOKUP(1,(pivot!$A$2:$A$1946=Table3[[#This Row],[Müştəri adı]])*(pivot!$C$2:$C$1946=_xlfn.MAXIFS(pivot!$C$2:$C$1946,pivot!$A$2:$A$1946,Table3[[#This Row],[Müştəri adı]])),pivot!$B$2:$B$1946)</f>
        <v>Homeownership</v>
      </c>
      <c r="D68" s="22" cm="1">
        <f t="array" ref="D68">_xlfn.XLOOKUP(1,
  (pivot!$A$2:$A$1946=endirim!B68) * (pivot!$C$2:$C$1946 = _xlfn.MAXIFS(pivot!$C$2:$C$1946, pivot!$A$2:$A$1946, endirim!B68)),
  pivot!$D$2:$D$1946)</f>
        <v>13</v>
      </c>
      <c r="E68" s="3" t="str" cm="1">
        <f t="array" ref="E68">_xlfn.XLOOKUP(1,
    (pivot!$A$2:$A$1946=endirim!B68) * (pivot!$D$2:$D$1946 = _xlfn.MAXIFS(pivot!$D$2:$D$1946, pivot!$A$2:$A$1946, endirim!B68)),
    pivot!$B$2:$B$1946)</f>
        <v>NewCellphoneUser</v>
      </c>
      <c r="F68" s="22">
        <f>_xlfn.MAXIFS(pivot!$D$2:$D$1946, pivot!$A$2:$A$1946, endirim!B68)</f>
        <v>25</v>
      </c>
      <c r="G68" s="3" t="str">
        <f t="shared" ref="G68:G131" si="1">IF(D68=F68, "Təklif yoxdur", E68&amp;" Kompaniyasını 20% endirimlə təklif et")</f>
        <v>NewCellphoneUser Kompaniyasını 20% endirimlə təklif et</v>
      </c>
    </row>
    <row r="69" spans="2:7" x14ac:dyDescent="0.3">
      <c r="B69" t="s">
        <v>123</v>
      </c>
      <c r="C69" s="3" t="str" cm="1">
        <f t="array" ref="C69">_xlfn.XLOOKUP(1,(pivot!$A$2:$A$1946=Table3[[#This Row],[Müştəri adı]])*(pivot!$C$2:$C$1946=_xlfn.MAXIFS(pivot!$C$2:$C$1946,pivot!$A$2:$A$1946,Table3[[#This Row],[Müştəri adı]])),pivot!$B$2:$B$1946)</f>
        <v>BuysViaMailOrder</v>
      </c>
      <c r="D69" s="22" cm="1">
        <f t="array" ref="D69">_xlfn.XLOOKUP(1,
  (pivot!$A$2:$A$1946=endirim!B69) * (pivot!$C$2:$C$1946 = _xlfn.MAXIFS(pivot!$C$2:$C$1946, pivot!$A$2:$A$1946, endirim!B69)),
  pivot!$D$2:$D$1946)</f>
        <v>25</v>
      </c>
      <c r="E69" s="3" t="str" cm="1">
        <f t="array" ref="E69">_xlfn.XLOOKUP(1,
    (pivot!$A$2:$A$1946=endirim!B69) * (pivot!$D$2:$D$1946 = _xlfn.MAXIFS(pivot!$D$2:$D$1946, pivot!$A$2:$A$1946, endirim!B69)),
    pivot!$B$2:$B$1946)</f>
        <v>HandsetRefurbished</v>
      </c>
      <c r="F69" s="22">
        <f>_xlfn.MAXIFS(pivot!$D$2:$D$1946, pivot!$A$2:$A$1946, endirim!B69)</f>
        <v>26</v>
      </c>
      <c r="G69" s="3" t="str">
        <f t="shared" si="1"/>
        <v>HandsetRefurbished Kompaniyasını 20% endirimlə təklif et</v>
      </c>
    </row>
    <row r="70" spans="2:7" x14ac:dyDescent="0.3">
      <c r="B70" t="s">
        <v>124</v>
      </c>
      <c r="C70" s="3" t="str" cm="1">
        <f t="array" ref="C70">_xlfn.XLOOKUP(1,(pivot!$A$2:$A$1946=Table3[[#This Row],[Müştəri adı]])*(pivot!$C$2:$C$1946=_xlfn.MAXIFS(pivot!$C$2:$C$1946,pivot!$A$2:$A$1946,Table3[[#This Row],[Müştəri adı]])),pivot!$B$2:$B$1946)</f>
        <v>RVOwner</v>
      </c>
      <c r="D70" s="22" cm="1">
        <f t="array" ref="D70">_xlfn.XLOOKUP(1,
  (pivot!$A$2:$A$1946=endirim!B70) * (pivot!$C$2:$C$1946 = _xlfn.MAXIFS(pivot!$C$2:$C$1946, pivot!$A$2:$A$1946, endirim!B70)),
  pivot!$D$2:$D$1946)</f>
        <v>22</v>
      </c>
      <c r="E70" s="3" t="str" cm="1">
        <f t="array" ref="E70">_xlfn.XLOOKUP(1,
    (pivot!$A$2:$A$1946=endirim!B70) * (pivot!$D$2:$D$1946 = _xlfn.MAXIFS(pivot!$D$2:$D$1946, pivot!$A$2:$A$1946, endirim!B70)),
    pivot!$B$2:$B$1946)</f>
        <v>RVOwner</v>
      </c>
      <c r="F70" s="22">
        <f>_xlfn.MAXIFS(pivot!$D$2:$D$1946, pivot!$A$2:$A$1946, endirim!B70)</f>
        <v>22</v>
      </c>
      <c r="G70" s="3" t="str">
        <f t="shared" si="1"/>
        <v>Təklif yoxdur</v>
      </c>
    </row>
    <row r="71" spans="2:7" x14ac:dyDescent="0.3">
      <c r="B71" t="s">
        <v>125</v>
      </c>
      <c r="C71" s="3" t="str" cm="1">
        <f t="array" ref="C71">_xlfn.XLOOKUP(1,(pivot!$A$2:$A$1946=Table3[[#This Row],[Müştəri adı]])*(pivot!$C$2:$C$1946=_xlfn.MAXIFS(pivot!$C$2:$C$1946,pivot!$A$2:$A$1946,Table3[[#This Row],[Müştəri adı]])),pivot!$B$2:$B$1946)</f>
        <v>Homeownership</v>
      </c>
      <c r="D71" s="22" cm="1">
        <f t="array" ref="D71">_xlfn.XLOOKUP(1,
  (pivot!$A$2:$A$1946=endirim!B71) * (pivot!$C$2:$C$1946 = _xlfn.MAXIFS(pivot!$C$2:$C$1946, pivot!$A$2:$A$1946, endirim!B71)),
  pivot!$D$2:$D$1946)</f>
        <v>13</v>
      </c>
      <c r="E71" s="3" t="str" cm="1">
        <f t="array" ref="E71">_xlfn.XLOOKUP(1,
    (pivot!$A$2:$A$1946=endirim!B71) * (pivot!$D$2:$D$1946 = _xlfn.MAXIFS(pivot!$D$2:$D$1946, pivot!$A$2:$A$1946, endirim!B71)),
    pivot!$B$2:$B$1946)</f>
        <v>Homeownership</v>
      </c>
      <c r="F71" s="22">
        <f>_xlfn.MAXIFS(pivot!$D$2:$D$1946, pivot!$A$2:$A$1946, endirim!B71)</f>
        <v>13</v>
      </c>
      <c r="G71" s="3" t="str">
        <f t="shared" si="1"/>
        <v>Təklif yoxdur</v>
      </c>
    </row>
    <row r="72" spans="2:7" x14ac:dyDescent="0.3">
      <c r="B72" t="s">
        <v>126</v>
      </c>
      <c r="C72" s="3" t="str" cm="1">
        <f t="array" ref="C72">_xlfn.XLOOKUP(1,(pivot!$A$2:$A$1946=Table3[[#This Row],[Müştəri adı]])*(pivot!$C$2:$C$1946=_xlfn.MAXIFS(pivot!$C$2:$C$1946,pivot!$A$2:$A$1946,Table3[[#This Row],[Müştəri adı]])),pivot!$B$2:$B$1946)</f>
        <v>Homeownership</v>
      </c>
      <c r="D72" s="22" cm="1">
        <f t="array" ref="D72">_xlfn.XLOOKUP(1,
  (pivot!$A$2:$A$1946=endirim!B72) * (pivot!$C$2:$C$1946 = _xlfn.MAXIFS(pivot!$C$2:$C$1946, pivot!$A$2:$A$1946, endirim!B72)),
  pivot!$D$2:$D$1946)</f>
        <v>13</v>
      </c>
      <c r="E72" s="3" t="str" cm="1">
        <f t="array" ref="E72">_xlfn.XLOOKUP(1,
    (pivot!$A$2:$A$1946=endirim!B72) * (pivot!$D$2:$D$1946 = _xlfn.MAXIFS(pivot!$D$2:$D$1946, pivot!$A$2:$A$1946, endirim!B72)),
    pivot!$B$2:$B$1946)</f>
        <v>Homeownership</v>
      </c>
      <c r="F72" s="22">
        <f>_xlfn.MAXIFS(pivot!$D$2:$D$1946, pivot!$A$2:$A$1946, endirim!B72)</f>
        <v>13</v>
      </c>
      <c r="G72" s="3" t="str">
        <f t="shared" si="1"/>
        <v>Təklif yoxdur</v>
      </c>
    </row>
    <row r="73" spans="2:7" x14ac:dyDescent="0.3">
      <c r="B73" t="s">
        <v>127</v>
      </c>
      <c r="C73" s="3" t="str" cm="1">
        <f t="array" ref="C73">_xlfn.XLOOKUP(1,(pivot!$A$2:$A$1946=Table3[[#This Row],[Müştəri adı]])*(pivot!$C$2:$C$1946=_xlfn.MAXIFS(pivot!$C$2:$C$1946,pivot!$A$2:$A$1946,Table3[[#This Row],[Müştəri adı]])),pivot!$B$2:$B$1946)</f>
        <v>OwnsComputer</v>
      </c>
      <c r="D73" s="22" cm="1">
        <f t="array" ref="D73">_xlfn.XLOOKUP(1,
  (pivot!$A$2:$A$1946=endirim!B73) * (pivot!$C$2:$C$1946 = _xlfn.MAXIFS(pivot!$C$2:$C$1946, pivot!$A$2:$A$1946, endirim!B73)),
  pivot!$D$2:$D$1946)</f>
        <v>62</v>
      </c>
      <c r="E73" s="3" t="str" cm="1">
        <f t="array" ref="E73">_xlfn.XLOOKUP(1,
    (pivot!$A$2:$A$1946=endirim!B73) * (pivot!$D$2:$D$1946 = _xlfn.MAXIFS(pivot!$D$2:$D$1946, pivot!$A$2:$A$1946, endirim!B73)),
    pivot!$B$2:$B$1946)</f>
        <v>OwnsComputer</v>
      </c>
      <c r="F73" s="22">
        <f>_xlfn.MAXIFS(pivot!$D$2:$D$1946, pivot!$A$2:$A$1946, endirim!B73)</f>
        <v>62</v>
      </c>
      <c r="G73" s="3" t="str">
        <f t="shared" si="1"/>
        <v>Təklif yoxdur</v>
      </c>
    </row>
    <row r="74" spans="2:7" x14ac:dyDescent="0.3">
      <c r="B74" t="s">
        <v>128</v>
      </c>
      <c r="C74" s="3" t="str" cm="1">
        <f t="array" ref="C74">_xlfn.XLOOKUP(1,(pivot!$A$2:$A$1946=Table3[[#This Row],[Müştəri adı]])*(pivot!$C$2:$C$1946=_xlfn.MAXIFS(pivot!$C$2:$C$1946,pivot!$A$2:$A$1946,Table3[[#This Row],[Müştəri adı]])),pivot!$B$2:$B$1946)</f>
        <v>HandsetRefurbished</v>
      </c>
      <c r="D74" s="22" cm="1">
        <f t="array" ref="D74">_xlfn.XLOOKUP(1,
  (pivot!$A$2:$A$1946=endirim!B74) * (pivot!$C$2:$C$1946 = _xlfn.MAXIFS(pivot!$C$2:$C$1946, pivot!$A$2:$A$1946, endirim!B74)),
  pivot!$D$2:$D$1946)</f>
        <v>26</v>
      </c>
      <c r="E74" s="3" t="str" cm="1">
        <f t="array" ref="E74">_xlfn.XLOOKUP(1,
    (pivot!$A$2:$A$1946=endirim!B74) * (pivot!$D$2:$D$1946 = _xlfn.MAXIFS(pivot!$D$2:$D$1946, pivot!$A$2:$A$1946, endirim!B74)),
    pivot!$B$2:$B$1946)</f>
        <v>OwnsComputer</v>
      </c>
      <c r="F74" s="22">
        <f>_xlfn.MAXIFS(pivot!$D$2:$D$1946, pivot!$A$2:$A$1946, endirim!B74)</f>
        <v>62</v>
      </c>
      <c r="G74" s="3" t="str">
        <f t="shared" si="1"/>
        <v>OwnsComputer Kompaniyasını 20% endirimlə təklif et</v>
      </c>
    </row>
    <row r="75" spans="2:7" x14ac:dyDescent="0.3">
      <c r="B75" t="s">
        <v>129</v>
      </c>
      <c r="C75" s="3" t="str" cm="1">
        <f t="array" ref="C75">_xlfn.XLOOKUP(1,(pivot!$A$2:$A$1946=Table3[[#This Row],[Müştəri adı]])*(pivot!$C$2:$C$1946=_xlfn.MAXIFS(pivot!$C$2:$C$1946,pivot!$A$2:$A$1946,Table3[[#This Row],[Müştəri adı]])),pivot!$B$2:$B$1946)</f>
        <v>RVOwner</v>
      </c>
      <c r="D75" s="22" cm="1">
        <f t="array" ref="D75">_xlfn.XLOOKUP(1,
  (pivot!$A$2:$A$1946=endirim!B75) * (pivot!$C$2:$C$1946 = _xlfn.MAXIFS(pivot!$C$2:$C$1946, pivot!$A$2:$A$1946, endirim!B75)),
  pivot!$D$2:$D$1946)</f>
        <v>22</v>
      </c>
      <c r="E75" s="3" t="str" cm="1">
        <f t="array" ref="E75">_xlfn.XLOOKUP(1,
    (pivot!$A$2:$A$1946=endirim!B75) * (pivot!$D$2:$D$1946 = _xlfn.MAXIFS(pivot!$D$2:$D$1946, pivot!$A$2:$A$1946, endirim!B75)),
    pivot!$B$2:$B$1946)</f>
        <v>RVOwner</v>
      </c>
      <c r="F75" s="22">
        <f>_xlfn.MAXIFS(pivot!$D$2:$D$1946, pivot!$A$2:$A$1946, endirim!B75)</f>
        <v>22</v>
      </c>
      <c r="G75" s="3" t="str">
        <f t="shared" si="1"/>
        <v>Təklif yoxdur</v>
      </c>
    </row>
    <row r="76" spans="2:7" x14ac:dyDescent="0.3">
      <c r="B76" t="s">
        <v>130</v>
      </c>
      <c r="C76" s="3" t="str" cm="1">
        <f t="array" ref="C76">_xlfn.XLOOKUP(1,(pivot!$A$2:$A$1946=Table3[[#This Row],[Müştəri adı]])*(pivot!$C$2:$C$1946=_xlfn.MAXIFS(pivot!$C$2:$C$1946,pivot!$A$2:$A$1946,Table3[[#This Row],[Müştəri adı]])),pivot!$B$2:$B$1946)</f>
        <v>OptOutMailings</v>
      </c>
      <c r="D76" s="22" cm="1">
        <f t="array" ref="D76">_xlfn.XLOOKUP(1,
  (pivot!$A$2:$A$1946=endirim!B76) * (pivot!$C$2:$C$1946 = _xlfn.MAXIFS(pivot!$C$2:$C$1946, pivot!$A$2:$A$1946, endirim!B76)),
  pivot!$D$2:$D$1946)</f>
        <v>75</v>
      </c>
      <c r="E76" s="3" t="str" cm="1">
        <f t="array" ref="E76">_xlfn.XLOOKUP(1,
    (pivot!$A$2:$A$1946=endirim!B76) * (pivot!$D$2:$D$1946 = _xlfn.MAXIFS(pivot!$D$2:$D$1946, pivot!$A$2:$A$1946, endirim!B76)),
    pivot!$B$2:$B$1946)</f>
        <v>OptOutMailings</v>
      </c>
      <c r="F76" s="22">
        <f>_xlfn.MAXIFS(pivot!$D$2:$D$1946, pivot!$A$2:$A$1946, endirim!B76)</f>
        <v>75</v>
      </c>
      <c r="G76" s="3" t="str">
        <f t="shared" si="1"/>
        <v>Təklif yoxdur</v>
      </c>
    </row>
    <row r="77" spans="2:7" x14ac:dyDescent="0.3">
      <c r="B77" t="s">
        <v>131</v>
      </c>
      <c r="C77" s="3" t="str" cm="1">
        <f t="array" ref="C77">_xlfn.XLOOKUP(1,(pivot!$A$2:$A$1946=Table3[[#This Row],[Müştəri adı]])*(pivot!$C$2:$C$1946=_xlfn.MAXIFS(pivot!$C$2:$C$1946,pivot!$A$2:$A$1946,Table3[[#This Row],[Müştəri adı]])),pivot!$B$2:$B$1946)</f>
        <v>RespondsToMailOffers</v>
      </c>
      <c r="D77" s="22" cm="1">
        <f t="array" ref="D77">_xlfn.XLOOKUP(1,
  (pivot!$A$2:$A$1946=endirim!B77) * (pivot!$C$2:$C$1946 = _xlfn.MAXIFS(pivot!$C$2:$C$1946, pivot!$A$2:$A$1946, endirim!B77)),
  pivot!$D$2:$D$1946)</f>
        <v>27</v>
      </c>
      <c r="E77" s="3" t="str" cm="1">
        <f t="array" ref="E77">_xlfn.XLOOKUP(1,
    (pivot!$A$2:$A$1946=endirim!B77) * (pivot!$D$2:$D$1946 = _xlfn.MAXIFS(pivot!$D$2:$D$1946, pivot!$A$2:$A$1946, endirim!B77)),
    pivot!$B$2:$B$1946)</f>
        <v>HasCreditCard</v>
      </c>
      <c r="F77" s="22">
        <f>_xlfn.MAXIFS(pivot!$D$2:$D$1946, pivot!$A$2:$A$1946, endirim!B77)</f>
        <v>65</v>
      </c>
      <c r="G77" s="3" t="str">
        <f t="shared" si="1"/>
        <v>HasCreditCard Kompaniyasını 20% endirimlə təklif et</v>
      </c>
    </row>
    <row r="78" spans="2:7" x14ac:dyDescent="0.3">
      <c r="B78" t="s">
        <v>132</v>
      </c>
      <c r="C78" s="3" t="str" cm="1">
        <f t="array" ref="C78">_xlfn.XLOOKUP(1,(pivot!$A$2:$A$1946=Table3[[#This Row],[Müştəri adı]])*(pivot!$C$2:$C$1946=_xlfn.MAXIFS(pivot!$C$2:$C$1946,pivot!$A$2:$A$1946,Table3[[#This Row],[Müştəri adı]])),pivot!$B$2:$B$1946)</f>
        <v>OptOutMailings</v>
      </c>
      <c r="D78" s="22" cm="1">
        <f t="array" ref="D78">_xlfn.XLOOKUP(1,
  (pivot!$A$2:$A$1946=endirim!B78) * (pivot!$C$2:$C$1946 = _xlfn.MAXIFS(pivot!$C$2:$C$1946, pivot!$A$2:$A$1946, endirim!B78)),
  pivot!$D$2:$D$1946)</f>
        <v>75</v>
      </c>
      <c r="E78" s="3" t="str" cm="1">
        <f t="array" ref="E78">_xlfn.XLOOKUP(1,
    (pivot!$A$2:$A$1946=endirim!B78) * (pivot!$D$2:$D$1946 = _xlfn.MAXIFS(pivot!$D$2:$D$1946, pivot!$A$2:$A$1946, endirim!B78)),
    pivot!$B$2:$B$1946)</f>
        <v>OptOutMailings</v>
      </c>
      <c r="F78" s="22">
        <f>_xlfn.MAXIFS(pivot!$D$2:$D$1946, pivot!$A$2:$A$1946, endirim!B78)</f>
        <v>75</v>
      </c>
      <c r="G78" s="3" t="str">
        <f t="shared" si="1"/>
        <v>Təklif yoxdur</v>
      </c>
    </row>
    <row r="79" spans="2:7" x14ac:dyDescent="0.3">
      <c r="B79" t="s">
        <v>133</v>
      </c>
      <c r="C79" s="3" t="str" cm="1">
        <f t="array" ref="C79">_xlfn.XLOOKUP(1,(pivot!$A$2:$A$1946=Table3[[#This Row],[Müştəri adı]])*(pivot!$C$2:$C$1946=_xlfn.MAXIFS(pivot!$C$2:$C$1946,pivot!$A$2:$A$1946,Table3[[#This Row],[Müştəri adı]])),pivot!$B$2:$B$1946)</f>
        <v>ChildrenInHH</v>
      </c>
      <c r="D79" s="22" cm="1">
        <f t="array" ref="D79">_xlfn.XLOOKUP(1,
  (pivot!$A$2:$A$1946=endirim!B79) * (pivot!$C$2:$C$1946 = _xlfn.MAXIFS(pivot!$C$2:$C$1946, pivot!$A$2:$A$1946, endirim!B79)),
  pivot!$D$2:$D$1946)</f>
        <v>10</v>
      </c>
      <c r="E79" s="3" t="str" cm="1">
        <f t="array" ref="E79">_xlfn.XLOOKUP(1,
    (pivot!$A$2:$A$1946=endirim!B79) * (pivot!$D$2:$D$1946 = _xlfn.MAXIFS(pivot!$D$2:$D$1946, pivot!$A$2:$A$1946, endirim!B79)),
    pivot!$B$2:$B$1946)</f>
        <v>MadeCallToRetentionTeam</v>
      </c>
      <c r="F79" s="22">
        <f>_xlfn.MAXIFS(pivot!$D$2:$D$1946, pivot!$A$2:$A$1946, endirim!B79)</f>
        <v>16</v>
      </c>
      <c r="G79" s="3" t="str">
        <f t="shared" si="1"/>
        <v>MadeCallToRetentionTeam Kompaniyasını 20% endirimlə təklif et</v>
      </c>
    </row>
    <row r="80" spans="2:7" x14ac:dyDescent="0.3">
      <c r="B80" t="s">
        <v>134</v>
      </c>
      <c r="C80" s="3" t="str" cm="1">
        <f t="array" ref="C80">_xlfn.XLOOKUP(1,(pivot!$A$2:$A$1946=Table3[[#This Row],[Müştəri adı]])*(pivot!$C$2:$C$1946=_xlfn.MAXIFS(pivot!$C$2:$C$1946,pivot!$A$2:$A$1946,Table3[[#This Row],[Müştəri adı]])),pivot!$B$2:$B$1946)</f>
        <v>MaritalStatus</v>
      </c>
      <c r="D80" s="22" cm="1">
        <f t="array" ref="D80">_xlfn.XLOOKUP(1,
  (pivot!$A$2:$A$1946=endirim!B80) * (pivot!$C$2:$C$1946 = _xlfn.MAXIFS(pivot!$C$2:$C$1946, pivot!$A$2:$A$1946, endirim!B80)),
  pivot!$D$2:$D$1946)</f>
        <v>29</v>
      </c>
      <c r="E80" s="3" t="str" cm="1">
        <f t="array" ref="E80">_xlfn.XLOOKUP(1,
    (pivot!$A$2:$A$1946=endirim!B80) * (pivot!$D$2:$D$1946 = _xlfn.MAXIFS(pivot!$D$2:$D$1946, pivot!$A$2:$A$1946, endirim!B80)),
    pivot!$B$2:$B$1946)</f>
        <v>MaritalStatus</v>
      </c>
      <c r="F80" s="22">
        <f>_xlfn.MAXIFS(pivot!$D$2:$D$1946, pivot!$A$2:$A$1946, endirim!B80)</f>
        <v>29</v>
      </c>
      <c r="G80" s="3" t="str">
        <f t="shared" si="1"/>
        <v>Təklif yoxdur</v>
      </c>
    </row>
    <row r="81" spans="2:7" x14ac:dyDescent="0.3">
      <c r="B81" t="s">
        <v>135</v>
      </c>
      <c r="C81" s="3" t="str" cm="1">
        <f t="array" ref="C81">_xlfn.XLOOKUP(1,(pivot!$A$2:$A$1946=Table3[[#This Row],[Müştəri adı]])*(pivot!$C$2:$C$1946=_xlfn.MAXIFS(pivot!$C$2:$C$1946,pivot!$A$2:$A$1946,Table3[[#This Row],[Müştəri adı]])),pivot!$B$2:$B$1946)</f>
        <v>RVOwner</v>
      </c>
      <c r="D81" s="22" cm="1">
        <f t="array" ref="D81">_xlfn.XLOOKUP(1,
  (pivot!$A$2:$A$1946=endirim!B81) * (pivot!$C$2:$C$1946 = _xlfn.MAXIFS(pivot!$C$2:$C$1946, pivot!$A$2:$A$1946, endirim!B81)),
  pivot!$D$2:$D$1946)</f>
        <v>22</v>
      </c>
      <c r="E81" s="3" t="str" cm="1">
        <f t="array" ref="E81">_xlfn.XLOOKUP(1,
    (pivot!$A$2:$A$1946=endirim!B81) * (pivot!$D$2:$D$1946 = _xlfn.MAXIFS(pivot!$D$2:$D$1946, pivot!$A$2:$A$1946, endirim!B81)),
    pivot!$B$2:$B$1946)</f>
        <v>RVOwner</v>
      </c>
      <c r="F81" s="22">
        <f>_xlfn.MAXIFS(pivot!$D$2:$D$1946, pivot!$A$2:$A$1946, endirim!B81)</f>
        <v>22</v>
      </c>
      <c r="G81" s="3" t="str">
        <f t="shared" si="1"/>
        <v>Təklif yoxdur</v>
      </c>
    </row>
    <row r="82" spans="2:7" x14ac:dyDescent="0.3">
      <c r="B82" t="s">
        <v>136</v>
      </c>
      <c r="C82" s="3" t="str" cm="1">
        <f t="array" ref="C82">_xlfn.XLOOKUP(1,(pivot!$A$2:$A$1946=Table3[[#This Row],[Müştəri adı]])*(pivot!$C$2:$C$1946=_xlfn.MAXIFS(pivot!$C$2:$C$1946,pivot!$A$2:$A$1946,Table3[[#This Row],[Müştəri adı]])),pivot!$B$2:$B$1946)</f>
        <v>HandsetRefurbished</v>
      </c>
      <c r="D82" s="22" cm="1">
        <f t="array" ref="D82">_xlfn.XLOOKUP(1,
  (pivot!$A$2:$A$1946=endirim!B82) * (pivot!$C$2:$C$1946 = _xlfn.MAXIFS(pivot!$C$2:$C$1946, pivot!$A$2:$A$1946, endirim!B82)),
  pivot!$D$2:$D$1946)</f>
        <v>26</v>
      </c>
      <c r="E82" s="3" t="str" cm="1">
        <f t="array" ref="E82">_xlfn.XLOOKUP(1,
    (pivot!$A$2:$A$1946=endirim!B82) * (pivot!$D$2:$D$1946 = _xlfn.MAXIFS(pivot!$D$2:$D$1946, pivot!$A$2:$A$1946, endirim!B82)),
    pivot!$B$2:$B$1946)</f>
        <v>HandsetRefurbished</v>
      </c>
      <c r="F82" s="22">
        <f>_xlfn.MAXIFS(pivot!$D$2:$D$1946, pivot!$A$2:$A$1946, endirim!B82)</f>
        <v>26</v>
      </c>
      <c r="G82" s="3" t="str">
        <f t="shared" si="1"/>
        <v>Təklif yoxdur</v>
      </c>
    </row>
    <row r="83" spans="2:7" x14ac:dyDescent="0.3">
      <c r="B83" t="s">
        <v>137</v>
      </c>
      <c r="C83" s="3" t="str" cm="1">
        <f t="array" ref="C83">_xlfn.XLOOKUP(1,(pivot!$A$2:$A$1946=Table3[[#This Row],[Müştəri adı]])*(pivot!$C$2:$C$1946=_xlfn.MAXIFS(pivot!$C$2:$C$1946,pivot!$A$2:$A$1946,Table3[[#This Row],[Müştəri adı]])),pivot!$B$2:$B$1946)</f>
        <v>NonUSTravel</v>
      </c>
      <c r="D83" s="22" cm="1">
        <f t="array" ref="D83">_xlfn.XLOOKUP(1,
  (pivot!$A$2:$A$1946=endirim!B83) * (pivot!$C$2:$C$1946 = _xlfn.MAXIFS(pivot!$C$2:$C$1946, pivot!$A$2:$A$1946, endirim!B83)),
  pivot!$D$2:$D$1946)</f>
        <v>66</v>
      </c>
      <c r="E83" s="3" t="str" cm="1">
        <f t="array" ref="E83">_xlfn.XLOOKUP(1,
    (pivot!$A$2:$A$1946=endirim!B83) * (pivot!$D$2:$D$1946 = _xlfn.MAXIFS(pivot!$D$2:$D$1946, pivot!$A$2:$A$1946, endirim!B83)),
    pivot!$B$2:$B$1946)</f>
        <v>NonUSTravel</v>
      </c>
      <c r="F83" s="22">
        <f>_xlfn.MAXIFS(pivot!$D$2:$D$1946, pivot!$A$2:$A$1946, endirim!B83)</f>
        <v>66</v>
      </c>
      <c r="G83" s="3" t="str">
        <f t="shared" si="1"/>
        <v>Təklif yoxdur</v>
      </c>
    </row>
    <row r="84" spans="2:7" x14ac:dyDescent="0.3">
      <c r="B84" t="s">
        <v>138</v>
      </c>
      <c r="C84" s="3" t="str" cm="1">
        <f t="array" ref="C84">_xlfn.XLOOKUP(1,(pivot!$A$2:$A$1946=Table3[[#This Row],[Müştəri adı]])*(pivot!$C$2:$C$1946=_xlfn.MAXIFS(pivot!$C$2:$C$1946,pivot!$A$2:$A$1946,Table3[[#This Row],[Müştəri adı]])),pivot!$B$2:$B$1946)</f>
        <v>MaritalStatus</v>
      </c>
      <c r="D84" s="22" cm="1">
        <f t="array" ref="D84">_xlfn.XLOOKUP(1,
  (pivot!$A$2:$A$1946=endirim!B84) * (pivot!$C$2:$C$1946 = _xlfn.MAXIFS(pivot!$C$2:$C$1946, pivot!$A$2:$A$1946, endirim!B84)),
  pivot!$D$2:$D$1946)</f>
        <v>29</v>
      </c>
      <c r="E84" s="3" t="str" cm="1">
        <f t="array" ref="E84">_xlfn.XLOOKUP(1,
    (pivot!$A$2:$A$1946=endirim!B84) * (pivot!$D$2:$D$1946 = _xlfn.MAXIFS(pivot!$D$2:$D$1946, pivot!$A$2:$A$1946, endirim!B84)),
    pivot!$B$2:$B$1946)</f>
        <v>MaritalStatus</v>
      </c>
      <c r="F84" s="22">
        <f>_xlfn.MAXIFS(pivot!$D$2:$D$1946, pivot!$A$2:$A$1946, endirim!B84)</f>
        <v>29</v>
      </c>
      <c r="G84" s="3" t="str">
        <f t="shared" si="1"/>
        <v>Təklif yoxdur</v>
      </c>
    </row>
    <row r="85" spans="2:7" x14ac:dyDescent="0.3">
      <c r="B85" t="s">
        <v>139</v>
      </c>
      <c r="C85" s="3" t="str" cm="1">
        <f t="array" ref="C85">_xlfn.XLOOKUP(1,(pivot!$A$2:$A$1946=Table3[[#This Row],[Müştəri adı]])*(pivot!$C$2:$C$1946=_xlfn.MAXIFS(pivot!$C$2:$C$1946,pivot!$A$2:$A$1946,Table3[[#This Row],[Müştəri adı]])),pivot!$B$2:$B$1946)</f>
        <v>NotNewCellphoneUser</v>
      </c>
      <c r="D85" s="22" cm="1">
        <f t="array" ref="D85">_xlfn.XLOOKUP(1,
  (pivot!$A$2:$A$1946=endirim!B85) * (pivot!$C$2:$C$1946 = _xlfn.MAXIFS(pivot!$C$2:$C$1946, pivot!$A$2:$A$1946, endirim!B85)),
  pivot!$D$2:$D$1946)</f>
        <v>28</v>
      </c>
      <c r="E85" s="3" t="str" cm="1">
        <f t="array" ref="E85">_xlfn.XLOOKUP(1,
    (pivot!$A$2:$A$1946=endirim!B85) * (pivot!$D$2:$D$1946 = _xlfn.MAXIFS(pivot!$D$2:$D$1946, pivot!$A$2:$A$1946, endirim!B85)),
    pivot!$B$2:$B$1946)</f>
        <v>NotNewCellphoneUser</v>
      </c>
      <c r="F85" s="22">
        <f>_xlfn.MAXIFS(pivot!$D$2:$D$1946, pivot!$A$2:$A$1946, endirim!B85)</f>
        <v>28</v>
      </c>
      <c r="G85" s="3" t="str">
        <f t="shared" si="1"/>
        <v>Təklif yoxdur</v>
      </c>
    </row>
    <row r="86" spans="2:7" x14ac:dyDescent="0.3">
      <c r="B86" t="s">
        <v>140</v>
      </c>
      <c r="C86" s="3" t="str" cm="1">
        <f t="array" ref="C86">_xlfn.XLOOKUP(1,(pivot!$A$2:$A$1946=Table3[[#This Row],[Müştəri adı]])*(pivot!$C$2:$C$1946=_xlfn.MAXIFS(pivot!$C$2:$C$1946,pivot!$A$2:$A$1946,Table3[[#This Row],[Müştəri adı]])),pivot!$B$2:$B$1946)</f>
        <v>RespondsToMailOffers</v>
      </c>
      <c r="D86" s="22" cm="1">
        <f t="array" ref="D86">_xlfn.XLOOKUP(1,
  (pivot!$A$2:$A$1946=endirim!B86) * (pivot!$C$2:$C$1946 = _xlfn.MAXIFS(pivot!$C$2:$C$1946, pivot!$A$2:$A$1946, endirim!B86)),
  pivot!$D$2:$D$1946)</f>
        <v>27</v>
      </c>
      <c r="E86" s="3" t="str" cm="1">
        <f t="array" ref="E86">_xlfn.XLOOKUP(1,
    (pivot!$A$2:$A$1946=endirim!B86) * (pivot!$D$2:$D$1946 = _xlfn.MAXIFS(pivot!$D$2:$D$1946, pivot!$A$2:$A$1946, endirim!B86)),
    pivot!$B$2:$B$1946)</f>
        <v>MaritalStatus</v>
      </c>
      <c r="F86" s="22">
        <f>_xlfn.MAXIFS(pivot!$D$2:$D$1946, pivot!$A$2:$A$1946, endirim!B86)</f>
        <v>29</v>
      </c>
      <c r="G86" s="3" t="str">
        <f t="shared" si="1"/>
        <v>MaritalStatus Kompaniyasını 20% endirimlə təklif et</v>
      </c>
    </row>
    <row r="87" spans="2:7" x14ac:dyDescent="0.3">
      <c r="B87" t="s">
        <v>141</v>
      </c>
      <c r="C87" s="3" t="str" cm="1">
        <f t="array" ref="C87">_xlfn.XLOOKUP(1,(pivot!$A$2:$A$1946=Table3[[#This Row],[Müştəri adı]])*(pivot!$C$2:$C$1946=_xlfn.MAXIFS(pivot!$C$2:$C$1946,pivot!$A$2:$A$1946,Table3[[#This Row],[Müştəri adı]])),pivot!$B$2:$B$1946)</f>
        <v>MaritalStatus</v>
      </c>
      <c r="D87" s="22" cm="1">
        <f t="array" ref="D87">_xlfn.XLOOKUP(1,
  (pivot!$A$2:$A$1946=endirim!B87) * (pivot!$C$2:$C$1946 = _xlfn.MAXIFS(pivot!$C$2:$C$1946, pivot!$A$2:$A$1946, endirim!B87)),
  pivot!$D$2:$D$1946)</f>
        <v>29</v>
      </c>
      <c r="E87" s="3" t="str" cm="1">
        <f t="array" ref="E87">_xlfn.XLOOKUP(1,
    (pivot!$A$2:$A$1946=endirim!B87) * (pivot!$D$2:$D$1946 = _xlfn.MAXIFS(pivot!$D$2:$D$1946, pivot!$A$2:$A$1946, endirim!B87)),
    pivot!$B$2:$B$1946)</f>
        <v>HasCreditCard</v>
      </c>
      <c r="F87" s="22">
        <f>_xlfn.MAXIFS(pivot!$D$2:$D$1946, pivot!$A$2:$A$1946, endirim!B87)</f>
        <v>65</v>
      </c>
      <c r="G87" s="3" t="str">
        <f t="shared" si="1"/>
        <v>HasCreditCard Kompaniyasını 20% endirimlə təklif et</v>
      </c>
    </row>
    <row r="88" spans="2:7" x14ac:dyDescent="0.3">
      <c r="B88" t="s">
        <v>142</v>
      </c>
      <c r="C88" s="3" t="str" cm="1">
        <f t="array" ref="C88">_xlfn.XLOOKUP(1,(pivot!$A$2:$A$1946=Table3[[#This Row],[Müştəri adı]])*(pivot!$C$2:$C$1946=_xlfn.MAXIFS(pivot!$C$2:$C$1946,pivot!$A$2:$A$1946,Table3[[#This Row],[Müştəri adı]])),pivot!$B$2:$B$1946)</f>
        <v>TruckOwner</v>
      </c>
      <c r="D88" s="22" cm="1">
        <f t="array" ref="D88">_xlfn.XLOOKUP(1,
  (pivot!$A$2:$A$1946=endirim!B88) * (pivot!$C$2:$C$1946 = _xlfn.MAXIFS(pivot!$C$2:$C$1946, pivot!$A$2:$A$1946, endirim!B88)),
  pivot!$D$2:$D$1946)</f>
        <v>26</v>
      </c>
      <c r="E88" s="3" t="str" cm="1">
        <f t="array" ref="E88">_xlfn.XLOOKUP(1,
    (pivot!$A$2:$A$1946=endirim!B88) * (pivot!$D$2:$D$1946 = _xlfn.MAXIFS(pivot!$D$2:$D$1946, pivot!$A$2:$A$1946, endirim!B88)),
    pivot!$B$2:$B$1946)</f>
        <v>TruckOwner</v>
      </c>
      <c r="F88" s="22">
        <f>_xlfn.MAXIFS(pivot!$D$2:$D$1946, pivot!$A$2:$A$1946, endirim!B88)</f>
        <v>26</v>
      </c>
      <c r="G88" s="3" t="str">
        <f t="shared" si="1"/>
        <v>Təklif yoxdur</v>
      </c>
    </row>
    <row r="89" spans="2:7" x14ac:dyDescent="0.3">
      <c r="B89" t="s">
        <v>143</v>
      </c>
      <c r="C89" s="3" t="str" cm="1">
        <f t="array" ref="C89">_xlfn.XLOOKUP(1,(pivot!$A$2:$A$1946=Table3[[#This Row],[Müştəri adı]])*(pivot!$C$2:$C$1946=_xlfn.MAXIFS(pivot!$C$2:$C$1946,pivot!$A$2:$A$1946,Table3[[#This Row],[Müştəri adı]])),pivot!$B$2:$B$1946)</f>
        <v>Homeownership</v>
      </c>
      <c r="D89" s="22" cm="1">
        <f t="array" ref="D89">_xlfn.XLOOKUP(1,
  (pivot!$A$2:$A$1946=endirim!B89) * (pivot!$C$2:$C$1946 = _xlfn.MAXIFS(pivot!$C$2:$C$1946, pivot!$A$2:$A$1946, endirim!B89)),
  pivot!$D$2:$D$1946)</f>
        <v>13</v>
      </c>
      <c r="E89" s="3" t="str" cm="1">
        <f t="array" ref="E89">_xlfn.XLOOKUP(1,
    (pivot!$A$2:$A$1946=endirim!B89) * (pivot!$D$2:$D$1946 = _xlfn.MAXIFS(pivot!$D$2:$D$1946, pivot!$A$2:$A$1946, endirim!B89)),
    pivot!$B$2:$B$1946)</f>
        <v>OwnsComputer</v>
      </c>
      <c r="F89" s="22">
        <f>_xlfn.MAXIFS(pivot!$D$2:$D$1946, pivot!$A$2:$A$1946, endirim!B89)</f>
        <v>62</v>
      </c>
      <c r="G89" s="3" t="str">
        <f t="shared" si="1"/>
        <v>OwnsComputer Kompaniyasını 20% endirimlə təklif et</v>
      </c>
    </row>
    <row r="90" spans="2:7" x14ac:dyDescent="0.3">
      <c r="B90" t="s">
        <v>144</v>
      </c>
      <c r="C90" s="3" t="str" cm="1">
        <f t="array" ref="C90">_xlfn.XLOOKUP(1,(pivot!$A$2:$A$1946=Table3[[#This Row],[Müştəri adı]])*(pivot!$C$2:$C$1946=_xlfn.MAXIFS(pivot!$C$2:$C$1946,pivot!$A$2:$A$1946,Table3[[#This Row],[Müştəri adı]])),pivot!$B$2:$B$1946)</f>
        <v>OwnsComputer</v>
      </c>
      <c r="D90" s="22" cm="1">
        <f t="array" ref="D90">_xlfn.XLOOKUP(1,
  (pivot!$A$2:$A$1946=endirim!B90) * (pivot!$C$2:$C$1946 = _xlfn.MAXIFS(pivot!$C$2:$C$1946, pivot!$A$2:$A$1946, endirim!B90)),
  pivot!$D$2:$D$1946)</f>
        <v>62</v>
      </c>
      <c r="E90" s="3" t="str" cm="1">
        <f t="array" ref="E90">_xlfn.XLOOKUP(1,
    (pivot!$A$2:$A$1946=endirim!B90) * (pivot!$D$2:$D$1946 = _xlfn.MAXIFS(pivot!$D$2:$D$1946, pivot!$A$2:$A$1946, endirim!B90)),
    pivot!$B$2:$B$1946)</f>
        <v>OwnsComputer</v>
      </c>
      <c r="F90" s="22">
        <f>_xlfn.MAXIFS(pivot!$D$2:$D$1946, pivot!$A$2:$A$1946, endirim!B90)</f>
        <v>62</v>
      </c>
      <c r="G90" s="3" t="str">
        <f t="shared" si="1"/>
        <v>Təklif yoxdur</v>
      </c>
    </row>
    <row r="91" spans="2:7" x14ac:dyDescent="0.3">
      <c r="B91" t="s">
        <v>145</v>
      </c>
      <c r="C91" s="3" t="str" cm="1">
        <f t="array" ref="C91">_xlfn.XLOOKUP(1,(pivot!$A$2:$A$1946=Table3[[#This Row],[Müştəri adı]])*(pivot!$C$2:$C$1946=_xlfn.MAXIFS(pivot!$C$2:$C$1946,pivot!$A$2:$A$1946,Table3[[#This Row],[Müştəri adı]])),pivot!$B$2:$B$1946)</f>
        <v>HandsetRefurbished</v>
      </c>
      <c r="D91" s="22" cm="1">
        <f t="array" ref="D91">_xlfn.XLOOKUP(1,
  (pivot!$A$2:$A$1946=endirim!B91) * (pivot!$C$2:$C$1946 = _xlfn.MAXIFS(pivot!$C$2:$C$1946, pivot!$A$2:$A$1946, endirim!B91)),
  pivot!$D$2:$D$1946)</f>
        <v>26</v>
      </c>
      <c r="E91" s="3" t="str" cm="1">
        <f t="array" ref="E91">_xlfn.XLOOKUP(1,
    (pivot!$A$2:$A$1946=endirim!B91) * (pivot!$D$2:$D$1946 = _xlfn.MAXIFS(pivot!$D$2:$D$1946, pivot!$A$2:$A$1946, endirim!B91)),
    pivot!$B$2:$B$1946)</f>
        <v>RespondsToMailOffers</v>
      </c>
      <c r="F91" s="22">
        <f>_xlfn.MAXIFS(pivot!$D$2:$D$1946, pivot!$A$2:$A$1946, endirim!B91)</f>
        <v>27</v>
      </c>
      <c r="G91" s="3" t="str">
        <f t="shared" si="1"/>
        <v>RespondsToMailOffers Kompaniyasını 20% endirimlə təklif et</v>
      </c>
    </row>
    <row r="92" spans="2:7" x14ac:dyDescent="0.3">
      <c r="B92" t="s">
        <v>146</v>
      </c>
      <c r="C92" s="3" t="str" cm="1">
        <f t="array" ref="C92">_xlfn.XLOOKUP(1,(pivot!$A$2:$A$1946=Table3[[#This Row],[Müştəri adı]])*(pivot!$C$2:$C$1946=_xlfn.MAXIFS(pivot!$C$2:$C$1946,pivot!$A$2:$A$1946,Table3[[#This Row],[Müştəri adı]])),pivot!$B$2:$B$1946)</f>
        <v>OwnsComputer</v>
      </c>
      <c r="D92" s="22" cm="1">
        <f t="array" ref="D92">_xlfn.XLOOKUP(1,
  (pivot!$A$2:$A$1946=endirim!B92) * (pivot!$C$2:$C$1946 = _xlfn.MAXIFS(pivot!$C$2:$C$1946, pivot!$A$2:$A$1946, endirim!B92)),
  pivot!$D$2:$D$1946)</f>
        <v>62</v>
      </c>
      <c r="E92" s="3" t="str" cm="1">
        <f t="array" ref="E92">_xlfn.XLOOKUP(1,
    (pivot!$A$2:$A$1946=endirim!B92) * (pivot!$D$2:$D$1946 = _xlfn.MAXIFS(pivot!$D$2:$D$1946, pivot!$A$2:$A$1946, endirim!B92)),
    pivot!$B$2:$B$1946)</f>
        <v>OwnsComputer</v>
      </c>
      <c r="F92" s="22">
        <f>_xlfn.MAXIFS(pivot!$D$2:$D$1946, pivot!$A$2:$A$1946, endirim!B92)</f>
        <v>62</v>
      </c>
      <c r="G92" s="3" t="str">
        <f t="shared" si="1"/>
        <v>Təklif yoxdur</v>
      </c>
    </row>
    <row r="93" spans="2:7" x14ac:dyDescent="0.3">
      <c r="B93" t="s">
        <v>147</v>
      </c>
      <c r="C93" s="3" t="str" cm="1">
        <f t="array" ref="C93">_xlfn.XLOOKUP(1,(pivot!$A$2:$A$1946=Table3[[#This Row],[Müştəri adı]])*(pivot!$C$2:$C$1946=_xlfn.MAXIFS(pivot!$C$2:$C$1946,pivot!$A$2:$A$1946,Table3[[#This Row],[Müştəri adı]])),pivot!$B$2:$B$1946)</f>
        <v>NonUSTravel</v>
      </c>
      <c r="D93" s="22" cm="1">
        <f t="array" ref="D93">_xlfn.XLOOKUP(1,
  (pivot!$A$2:$A$1946=endirim!B93) * (pivot!$C$2:$C$1946 = _xlfn.MAXIFS(pivot!$C$2:$C$1946, pivot!$A$2:$A$1946, endirim!B93)),
  pivot!$D$2:$D$1946)</f>
        <v>66</v>
      </c>
      <c r="E93" s="3" t="str" cm="1">
        <f t="array" ref="E93">_xlfn.XLOOKUP(1,
    (pivot!$A$2:$A$1946=endirim!B93) * (pivot!$D$2:$D$1946 = _xlfn.MAXIFS(pivot!$D$2:$D$1946, pivot!$A$2:$A$1946, endirim!B93)),
    pivot!$B$2:$B$1946)</f>
        <v>NonUSTravel</v>
      </c>
      <c r="F93" s="22">
        <f>_xlfn.MAXIFS(pivot!$D$2:$D$1946, pivot!$A$2:$A$1946, endirim!B93)</f>
        <v>66</v>
      </c>
      <c r="G93" s="3" t="str">
        <f t="shared" si="1"/>
        <v>Təklif yoxdur</v>
      </c>
    </row>
    <row r="94" spans="2:7" x14ac:dyDescent="0.3">
      <c r="B94" t="s">
        <v>148</v>
      </c>
      <c r="C94" s="3" t="str" cm="1">
        <f t="array" ref="C94">_xlfn.XLOOKUP(1,(pivot!$A$2:$A$1946=Table3[[#This Row],[Müştəri adı]])*(pivot!$C$2:$C$1946=_xlfn.MAXIFS(pivot!$C$2:$C$1946,pivot!$A$2:$A$1946,Table3[[#This Row],[Müştəri adı]])),pivot!$B$2:$B$1946)</f>
        <v>RVOwner</v>
      </c>
      <c r="D94" s="22" cm="1">
        <f t="array" ref="D94">_xlfn.XLOOKUP(1,
  (pivot!$A$2:$A$1946=endirim!B94) * (pivot!$C$2:$C$1946 = _xlfn.MAXIFS(pivot!$C$2:$C$1946, pivot!$A$2:$A$1946, endirim!B94)),
  pivot!$D$2:$D$1946)</f>
        <v>22</v>
      </c>
      <c r="E94" s="3" t="str" cm="1">
        <f t="array" ref="E94">_xlfn.XLOOKUP(1,
    (pivot!$A$2:$A$1946=endirim!B94) * (pivot!$D$2:$D$1946 = _xlfn.MAXIFS(pivot!$D$2:$D$1946, pivot!$A$2:$A$1946, endirim!B94)),
    pivot!$B$2:$B$1946)</f>
        <v>TruckOwner</v>
      </c>
      <c r="F94" s="22">
        <f>_xlfn.MAXIFS(pivot!$D$2:$D$1946, pivot!$A$2:$A$1946, endirim!B94)</f>
        <v>26</v>
      </c>
      <c r="G94" s="3" t="str">
        <f t="shared" si="1"/>
        <v>TruckOwner Kompaniyasını 20% endirimlə təklif et</v>
      </c>
    </row>
    <row r="95" spans="2:7" x14ac:dyDescent="0.3">
      <c r="B95" t="s">
        <v>149</v>
      </c>
      <c r="C95" s="3" t="str" cm="1">
        <f t="array" ref="C95">_xlfn.XLOOKUP(1,(pivot!$A$2:$A$1946=Table3[[#This Row],[Müştəri adı]])*(pivot!$C$2:$C$1946=_xlfn.MAXIFS(pivot!$C$2:$C$1946,pivot!$A$2:$A$1946,Table3[[#This Row],[Müştəri adı]])),pivot!$B$2:$B$1946)</f>
        <v>ChildrenInHH</v>
      </c>
      <c r="D95" s="22" cm="1">
        <f t="array" ref="D95">_xlfn.XLOOKUP(1,
  (pivot!$A$2:$A$1946=endirim!B95) * (pivot!$C$2:$C$1946 = _xlfn.MAXIFS(pivot!$C$2:$C$1946, pivot!$A$2:$A$1946, endirim!B95)),
  pivot!$D$2:$D$1946)</f>
        <v>10</v>
      </c>
      <c r="E95" s="3" t="str" cm="1">
        <f t="array" ref="E95">_xlfn.XLOOKUP(1,
    (pivot!$A$2:$A$1946=endirim!B95) * (pivot!$D$2:$D$1946 = _xlfn.MAXIFS(pivot!$D$2:$D$1946, pivot!$A$2:$A$1946, endirim!B95)),
    pivot!$B$2:$B$1946)</f>
        <v>HandsetRefurbished</v>
      </c>
      <c r="F95" s="22">
        <f>_xlfn.MAXIFS(pivot!$D$2:$D$1946, pivot!$A$2:$A$1946, endirim!B95)</f>
        <v>26</v>
      </c>
      <c r="G95" s="3" t="str">
        <f t="shared" si="1"/>
        <v>HandsetRefurbished Kompaniyasını 20% endirimlə təklif et</v>
      </c>
    </row>
    <row r="96" spans="2:7" x14ac:dyDescent="0.3">
      <c r="B96" t="s">
        <v>150</v>
      </c>
      <c r="C96" s="3" t="str" cm="1">
        <f t="array" ref="C96">_xlfn.XLOOKUP(1,(pivot!$A$2:$A$1946=Table3[[#This Row],[Müştəri adı]])*(pivot!$C$2:$C$1946=_xlfn.MAXIFS(pivot!$C$2:$C$1946,pivot!$A$2:$A$1946,Table3[[#This Row],[Müştəri adı]])),pivot!$B$2:$B$1946)</f>
        <v>HandsetWebCapable</v>
      </c>
      <c r="D96" s="22" cm="1">
        <f t="array" ref="D96">_xlfn.XLOOKUP(1,
  (pivot!$A$2:$A$1946=endirim!B96) * (pivot!$C$2:$C$1946 = _xlfn.MAXIFS(pivot!$C$2:$C$1946, pivot!$A$2:$A$1946, endirim!B96)),
  pivot!$D$2:$D$1946)</f>
        <v>62</v>
      </c>
      <c r="E96" s="3" t="str" cm="1">
        <f t="array" ref="E96">_xlfn.XLOOKUP(1,
    (pivot!$A$2:$A$1946=endirim!B96) * (pivot!$D$2:$D$1946 = _xlfn.MAXIFS(pivot!$D$2:$D$1946, pivot!$A$2:$A$1946, endirim!B96)),
    pivot!$B$2:$B$1946)</f>
        <v>NonUSTravel</v>
      </c>
      <c r="F96" s="22">
        <f>_xlfn.MAXIFS(pivot!$D$2:$D$1946, pivot!$A$2:$A$1946, endirim!B96)</f>
        <v>66</v>
      </c>
      <c r="G96" s="3" t="str">
        <f t="shared" si="1"/>
        <v>NonUSTravel Kompaniyasını 20% endirimlə təklif et</v>
      </c>
    </row>
    <row r="97" spans="2:7" x14ac:dyDescent="0.3">
      <c r="B97" t="s">
        <v>151</v>
      </c>
      <c r="C97" s="3" t="str" cm="1">
        <f t="array" ref="C97">_xlfn.XLOOKUP(1,(pivot!$A$2:$A$1946=Table3[[#This Row],[Müştəri adı]])*(pivot!$C$2:$C$1946=_xlfn.MAXIFS(pivot!$C$2:$C$1946,pivot!$A$2:$A$1946,Table3[[#This Row],[Müştəri adı]])),pivot!$B$2:$B$1946)</f>
        <v>RespondsToMailOffers</v>
      </c>
      <c r="D97" s="22" cm="1">
        <f t="array" ref="D97">_xlfn.XLOOKUP(1,
  (pivot!$A$2:$A$1946=endirim!B97) * (pivot!$C$2:$C$1946 = _xlfn.MAXIFS(pivot!$C$2:$C$1946, pivot!$A$2:$A$1946, endirim!B97)),
  pivot!$D$2:$D$1946)</f>
        <v>27</v>
      </c>
      <c r="E97" s="3" t="str" cm="1">
        <f t="array" ref="E97">_xlfn.XLOOKUP(1,
    (pivot!$A$2:$A$1946=endirim!B97) * (pivot!$D$2:$D$1946 = _xlfn.MAXIFS(pivot!$D$2:$D$1946, pivot!$A$2:$A$1946, endirim!B97)),
    pivot!$B$2:$B$1946)</f>
        <v>RespondsToMailOffers</v>
      </c>
      <c r="F97" s="22">
        <f>_xlfn.MAXIFS(pivot!$D$2:$D$1946, pivot!$A$2:$A$1946, endirim!B97)</f>
        <v>27</v>
      </c>
      <c r="G97" s="3" t="str">
        <f t="shared" si="1"/>
        <v>Təklif yoxdur</v>
      </c>
    </row>
    <row r="98" spans="2:7" x14ac:dyDescent="0.3">
      <c r="B98" t="s">
        <v>152</v>
      </c>
      <c r="C98" s="3" t="str" cm="1">
        <f t="array" ref="C98">_xlfn.XLOOKUP(1,(pivot!$A$2:$A$1946=Table3[[#This Row],[Müştəri adı]])*(pivot!$C$2:$C$1946=_xlfn.MAXIFS(pivot!$C$2:$C$1946,pivot!$A$2:$A$1946,Table3[[#This Row],[Müştəri adı]])),pivot!$B$2:$B$1946)</f>
        <v>NewCellphoneUser</v>
      </c>
      <c r="D98" s="22" cm="1">
        <f t="array" ref="D98">_xlfn.XLOOKUP(1,
  (pivot!$A$2:$A$1946=endirim!B98) * (pivot!$C$2:$C$1946 = _xlfn.MAXIFS(pivot!$C$2:$C$1946, pivot!$A$2:$A$1946, endirim!B98)),
  pivot!$D$2:$D$1946)</f>
        <v>25</v>
      </c>
      <c r="E98" s="3" t="str" cm="1">
        <f t="array" ref="E98">_xlfn.XLOOKUP(1,
    (pivot!$A$2:$A$1946=endirim!B98) * (pivot!$D$2:$D$1946 = _xlfn.MAXIFS(pivot!$D$2:$D$1946, pivot!$A$2:$A$1946, endirim!B98)),
    pivot!$B$2:$B$1946)</f>
        <v>NewCellphoneUser</v>
      </c>
      <c r="F98" s="22">
        <f>_xlfn.MAXIFS(pivot!$D$2:$D$1946, pivot!$A$2:$A$1946, endirim!B98)</f>
        <v>25</v>
      </c>
      <c r="G98" s="3" t="str">
        <f t="shared" si="1"/>
        <v>Təklif yoxdur</v>
      </c>
    </row>
    <row r="99" spans="2:7" x14ac:dyDescent="0.3">
      <c r="B99" t="s">
        <v>153</v>
      </c>
      <c r="C99" s="3" t="str" cm="1">
        <f t="array" ref="C99">_xlfn.XLOOKUP(1,(pivot!$A$2:$A$1946=Table3[[#This Row],[Müştəri adı]])*(pivot!$C$2:$C$1946=_xlfn.MAXIFS(pivot!$C$2:$C$1946,pivot!$A$2:$A$1946,Table3[[#This Row],[Müştəri adı]])),pivot!$B$2:$B$1946)</f>
        <v>BuysViaMailOrder</v>
      </c>
      <c r="D99" s="22" cm="1">
        <f t="array" ref="D99">_xlfn.XLOOKUP(1,
  (pivot!$A$2:$A$1946=endirim!B99) * (pivot!$C$2:$C$1946 = _xlfn.MAXIFS(pivot!$C$2:$C$1946, pivot!$A$2:$A$1946, endirim!B99)),
  pivot!$D$2:$D$1946)</f>
        <v>25</v>
      </c>
      <c r="E99" s="3" t="str" cm="1">
        <f t="array" ref="E99">_xlfn.XLOOKUP(1,
    (pivot!$A$2:$A$1946=endirim!B99) * (pivot!$D$2:$D$1946 = _xlfn.MAXIFS(pivot!$D$2:$D$1946, pivot!$A$2:$A$1946, endirim!B99)),
    pivot!$B$2:$B$1946)</f>
        <v>OwnsComputer</v>
      </c>
      <c r="F99" s="22">
        <f>_xlfn.MAXIFS(pivot!$D$2:$D$1946, pivot!$A$2:$A$1946, endirim!B99)</f>
        <v>62</v>
      </c>
      <c r="G99" s="3" t="str">
        <f t="shared" si="1"/>
        <v>OwnsComputer Kompaniyasını 20% endirimlə təklif et</v>
      </c>
    </row>
    <row r="100" spans="2:7" x14ac:dyDescent="0.3">
      <c r="B100" t="s">
        <v>154</v>
      </c>
      <c r="C100" s="3" t="str" cm="1">
        <f t="array" ref="C100">_xlfn.XLOOKUP(1,(pivot!$A$2:$A$1946=Table3[[#This Row],[Müştəri adı]])*(pivot!$C$2:$C$1946=_xlfn.MAXIFS(pivot!$C$2:$C$1946,pivot!$A$2:$A$1946,Table3[[#This Row],[Müştəri adı]])),pivot!$B$2:$B$1946)</f>
        <v>NonUSTravel</v>
      </c>
      <c r="D100" s="22" cm="1">
        <f t="array" ref="D100">_xlfn.XLOOKUP(1,
  (pivot!$A$2:$A$1946=endirim!B100) * (pivot!$C$2:$C$1946 = _xlfn.MAXIFS(pivot!$C$2:$C$1946, pivot!$A$2:$A$1946, endirim!B100)),
  pivot!$D$2:$D$1946)</f>
        <v>66</v>
      </c>
      <c r="E100" s="3" t="str" cm="1">
        <f t="array" ref="E100">_xlfn.XLOOKUP(1,
    (pivot!$A$2:$A$1946=endirim!B100) * (pivot!$D$2:$D$1946 = _xlfn.MAXIFS(pivot!$D$2:$D$1946, pivot!$A$2:$A$1946, endirim!B100)),
    pivot!$B$2:$B$1946)</f>
        <v>NonUSTravel</v>
      </c>
      <c r="F100" s="22">
        <f>_xlfn.MAXIFS(pivot!$D$2:$D$1946, pivot!$A$2:$A$1946, endirim!B100)</f>
        <v>66</v>
      </c>
      <c r="G100" s="3" t="str">
        <f t="shared" si="1"/>
        <v>Təklif yoxdur</v>
      </c>
    </row>
    <row r="101" spans="2:7" x14ac:dyDescent="0.3">
      <c r="B101" t="s">
        <v>155</v>
      </c>
      <c r="C101" s="3" t="str" cm="1">
        <f t="array" ref="C101">_xlfn.XLOOKUP(1,(pivot!$A$2:$A$1946=Table3[[#This Row],[Müştəri adı]])*(pivot!$C$2:$C$1946=_xlfn.MAXIFS(pivot!$C$2:$C$1946,pivot!$A$2:$A$1946,Table3[[#This Row],[Müştəri adı]])),pivot!$B$2:$B$1946)</f>
        <v>ChildrenInHH</v>
      </c>
      <c r="D101" s="22" cm="1">
        <f t="array" ref="D101">_xlfn.XLOOKUP(1,
  (pivot!$A$2:$A$1946=endirim!B101) * (pivot!$C$2:$C$1946 = _xlfn.MAXIFS(pivot!$C$2:$C$1946, pivot!$A$2:$A$1946, endirim!B101)),
  pivot!$D$2:$D$1946)</f>
        <v>10</v>
      </c>
      <c r="E101" s="3" t="str" cm="1">
        <f t="array" ref="E101">_xlfn.XLOOKUP(1,
    (pivot!$A$2:$A$1946=endirim!B101) * (pivot!$D$2:$D$1946 = _xlfn.MAXIFS(pivot!$D$2:$D$1946, pivot!$A$2:$A$1946, endirim!B101)),
    pivot!$B$2:$B$1946)</f>
        <v>RVOwner</v>
      </c>
      <c r="F101" s="22">
        <f>_xlfn.MAXIFS(pivot!$D$2:$D$1946, pivot!$A$2:$A$1946, endirim!B101)</f>
        <v>22</v>
      </c>
      <c r="G101" s="3" t="str">
        <f t="shared" si="1"/>
        <v>RVOwner Kompaniyasını 20% endirimlə təklif et</v>
      </c>
    </row>
    <row r="102" spans="2:7" x14ac:dyDescent="0.3">
      <c r="B102" t="s">
        <v>156</v>
      </c>
      <c r="C102" s="3" t="str" cm="1">
        <f t="array" ref="C102">_xlfn.XLOOKUP(1,(pivot!$A$2:$A$1946=Table3[[#This Row],[Müştəri adı]])*(pivot!$C$2:$C$1946=_xlfn.MAXIFS(pivot!$C$2:$C$1946,pivot!$A$2:$A$1946,Table3[[#This Row],[Müştəri adı]])),pivot!$B$2:$B$1946)</f>
        <v>OwnsMotorcycle</v>
      </c>
      <c r="D102" s="22" cm="1">
        <f t="array" ref="D102">_xlfn.XLOOKUP(1,
  (pivot!$A$2:$A$1946=endirim!B102) * (pivot!$C$2:$C$1946 = _xlfn.MAXIFS(pivot!$C$2:$C$1946, pivot!$A$2:$A$1946, endirim!B102)),
  pivot!$D$2:$D$1946)</f>
        <v>14</v>
      </c>
      <c r="E102" s="3" t="str" cm="1">
        <f t="array" ref="E102">_xlfn.XLOOKUP(1,
    (pivot!$A$2:$A$1946=endirim!B102) * (pivot!$D$2:$D$1946 = _xlfn.MAXIFS(pivot!$D$2:$D$1946, pivot!$A$2:$A$1946, endirim!B102)),
    pivot!$B$2:$B$1946)</f>
        <v>NotNewCellphoneUser</v>
      </c>
      <c r="F102" s="22">
        <f>_xlfn.MAXIFS(pivot!$D$2:$D$1946, pivot!$A$2:$A$1946, endirim!B102)</f>
        <v>28</v>
      </c>
      <c r="G102" s="3" t="str">
        <f t="shared" si="1"/>
        <v>NotNewCellphoneUser Kompaniyasını 20% endirimlə təklif et</v>
      </c>
    </row>
    <row r="103" spans="2:7" x14ac:dyDescent="0.3">
      <c r="B103" t="s">
        <v>157</v>
      </c>
      <c r="C103" s="3" t="str" cm="1">
        <f t="array" ref="C103">_xlfn.XLOOKUP(1,(pivot!$A$2:$A$1946=Table3[[#This Row],[Müştəri adı]])*(pivot!$C$2:$C$1946=_xlfn.MAXIFS(pivot!$C$2:$C$1946,pivot!$A$2:$A$1946,Table3[[#This Row],[Müştəri adı]])),pivot!$B$2:$B$1946)</f>
        <v>BuysViaMailOrder</v>
      </c>
      <c r="D103" s="22" cm="1">
        <f t="array" ref="D103">_xlfn.XLOOKUP(1,
  (pivot!$A$2:$A$1946=endirim!B103) * (pivot!$C$2:$C$1946 = _xlfn.MAXIFS(pivot!$C$2:$C$1946, pivot!$A$2:$A$1946, endirim!B103)),
  pivot!$D$2:$D$1946)</f>
        <v>25</v>
      </c>
      <c r="E103" s="3" t="str" cm="1">
        <f t="array" ref="E103">_xlfn.XLOOKUP(1,
    (pivot!$A$2:$A$1946=endirim!B103) * (pivot!$D$2:$D$1946 = _xlfn.MAXIFS(pivot!$D$2:$D$1946, pivot!$A$2:$A$1946, endirim!B103)),
    pivot!$B$2:$B$1946)</f>
        <v>HasCreditCard</v>
      </c>
      <c r="F103" s="22">
        <f>_xlfn.MAXIFS(pivot!$D$2:$D$1946, pivot!$A$2:$A$1946, endirim!B103)</f>
        <v>65</v>
      </c>
      <c r="G103" s="3" t="str">
        <f t="shared" si="1"/>
        <v>HasCreditCard Kompaniyasını 20% endirimlə təklif et</v>
      </c>
    </row>
    <row r="104" spans="2:7" x14ac:dyDescent="0.3">
      <c r="B104" t="s">
        <v>158</v>
      </c>
      <c r="C104" s="3" t="str" cm="1">
        <f t="array" ref="C104">_xlfn.XLOOKUP(1,(pivot!$A$2:$A$1946=Table3[[#This Row],[Müştəri adı]])*(pivot!$C$2:$C$1946=_xlfn.MAXIFS(pivot!$C$2:$C$1946,pivot!$A$2:$A$1946,Table3[[#This Row],[Müştəri adı]])),pivot!$B$2:$B$1946)</f>
        <v>HandsetWebCapable</v>
      </c>
      <c r="D104" s="22" cm="1">
        <f t="array" ref="D104">_xlfn.XLOOKUP(1,
  (pivot!$A$2:$A$1946=endirim!B104) * (pivot!$C$2:$C$1946 = _xlfn.MAXIFS(pivot!$C$2:$C$1946, pivot!$A$2:$A$1946, endirim!B104)),
  pivot!$D$2:$D$1946)</f>
        <v>62</v>
      </c>
      <c r="E104" s="3" t="str" cm="1">
        <f t="array" ref="E104">_xlfn.XLOOKUP(1,
    (pivot!$A$2:$A$1946=endirim!B104) * (pivot!$D$2:$D$1946 = _xlfn.MAXIFS(pivot!$D$2:$D$1946, pivot!$A$2:$A$1946, endirim!B104)),
    pivot!$B$2:$B$1946)</f>
        <v>HandsetWebCapable</v>
      </c>
      <c r="F104" s="22">
        <f>_xlfn.MAXIFS(pivot!$D$2:$D$1946, pivot!$A$2:$A$1946, endirim!B104)</f>
        <v>62</v>
      </c>
      <c r="G104" s="3" t="str">
        <f t="shared" si="1"/>
        <v>Təklif yoxdur</v>
      </c>
    </row>
    <row r="105" spans="2:7" x14ac:dyDescent="0.3">
      <c r="B105" t="s">
        <v>159</v>
      </c>
      <c r="C105" s="3" t="str" cm="1">
        <f t="array" ref="C105">_xlfn.XLOOKUP(1,(pivot!$A$2:$A$1946=Table3[[#This Row],[Müştəri adı]])*(pivot!$C$2:$C$1946=_xlfn.MAXIFS(pivot!$C$2:$C$1946,pivot!$A$2:$A$1946,Table3[[#This Row],[Müştəri adı]])),pivot!$B$2:$B$1946)</f>
        <v>RVOwner</v>
      </c>
      <c r="D105" s="22" cm="1">
        <f t="array" ref="D105">_xlfn.XLOOKUP(1,
  (pivot!$A$2:$A$1946=endirim!B105) * (pivot!$C$2:$C$1946 = _xlfn.MAXIFS(pivot!$C$2:$C$1946, pivot!$A$2:$A$1946, endirim!B105)),
  pivot!$D$2:$D$1946)</f>
        <v>22</v>
      </c>
      <c r="E105" s="3" t="str" cm="1">
        <f t="array" ref="E105">_xlfn.XLOOKUP(1,
    (pivot!$A$2:$A$1946=endirim!B105) * (pivot!$D$2:$D$1946 = _xlfn.MAXIFS(pivot!$D$2:$D$1946, pivot!$A$2:$A$1946, endirim!B105)),
    pivot!$B$2:$B$1946)</f>
        <v>RVOwner</v>
      </c>
      <c r="F105" s="22">
        <f>_xlfn.MAXIFS(pivot!$D$2:$D$1946, pivot!$A$2:$A$1946, endirim!B105)</f>
        <v>22</v>
      </c>
      <c r="G105" s="3" t="str">
        <f t="shared" si="1"/>
        <v>Təklif yoxdur</v>
      </c>
    </row>
    <row r="106" spans="2:7" x14ac:dyDescent="0.3">
      <c r="B106" t="s">
        <v>160</v>
      </c>
      <c r="C106" s="3" t="str" cm="1">
        <f t="array" ref="C106">_xlfn.XLOOKUP(1,(pivot!$A$2:$A$1946=Table3[[#This Row],[Müştəri adı]])*(pivot!$C$2:$C$1946=_xlfn.MAXIFS(pivot!$C$2:$C$1946,pivot!$A$2:$A$1946,Table3[[#This Row],[Müştəri adı]])),pivot!$B$2:$B$1946)</f>
        <v>RVOwner</v>
      </c>
      <c r="D106" s="22" cm="1">
        <f t="array" ref="D106">_xlfn.XLOOKUP(1,
  (pivot!$A$2:$A$1946=endirim!B106) * (pivot!$C$2:$C$1946 = _xlfn.MAXIFS(pivot!$C$2:$C$1946, pivot!$A$2:$A$1946, endirim!B106)),
  pivot!$D$2:$D$1946)</f>
        <v>22</v>
      </c>
      <c r="E106" s="3" t="str" cm="1">
        <f t="array" ref="E106">_xlfn.XLOOKUP(1,
    (pivot!$A$2:$A$1946=endirim!B106) * (pivot!$D$2:$D$1946 = _xlfn.MAXIFS(pivot!$D$2:$D$1946, pivot!$A$2:$A$1946, endirim!B106)),
    pivot!$B$2:$B$1946)</f>
        <v>OptOutMailings</v>
      </c>
      <c r="F106" s="22">
        <f>_xlfn.MAXIFS(pivot!$D$2:$D$1946, pivot!$A$2:$A$1946, endirim!B106)</f>
        <v>75</v>
      </c>
      <c r="G106" s="3" t="str">
        <f t="shared" si="1"/>
        <v>OptOutMailings Kompaniyasını 20% endirimlə təklif et</v>
      </c>
    </row>
    <row r="107" spans="2:7" x14ac:dyDescent="0.3">
      <c r="B107" t="s">
        <v>161</v>
      </c>
      <c r="C107" s="3" t="str" cm="1">
        <f t="array" ref="C107">_xlfn.XLOOKUP(1,(pivot!$A$2:$A$1946=Table3[[#This Row],[Müştəri adı]])*(pivot!$C$2:$C$1946=_xlfn.MAXIFS(pivot!$C$2:$C$1946,pivot!$A$2:$A$1946,Table3[[#This Row],[Müştəri adı]])),pivot!$B$2:$B$1946)</f>
        <v>NewCellphoneUser</v>
      </c>
      <c r="D107" s="22" cm="1">
        <f t="array" ref="D107">_xlfn.XLOOKUP(1,
  (pivot!$A$2:$A$1946=endirim!B107) * (pivot!$C$2:$C$1946 = _xlfn.MAXIFS(pivot!$C$2:$C$1946, pivot!$A$2:$A$1946, endirim!B107)),
  pivot!$D$2:$D$1946)</f>
        <v>25</v>
      </c>
      <c r="E107" s="3" t="str" cm="1">
        <f t="array" ref="E107">_xlfn.XLOOKUP(1,
    (pivot!$A$2:$A$1946=endirim!B107) * (pivot!$D$2:$D$1946 = _xlfn.MAXIFS(pivot!$D$2:$D$1946, pivot!$A$2:$A$1946, endirim!B107)),
    pivot!$B$2:$B$1946)</f>
        <v>OptOutMailings</v>
      </c>
      <c r="F107" s="22">
        <f>_xlfn.MAXIFS(pivot!$D$2:$D$1946, pivot!$A$2:$A$1946, endirim!B107)</f>
        <v>75</v>
      </c>
      <c r="G107" s="3" t="str">
        <f t="shared" si="1"/>
        <v>OptOutMailings Kompaniyasını 20% endirimlə təklif et</v>
      </c>
    </row>
    <row r="108" spans="2:7" x14ac:dyDescent="0.3">
      <c r="B108" t="s">
        <v>162</v>
      </c>
      <c r="C108" s="3" t="str" cm="1">
        <f t="array" ref="C108">_xlfn.XLOOKUP(1,(pivot!$A$2:$A$1946=Table3[[#This Row],[Müştəri adı]])*(pivot!$C$2:$C$1946=_xlfn.MAXIFS(pivot!$C$2:$C$1946,pivot!$A$2:$A$1946,Table3[[#This Row],[Müştəri adı]])),pivot!$B$2:$B$1946)</f>
        <v>RespondsToMailOffers</v>
      </c>
      <c r="D108" s="22" cm="1">
        <f t="array" ref="D108">_xlfn.XLOOKUP(1,
  (pivot!$A$2:$A$1946=endirim!B108) * (pivot!$C$2:$C$1946 = _xlfn.MAXIFS(pivot!$C$2:$C$1946, pivot!$A$2:$A$1946, endirim!B108)),
  pivot!$D$2:$D$1946)</f>
        <v>27</v>
      </c>
      <c r="E108" s="3" t="str" cm="1">
        <f t="array" ref="E108">_xlfn.XLOOKUP(1,
    (pivot!$A$2:$A$1946=endirim!B108) * (pivot!$D$2:$D$1946 = _xlfn.MAXIFS(pivot!$D$2:$D$1946, pivot!$A$2:$A$1946, endirim!B108)),
    pivot!$B$2:$B$1946)</f>
        <v>HasCreditCard</v>
      </c>
      <c r="F108" s="22">
        <f>_xlfn.MAXIFS(pivot!$D$2:$D$1946, pivot!$A$2:$A$1946, endirim!B108)</f>
        <v>65</v>
      </c>
      <c r="G108" s="3" t="str">
        <f t="shared" si="1"/>
        <v>HasCreditCard Kompaniyasını 20% endirimlə təklif et</v>
      </c>
    </row>
    <row r="109" spans="2:7" x14ac:dyDescent="0.3">
      <c r="B109" t="s">
        <v>163</v>
      </c>
      <c r="C109" s="3" t="str" cm="1">
        <f t="array" ref="C109">_xlfn.XLOOKUP(1,(pivot!$A$2:$A$1946=Table3[[#This Row],[Müştəri adı]])*(pivot!$C$2:$C$1946=_xlfn.MAXIFS(pivot!$C$2:$C$1946,pivot!$A$2:$A$1946,Table3[[#This Row],[Müştəri adı]])),pivot!$B$2:$B$1946)</f>
        <v>Homeownership</v>
      </c>
      <c r="D109" s="22" cm="1">
        <f t="array" ref="D109">_xlfn.XLOOKUP(1,
  (pivot!$A$2:$A$1946=endirim!B109) * (pivot!$C$2:$C$1946 = _xlfn.MAXIFS(pivot!$C$2:$C$1946, pivot!$A$2:$A$1946, endirim!B109)),
  pivot!$D$2:$D$1946)</f>
        <v>13</v>
      </c>
      <c r="E109" s="3" t="str" cm="1">
        <f t="array" ref="E109">_xlfn.XLOOKUP(1,
    (pivot!$A$2:$A$1946=endirim!B109) * (pivot!$D$2:$D$1946 = _xlfn.MAXIFS(pivot!$D$2:$D$1946, pivot!$A$2:$A$1946, endirim!B109)),
    pivot!$B$2:$B$1946)</f>
        <v>Homeownership</v>
      </c>
      <c r="F109" s="22">
        <f>_xlfn.MAXIFS(pivot!$D$2:$D$1946, pivot!$A$2:$A$1946, endirim!B109)</f>
        <v>13</v>
      </c>
      <c r="G109" s="3" t="str">
        <f t="shared" si="1"/>
        <v>Təklif yoxdur</v>
      </c>
    </row>
    <row r="110" spans="2:7" x14ac:dyDescent="0.3">
      <c r="B110" t="s">
        <v>164</v>
      </c>
      <c r="C110" s="3" t="str" cm="1">
        <f t="array" ref="C110">_xlfn.XLOOKUP(1,(pivot!$A$2:$A$1946=Table3[[#This Row],[Müştəri adı]])*(pivot!$C$2:$C$1946=_xlfn.MAXIFS(pivot!$C$2:$C$1946,pivot!$A$2:$A$1946,Table3[[#This Row],[Müştəri adı]])),pivot!$B$2:$B$1946)</f>
        <v>NonUSTravel</v>
      </c>
      <c r="D110" s="22" cm="1">
        <f t="array" ref="D110">_xlfn.XLOOKUP(1,
  (pivot!$A$2:$A$1946=endirim!B110) * (pivot!$C$2:$C$1946 = _xlfn.MAXIFS(pivot!$C$2:$C$1946, pivot!$A$2:$A$1946, endirim!B110)),
  pivot!$D$2:$D$1946)</f>
        <v>66</v>
      </c>
      <c r="E110" s="3" t="str" cm="1">
        <f t="array" ref="E110">_xlfn.XLOOKUP(1,
    (pivot!$A$2:$A$1946=endirim!B110) * (pivot!$D$2:$D$1946 = _xlfn.MAXIFS(pivot!$D$2:$D$1946, pivot!$A$2:$A$1946, endirim!B110)),
    pivot!$B$2:$B$1946)</f>
        <v>NonUSTravel</v>
      </c>
      <c r="F110" s="22">
        <f>_xlfn.MAXIFS(pivot!$D$2:$D$1946, pivot!$A$2:$A$1946, endirim!B110)</f>
        <v>66</v>
      </c>
      <c r="G110" s="3" t="str">
        <f t="shared" si="1"/>
        <v>Təklif yoxdur</v>
      </c>
    </row>
    <row r="111" spans="2:7" x14ac:dyDescent="0.3">
      <c r="B111" t="s">
        <v>165</v>
      </c>
      <c r="C111" s="3" t="str" cm="1">
        <f t="array" ref="C111">_xlfn.XLOOKUP(1,(pivot!$A$2:$A$1946=Table3[[#This Row],[Müştəri adı]])*(pivot!$C$2:$C$1946=_xlfn.MAXIFS(pivot!$C$2:$C$1946,pivot!$A$2:$A$1946,Table3[[#This Row],[Müştəri adı]])),pivot!$B$2:$B$1946)</f>
        <v>HandsetRefurbished</v>
      </c>
      <c r="D111" s="22" cm="1">
        <f t="array" ref="D111">_xlfn.XLOOKUP(1,
  (pivot!$A$2:$A$1946=endirim!B111) * (pivot!$C$2:$C$1946 = _xlfn.MAXIFS(pivot!$C$2:$C$1946, pivot!$A$2:$A$1946, endirim!B111)),
  pivot!$D$2:$D$1946)</f>
        <v>26</v>
      </c>
      <c r="E111" s="3" t="str" cm="1">
        <f t="array" ref="E111">_xlfn.XLOOKUP(1,
    (pivot!$A$2:$A$1946=endirim!B111) * (pivot!$D$2:$D$1946 = _xlfn.MAXIFS(pivot!$D$2:$D$1946, pivot!$A$2:$A$1946, endirim!B111)),
    pivot!$B$2:$B$1946)</f>
        <v>HandsetRefurbished</v>
      </c>
      <c r="F111" s="22">
        <f>_xlfn.MAXIFS(pivot!$D$2:$D$1946, pivot!$A$2:$A$1946, endirim!B111)</f>
        <v>26</v>
      </c>
      <c r="G111" s="3" t="str">
        <f t="shared" si="1"/>
        <v>Təklif yoxdur</v>
      </c>
    </row>
    <row r="112" spans="2:7" x14ac:dyDescent="0.3">
      <c r="B112" t="s">
        <v>166</v>
      </c>
      <c r="C112" s="3" t="str" cm="1">
        <f t="array" ref="C112">_xlfn.XLOOKUP(1,(pivot!$A$2:$A$1946=Table3[[#This Row],[Müştəri adı]])*(pivot!$C$2:$C$1946=_xlfn.MAXIFS(pivot!$C$2:$C$1946,pivot!$A$2:$A$1946,Table3[[#This Row],[Müştəri adı]])),pivot!$B$2:$B$1946)</f>
        <v>MaritalStatus</v>
      </c>
      <c r="D112" s="22" cm="1">
        <f t="array" ref="D112">_xlfn.XLOOKUP(1,
  (pivot!$A$2:$A$1946=endirim!B112) * (pivot!$C$2:$C$1946 = _xlfn.MAXIFS(pivot!$C$2:$C$1946, pivot!$A$2:$A$1946, endirim!B112)),
  pivot!$D$2:$D$1946)</f>
        <v>29</v>
      </c>
      <c r="E112" s="3" t="str" cm="1">
        <f t="array" ref="E112">_xlfn.XLOOKUP(1,
    (pivot!$A$2:$A$1946=endirim!B112) * (pivot!$D$2:$D$1946 = _xlfn.MAXIFS(pivot!$D$2:$D$1946, pivot!$A$2:$A$1946, endirim!B112)),
    pivot!$B$2:$B$1946)</f>
        <v>HasCreditCard</v>
      </c>
      <c r="F112" s="22">
        <f>_xlfn.MAXIFS(pivot!$D$2:$D$1946, pivot!$A$2:$A$1946, endirim!B112)</f>
        <v>65</v>
      </c>
      <c r="G112" s="3" t="str">
        <f t="shared" si="1"/>
        <v>HasCreditCard Kompaniyasını 20% endirimlə təklif et</v>
      </c>
    </row>
    <row r="113" spans="2:7" x14ac:dyDescent="0.3">
      <c r="B113" t="s">
        <v>167</v>
      </c>
      <c r="C113" s="3" t="str" cm="1">
        <f t="array" ref="C113">_xlfn.XLOOKUP(1,(pivot!$A$2:$A$1946=Table3[[#This Row],[Müştəri adı]])*(pivot!$C$2:$C$1946=_xlfn.MAXIFS(pivot!$C$2:$C$1946,pivot!$A$2:$A$1946,Table3[[#This Row],[Müştəri adı]])),pivot!$B$2:$B$1946)</f>
        <v>NotNewCellphoneUser</v>
      </c>
      <c r="D113" s="22" cm="1">
        <f t="array" ref="D113">_xlfn.XLOOKUP(1,
  (pivot!$A$2:$A$1946=endirim!B113) * (pivot!$C$2:$C$1946 = _xlfn.MAXIFS(pivot!$C$2:$C$1946, pivot!$A$2:$A$1946, endirim!B113)),
  pivot!$D$2:$D$1946)</f>
        <v>28</v>
      </c>
      <c r="E113" s="3" t="str" cm="1">
        <f t="array" ref="E113">_xlfn.XLOOKUP(1,
    (pivot!$A$2:$A$1946=endirim!B113) * (pivot!$D$2:$D$1946 = _xlfn.MAXIFS(pivot!$D$2:$D$1946, pivot!$A$2:$A$1946, endirim!B113)),
    pivot!$B$2:$B$1946)</f>
        <v>NotNewCellphoneUser</v>
      </c>
      <c r="F113" s="22">
        <f>_xlfn.MAXIFS(pivot!$D$2:$D$1946, pivot!$A$2:$A$1946, endirim!B113)</f>
        <v>28</v>
      </c>
      <c r="G113" s="3" t="str">
        <f t="shared" si="1"/>
        <v>Təklif yoxdur</v>
      </c>
    </row>
    <row r="114" spans="2:7" x14ac:dyDescent="0.3">
      <c r="B114" t="s">
        <v>168</v>
      </c>
      <c r="C114" s="3" t="str" cm="1">
        <f t="array" ref="C114">_xlfn.XLOOKUP(1,(pivot!$A$2:$A$1946=Table3[[#This Row],[Müştəri adı]])*(pivot!$C$2:$C$1946=_xlfn.MAXIFS(pivot!$C$2:$C$1946,pivot!$A$2:$A$1946,Table3[[#This Row],[Müştəri adı]])),pivot!$B$2:$B$1946)</f>
        <v>ChildrenInHH</v>
      </c>
      <c r="D114" s="22" cm="1">
        <f t="array" ref="D114">_xlfn.XLOOKUP(1,
  (pivot!$A$2:$A$1946=endirim!B114) * (pivot!$C$2:$C$1946 = _xlfn.MAXIFS(pivot!$C$2:$C$1946, pivot!$A$2:$A$1946, endirim!B114)),
  pivot!$D$2:$D$1946)</f>
        <v>10</v>
      </c>
      <c r="E114" s="3" t="str" cm="1">
        <f t="array" ref="E114">_xlfn.XLOOKUP(1,
    (pivot!$A$2:$A$1946=endirim!B114) * (pivot!$D$2:$D$1946 = _xlfn.MAXIFS(pivot!$D$2:$D$1946, pivot!$A$2:$A$1946, endirim!B114)),
    pivot!$B$2:$B$1946)</f>
        <v>ChildrenInHH</v>
      </c>
      <c r="F114" s="22">
        <f>_xlfn.MAXIFS(pivot!$D$2:$D$1946, pivot!$A$2:$A$1946, endirim!B114)</f>
        <v>10</v>
      </c>
      <c r="G114" s="3" t="str">
        <f t="shared" si="1"/>
        <v>Təklif yoxdur</v>
      </c>
    </row>
    <row r="115" spans="2:7" x14ac:dyDescent="0.3">
      <c r="B115" t="s">
        <v>169</v>
      </c>
      <c r="C115" s="3" t="str" cm="1">
        <f t="array" ref="C115">_xlfn.XLOOKUP(1,(pivot!$A$2:$A$1946=Table3[[#This Row],[Müştəri adı]])*(pivot!$C$2:$C$1946=_xlfn.MAXIFS(pivot!$C$2:$C$1946,pivot!$A$2:$A$1946,Table3[[#This Row],[Müştəri adı]])),pivot!$B$2:$B$1946)</f>
        <v>TruckOwner</v>
      </c>
      <c r="D115" s="22" cm="1">
        <f t="array" ref="D115">_xlfn.XLOOKUP(1,
  (pivot!$A$2:$A$1946=endirim!B115) * (pivot!$C$2:$C$1946 = _xlfn.MAXIFS(pivot!$C$2:$C$1946, pivot!$A$2:$A$1946, endirim!B115)),
  pivot!$D$2:$D$1946)</f>
        <v>26</v>
      </c>
      <c r="E115" s="3" t="str" cm="1">
        <f t="array" ref="E115">_xlfn.XLOOKUP(1,
    (pivot!$A$2:$A$1946=endirim!B115) * (pivot!$D$2:$D$1946 = _xlfn.MAXIFS(pivot!$D$2:$D$1946, pivot!$A$2:$A$1946, endirim!B115)),
    pivot!$B$2:$B$1946)</f>
        <v>TruckOwner</v>
      </c>
      <c r="F115" s="22">
        <f>_xlfn.MAXIFS(pivot!$D$2:$D$1946, pivot!$A$2:$A$1946, endirim!B115)</f>
        <v>26</v>
      </c>
      <c r="G115" s="3" t="str">
        <f t="shared" si="1"/>
        <v>Təklif yoxdur</v>
      </c>
    </row>
    <row r="116" spans="2:7" x14ac:dyDescent="0.3">
      <c r="B116" t="s">
        <v>170</v>
      </c>
      <c r="C116" s="3" t="str" cm="1">
        <f t="array" ref="C116">_xlfn.XLOOKUP(1,(pivot!$A$2:$A$1946=Table3[[#This Row],[Müştəri adı]])*(pivot!$C$2:$C$1946=_xlfn.MAXIFS(pivot!$C$2:$C$1946,pivot!$A$2:$A$1946,Table3[[#This Row],[Müştəri adı]])),pivot!$B$2:$B$1946)</f>
        <v>OwnsComputer</v>
      </c>
      <c r="D116" s="22" cm="1">
        <f t="array" ref="D116">_xlfn.XLOOKUP(1,
  (pivot!$A$2:$A$1946=endirim!B116) * (pivot!$C$2:$C$1946 = _xlfn.MAXIFS(pivot!$C$2:$C$1946, pivot!$A$2:$A$1946, endirim!B116)),
  pivot!$D$2:$D$1946)</f>
        <v>62</v>
      </c>
      <c r="E116" s="3" t="str" cm="1">
        <f t="array" ref="E116">_xlfn.XLOOKUP(1,
    (pivot!$A$2:$A$1946=endirim!B116) * (pivot!$D$2:$D$1946 = _xlfn.MAXIFS(pivot!$D$2:$D$1946, pivot!$A$2:$A$1946, endirim!B116)),
    pivot!$B$2:$B$1946)</f>
        <v>OwnsComputer</v>
      </c>
      <c r="F116" s="22">
        <f>_xlfn.MAXIFS(pivot!$D$2:$D$1946, pivot!$A$2:$A$1946, endirim!B116)</f>
        <v>62</v>
      </c>
      <c r="G116" s="3" t="str">
        <f t="shared" si="1"/>
        <v>Təklif yoxdur</v>
      </c>
    </row>
    <row r="117" spans="2:7" x14ac:dyDescent="0.3">
      <c r="B117" t="s">
        <v>171</v>
      </c>
      <c r="C117" s="3" t="str" cm="1">
        <f t="array" ref="C117">_xlfn.XLOOKUP(1,(pivot!$A$2:$A$1946=Table3[[#This Row],[Müştəri adı]])*(pivot!$C$2:$C$1946=_xlfn.MAXIFS(pivot!$C$2:$C$1946,pivot!$A$2:$A$1946,Table3[[#This Row],[Müştəri adı]])),pivot!$B$2:$B$1946)</f>
        <v>MaritalStatus</v>
      </c>
      <c r="D117" s="22" cm="1">
        <f t="array" ref="D117">_xlfn.XLOOKUP(1,
  (pivot!$A$2:$A$1946=endirim!B117) * (pivot!$C$2:$C$1946 = _xlfn.MAXIFS(pivot!$C$2:$C$1946, pivot!$A$2:$A$1946, endirim!B117)),
  pivot!$D$2:$D$1946)</f>
        <v>29</v>
      </c>
      <c r="E117" s="3" t="str" cm="1">
        <f t="array" ref="E117">_xlfn.XLOOKUP(1,
    (pivot!$A$2:$A$1946=endirim!B117) * (pivot!$D$2:$D$1946 = _xlfn.MAXIFS(pivot!$D$2:$D$1946, pivot!$A$2:$A$1946, endirim!B117)),
    pivot!$B$2:$B$1946)</f>
        <v>NonUSTravel</v>
      </c>
      <c r="F117" s="22">
        <f>_xlfn.MAXIFS(pivot!$D$2:$D$1946, pivot!$A$2:$A$1946, endirim!B117)</f>
        <v>66</v>
      </c>
      <c r="G117" s="3" t="str">
        <f t="shared" si="1"/>
        <v>NonUSTravel Kompaniyasını 20% endirimlə təklif et</v>
      </c>
    </row>
    <row r="118" spans="2:7" x14ac:dyDescent="0.3">
      <c r="B118" t="s">
        <v>172</v>
      </c>
      <c r="C118" s="3" t="str" cm="1">
        <f t="array" ref="C118">_xlfn.XLOOKUP(1,(pivot!$A$2:$A$1946=Table3[[#This Row],[Müştəri adı]])*(pivot!$C$2:$C$1946=_xlfn.MAXIFS(pivot!$C$2:$C$1946,pivot!$A$2:$A$1946,Table3[[#This Row],[Müştəri adı]])),pivot!$B$2:$B$1946)</f>
        <v>HandsetRefurbished</v>
      </c>
      <c r="D118" s="22" cm="1">
        <f t="array" ref="D118">_xlfn.XLOOKUP(1,
  (pivot!$A$2:$A$1946=endirim!B118) * (pivot!$C$2:$C$1946 = _xlfn.MAXIFS(pivot!$C$2:$C$1946, pivot!$A$2:$A$1946, endirim!B118)),
  pivot!$D$2:$D$1946)</f>
        <v>26</v>
      </c>
      <c r="E118" s="3" t="str" cm="1">
        <f t="array" ref="E118">_xlfn.XLOOKUP(1,
    (pivot!$A$2:$A$1946=endirim!B118) * (pivot!$D$2:$D$1946 = _xlfn.MAXIFS(pivot!$D$2:$D$1946, pivot!$A$2:$A$1946, endirim!B118)),
    pivot!$B$2:$B$1946)</f>
        <v>RespondsToMailOffers</v>
      </c>
      <c r="F118" s="22">
        <f>_xlfn.MAXIFS(pivot!$D$2:$D$1946, pivot!$A$2:$A$1946, endirim!B118)</f>
        <v>27</v>
      </c>
      <c r="G118" s="3" t="str">
        <f t="shared" si="1"/>
        <v>RespondsToMailOffers Kompaniyasını 20% endirimlə təklif et</v>
      </c>
    </row>
    <row r="119" spans="2:7" x14ac:dyDescent="0.3">
      <c r="B119" t="s">
        <v>173</v>
      </c>
      <c r="C119" s="3" t="str" cm="1">
        <f t="array" ref="C119">_xlfn.XLOOKUP(1,(pivot!$A$2:$A$1946=Table3[[#This Row],[Müştəri adı]])*(pivot!$C$2:$C$1946=_xlfn.MAXIFS(pivot!$C$2:$C$1946,pivot!$A$2:$A$1946,Table3[[#This Row],[Müştəri adı]])),pivot!$B$2:$B$1946)</f>
        <v>ChildrenInHH</v>
      </c>
      <c r="D119" s="22" cm="1">
        <f t="array" ref="D119">_xlfn.XLOOKUP(1,
  (pivot!$A$2:$A$1946=endirim!B119) * (pivot!$C$2:$C$1946 = _xlfn.MAXIFS(pivot!$C$2:$C$1946, pivot!$A$2:$A$1946, endirim!B119)),
  pivot!$D$2:$D$1946)</f>
        <v>10</v>
      </c>
      <c r="E119" s="3" t="str" cm="1">
        <f t="array" ref="E119">_xlfn.XLOOKUP(1,
    (pivot!$A$2:$A$1946=endirim!B119) * (pivot!$D$2:$D$1946 = _xlfn.MAXIFS(pivot!$D$2:$D$1946, pivot!$A$2:$A$1946, endirim!B119)),
    pivot!$B$2:$B$1946)</f>
        <v>ChildrenInHH</v>
      </c>
      <c r="F119" s="22">
        <f>_xlfn.MAXIFS(pivot!$D$2:$D$1946, pivot!$A$2:$A$1946, endirim!B119)</f>
        <v>10</v>
      </c>
      <c r="G119" s="3" t="str">
        <f t="shared" si="1"/>
        <v>Təklif yoxdur</v>
      </c>
    </row>
    <row r="120" spans="2:7" x14ac:dyDescent="0.3">
      <c r="B120" t="s">
        <v>174</v>
      </c>
      <c r="C120" s="3" t="str" cm="1">
        <f t="array" ref="C120">_xlfn.XLOOKUP(1,(pivot!$A$2:$A$1946=Table3[[#This Row],[Müştəri adı]])*(pivot!$C$2:$C$1946=_xlfn.MAXIFS(pivot!$C$2:$C$1946,pivot!$A$2:$A$1946,Table3[[#This Row],[Müştəri adı]])),pivot!$B$2:$B$1946)</f>
        <v>HasCreditCard</v>
      </c>
      <c r="D120" s="22" cm="1">
        <f t="array" ref="D120">_xlfn.XLOOKUP(1,
  (pivot!$A$2:$A$1946=endirim!B120) * (pivot!$C$2:$C$1946 = _xlfn.MAXIFS(pivot!$C$2:$C$1946, pivot!$A$2:$A$1946, endirim!B120)),
  pivot!$D$2:$D$1946)</f>
        <v>65</v>
      </c>
      <c r="E120" s="3" t="str" cm="1">
        <f t="array" ref="E120">_xlfn.XLOOKUP(1,
    (pivot!$A$2:$A$1946=endirim!B120) * (pivot!$D$2:$D$1946 = _xlfn.MAXIFS(pivot!$D$2:$D$1946, pivot!$A$2:$A$1946, endirim!B120)),
    pivot!$B$2:$B$1946)</f>
        <v>HasCreditCard</v>
      </c>
      <c r="F120" s="22">
        <f>_xlfn.MAXIFS(pivot!$D$2:$D$1946, pivot!$A$2:$A$1946, endirim!B120)</f>
        <v>65</v>
      </c>
      <c r="G120" s="3" t="str">
        <f t="shared" si="1"/>
        <v>Təklif yoxdur</v>
      </c>
    </row>
    <row r="121" spans="2:7" x14ac:dyDescent="0.3">
      <c r="B121" t="s">
        <v>175</v>
      </c>
      <c r="C121" s="3" t="str" cm="1">
        <f t="array" ref="C121">_xlfn.XLOOKUP(1,(pivot!$A$2:$A$1946=Table3[[#This Row],[Müştəri adı]])*(pivot!$C$2:$C$1946=_xlfn.MAXIFS(pivot!$C$2:$C$1946,pivot!$A$2:$A$1946,Table3[[#This Row],[Müştəri adı]])),pivot!$B$2:$B$1946)</f>
        <v>RespondsToMailOffers</v>
      </c>
      <c r="D121" s="22" cm="1">
        <f t="array" ref="D121">_xlfn.XLOOKUP(1,
  (pivot!$A$2:$A$1946=endirim!B121) * (pivot!$C$2:$C$1946 = _xlfn.MAXIFS(pivot!$C$2:$C$1946, pivot!$A$2:$A$1946, endirim!B121)),
  pivot!$D$2:$D$1946)</f>
        <v>27</v>
      </c>
      <c r="E121" s="3" t="str" cm="1">
        <f t="array" ref="E121">_xlfn.XLOOKUP(1,
    (pivot!$A$2:$A$1946=endirim!B121) * (pivot!$D$2:$D$1946 = _xlfn.MAXIFS(pivot!$D$2:$D$1946, pivot!$A$2:$A$1946, endirim!B121)),
    pivot!$B$2:$B$1946)</f>
        <v>RespondsToMailOffers</v>
      </c>
      <c r="F121" s="22">
        <f>_xlfn.MAXIFS(pivot!$D$2:$D$1946, pivot!$A$2:$A$1946, endirim!B121)</f>
        <v>27</v>
      </c>
      <c r="G121" s="3" t="str">
        <f t="shared" si="1"/>
        <v>Təklif yoxdur</v>
      </c>
    </row>
    <row r="122" spans="2:7" x14ac:dyDescent="0.3">
      <c r="B122" t="s">
        <v>176</v>
      </c>
      <c r="C122" s="3" t="str" cm="1">
        <f t="array" ref="C122">_xlfn.XLOOKUP(1,(pivot!$A$2:$A$1946=Table3[[#This Row],[Müştəri adı]])*(pivot!$C$2:$C$1946=_xlfn.MAXIFS(pivot!$C$2:$C$1946,pivot!$A$2:$A$1946,Table3[[#This Row],[Müştəri adı]])),pivot!$B$2:$B$1946)</f>
        <v>BuysViaMailOrder</v>
      </c>
      <c r="D122" s="22" cm="1">
        <f t="array" ref="D122">_xlfn.XLOOKUP(1,
  (pivot!$A$2:$A$1946=endirim!B122) * (pivot!$C$2:$C$1946 = _xlfn.MAXIFS(pivot!$C$2:$C$1946, pivot!$A$2:$A$1946, endirim!B122)),
  pivot!$D$2:$D$1946)</f>
        <v>25</v>
      </c>
      <c r="E122" s="3" t="str" cm="1">
        <f t="array" ref="E122">_xlfn.XLOOKUP(1,
    (pivot!$A$2:$A$1946=endirim!B122) * (pivot!$D$2:$D$1946 = _xlfn.MAXIFS(pivot!$D$2:$D$1946, pivot!$A$2:$A$1946, endirim!B122)),
    pivot!$B$2:$B$1946)</f>
        <v>BuysViaMailOrder</v>
      </c>
      <c r="F122" s="22">
        <f>_xlfn.MAXIFS(pivot!$D$2:$D$1946, pivot!$A$2:$A$1946, endirim!B122)</f>
        <v>25</v>
      </c>
      <c r="G122" s="3" t="str">
        <f t="shared" si="1"/>
        <v>Təklif yoxdur</v>
      </c>
    </row>
    <row r="123" spans="2:7" x14ac:dyDescent="0.3">
      <c r="B123" t="s">
        <v>177</v>
      </c>
      <c r="C123" s="3" t="str" cm="1">
        <f t="array" ref="C123">_xlfn.XLOOKUP(1,(pivot!$A$2:$A$1946=Table3[[#This Row],[Müştəri adı]])*(pivot!$C$2:$C$1946=_xlfn.MAXIFS(pivot!$C$2:$C$1946,pivot!$A$2:$A$1946,Table3[[#This Row],[Müştəri adı]])),pivot!$B$2:$B$1946)</f>
        <v>NotNewCellphoneUser</v>
      </c>
      <c r="D123" s="22" cm="1">
        <f t="array" ref="D123">_xlfn.XLOOKUP(1,
  (pivot!$A$2:$A$1946=endirim!B123) * (pivot!$C$2:$C$1946 = _xlfn.MAXIFS(pivot!$C$2:$C$1946, pivot!$A$2:$A$1946, endirim!B123)),
  pivot!$D$2:$D$1946)</f>
        <v>28</v>
      </c>
      <c r="E123" s="3" t="str" cm="1">
        <f t="array" ref="E123">_xlfn.XLOOKUP(1,
    (pivot!$A$2:$A$1946=endirim!B123) * (pivot!$D$2:$D$1946 = _xlfn.MAXIFS(pivot!$D$2:$D$1946, pivot!$A$2:$A$1946, endirim!B123)),
    pivot!$B$2:$B$1946)</f>
        <v>NotNewCellphoneUser</v>
      </c>
      <c r="F123" s="22">
        <f>_xlfn.MAXIFS(pivot!$D$2:$D$1946, pivot!$A$2:$A$1946, endirim!B123)</f>
        <v>28</v>
      </c>
      <c r="G123" s="3" t="str">
        <f t="shared" si="1"/>
        <v>Təklif yoxdur</v>
      </c>
    </row>
    <row r="124" spans="2:7" x14ac:dyDescent="0.3">
      <c r="B124" t="s">
        <v>178</v>
      </c>
      <c r="C124" s="3" t="str" cm="1">
        <f t="array" ref="C124">_xlfn.XLOOKUP(1,(pivot!$A$2:$A$1946=Table3[[#This Row],[Müştəri adı]])*(pivot!$C$2:$C$1946=_xlfn.MAXIFS(pivot!$C$2:$C$1946,pivot!$A$2:$A$1946,Table3[[#This Row],[Müştəri adı]])),pivot!$B$2:$B$1946)</f>
        <v>NotNewCellphoneUser</v>
      </c>
      <c r="D124" s="22" cm="1">
        <f t="array" ref="D124">_xlfn.XLOOKUP(1,
  (pivot!$A$2:$A$1946=endirim!B124) * (pivot!$C$2:$C$1946 = _xlfn.MAXIFS(pivot!$C$2:$C$1946, pivot!$A$2:$A$1946, endirim!B124)),
  pivot!$D$2:$D$1946)</f>
        <v>28</v>
      </c>
      <c r="E124" s="3" t="str" cm="1">
        <f t="array" ref="E124">_xlfn.XLOOKUP(1,
    (pivot!$A$2:$A$1946=endirim!B124) * (pivot!$D$2:$D$1946 = _xlfn.MAXIFS(pivot!$D$2:$D$1946, pivot!$A$2:$A$1946, endirim!B124)),
    pivot!$B$2:$B$1946)</f>
        <v>NotNewCellphoneUser</v>
      </c>
      <c r="F124" s="22">
        <f>_xlfn.MAXIFS(pivot!$D$2:$D$1946, pivot!$A$2:$A$1946, endirim!B124)</f>
        <v>28</v>
      </c>
      <c r="G124" s="3" t="str">
        <f t="shared" si="1"/>
        <v>Təklif yoxdur</v>
      </c>
    </row>
    <row r="125" spans="2:7" x14ac:dyDescent="0.3">
      <c r="B125" t="s">
        <v>179</v>
      </c>
      <c r="C125" s="3" t="str" cm="1">
        <f t="array" ref="C125">_xlfn.XLOOKUP(1,(pivot!$A$2:$A$1946=Table3[[#This Row],[Müştəri adı]])*(pivot!$C$2:$C$1946=_xlfn.MAXIFS(pivot!$C$2:$C$1946,pivot!$A$2:$A$1946,Table3[[#This Row],[Müştəri adı]])),pivot!$B$2:$B$1946)</f>
        <v>Homeownership</v>
      </c>
      <c r="D125" s="22" cm="1">
        <f t="array" ref="D125">_xlfn.XLOOKUP(1,
  (pivot!$A$2:$A$1946=endirim!B125) * (pivot!$C$2:$C$1946 = _xlfn.MAXIFS(pivot!$C$2:$C$1946, pivot!$A$2:$A$1946, endirim!B125)),
  pivot!$D$2:$D$1946)</f>
        <v>13</v>
      </c>
      <c r="E125" s="3" t="str" cm="1">
        <f t="array" ref="E125">_xlfn.XLOOKUP(1,
    (pivot!$A$2:$A$1946=endirim!B125) * (pivot!$D$2:$D$1946 = _xlfn.MAXIFS(pivot!$D$2:$D$1946, pivot!$A$2:$A$1946, endirim!B125)),
    pivot!$B$2:$B$1946)</f>
        <v>HandsetRefurbished</v>
      </c>
      <c r="F125" s="22">
        <f>_xlfn.MAXIFS(pivot!$D$2:$D$1946, pivot!$A$2:$A$1946, endirim!B125)</f>
        <v>26</v>
      </c>
      <c r="G125" s="3" t="str">
        <f t="shared" si="1"/>
        <v>HandsetRefurbished Kompaniyasını 20% endirimlə təklif et</v>
      </c>
    </row>
    <row r="126" spans="2:7" x14ac:dyDescent="0.3">
      <c r="B126" t="s">
        <v>180</v>
      </c>
      <c r="C126" s="3" t="str" cm="1">
        <f t="array" ref="C126">_xlfn.XLOOKUP(1,(pivot!$A$2:$A$1946=Table3[[#This Row],[Müştəri adı]])*(pivot!$C$2:$C$1946=_xlfn.MAXIFS(pivot!$C$2:$C$1946,pivot!$A$2:$A$1946,Table3[[#This Row],[Müştəri adı]])),pivot!$B$2:$B$1946)</f>
        <v>RVOwner</v>
      </c>
      <c r="D126" s="22" cm="1">
        <f t="array" ref="D126">_xlfn.XLOOKUP(1,
  (pivot!$A$2:$A$1946=endirim!B126) * (pivot!$C$2:$C$1946 = _xlfn.MAXIFS(pivot!$C$2:$C$1946, pivot!$A$2:$A$1946, endirim!B126)),
  pivot!$D$2:$D$1946)</f>
        <v>22</v>
      </c>
      <c r="E126" s="3" t="str" cm="1">
        <f t="array" ref="E126">_xlfn.XLOOKUP(1,
    (pivot!$A$2:$A$1946=endirim!B126) * (pivot!$D$2:$D$1946 = _xlfn.MAXIFS(pivot!$D$2:$D$1946, pivot!$A$2:$A$1946, endirim!B126)),
    pivot!$B$2:$B$1946)</f>
        <v>OptOutMailings</v>
      </c>
      <c r="F126" s="22">
        <f>_xlfn.MAXIFS(pivot!$D$2:$D$1946, pivot!$A$2:$A$1946, endirim!B126)</f>
        <v>75</v>
      </c>
      <c r="G126" s="3" t="str">
        <f t="shared" si="1"/>
        <v>OptOutMailings Kompaniyasını 20% endirimlə təklif et</v>
      </c>
    </row>
    <row r="127" spans="2:7" x14ac:dyDescent="0.3">
      <c r="B127" t="s">
        <v>181</v>
      </c>
      <c r="C127" s="3" t="str" cm="1">
        <f t="array" ref="C127">_xlfn.XLOOKUP(1,(pivot!$A$2:$A$1946=Table3[[#This Row],[Müştəri adı]])*(pivot!$C$2:$C$1946=_xlfn.MAXIFS(pivot!$C$2:$C$1946,pivot!$A$2:$A$1946,Table3[[#This Row],[Müştəri adı]])),pivot!$B$2:$B$1946)</f>
        <v>NotNewCellphoneUser</v>
      </c>
      <c r="D127" s="22" cm="1">
        <f t="array" ref="D127">_xlfn.XLOOKUP(1,
  (pivot!$A$2:$A$1946=endirim!B127) * (pivot!$C$2:$C$1946 = _xlfn.MAXIFS(pivot!$C$2:$C$1946, pivot!$A$2:$A$1946, endirim!B127)),
  pivot!$D$2:$D$1946)</f>
        <v>28</v>
      </c>
      <c r="E127" s="3" t="str" cm="1">
        <f t="array" ref="E127">_xlfn.XLOOKUP(1,
    (pivot!$A$2:$A$1946=endirim!B127) * (pivot!$D$2:$D$1946 = _xlfn.MAXIFS(pivot!$D$2:$D$1946, pivot!$A$2:$A$1946, endirim!B127)),
    pivot!$B$2:$B$1946)</f>
        <v>OwnsComputer</v>
      </c>
      <c r="F127" s="22">
        <f>_xlfn.MAXIFS(pivot!$D$2:$D$1946, pivot!$A$2:$A$1946, endirim!B127)</f>
        <v>62</v>
      </c>
      <c r="G127" s="3" t="str">
        <f t="shared" si="1"/>
        <v>OwnsComputer Kompaniyasını 20% endirimlə təklif et</v>
      </c>
    </row>
    <row r="128" spans="2:7" x14ac:dyDescent="0.3">
      <c r="B128" t="s">
        <v>182</v>
      </c>
      <c r="C128" s="3" t="str" cm="1">
        <f t="array" ref="C128">_xlfn.XLOOKUP(1,(pivot!$A$2:$A$1946=Table3[[#This Row],[Müştəri adı]])*(pivot!$C$2:$C$1946=_xlfn.MAXIFS(pivot!$C$2:$C$1946,pivot!$A$2:$A$1946,Table3[[#This Row],[Müştəri adı]])),pivot!$B$2:$B$1946)</f>
        <v>RVOwner</v>
      </c>
      <c r="D128" s="22" cm="1">
        <f t="array" ref="D128">_xlfn.XLOOKUP(1,
  (pivot!$A$2:$A$1946=endirim!B128) * (pivot!$C$2:$C$1946 = _xlfn.MAXIFS(pivot!$C$2:$C$1946, pivot!$A$2:$A$1946, endirim!B128)),
  pivot!$D$2:$D$1946)</f>
        <v>22</v>
      </c>
      <c r="E128" s="3" t="str" cm="1">
        <f t="array" ref="E128">_xlfn.XLOOKUP(1,
    (pivot!$A$2:$A$1946=endirim!B128) * (pivot!$D$2:$D$1946 = _xlfn.MAXIFS(pivot!$D$2:$D$1946, pivot!$A$2:$A$1946, endirim!B128)),
    pivot!$B$2:$B$1946)</f>
        <v>OwnsComputer</v>
      </c>
      <c r="F128" s="22">
        <f>_xlfn.MAXIFS(pivot!$D$2:$D$1946, pivot!$A$2:$A$1946, endirim!B128)</f>
        <v>62</v>
      </c>
      <c r="G128" s="3" t="str">
        <f t="shared" si="1"/>
        <v>OwnsComputer Kompaniyasını 20% endirimlə təklif et</v>
      </c>
    </row>
    <row r="129" spans="2:7" x14ac:dyDescent="0.3">
      <c r="B129" t="s">
        <v>183</v>
      </c>
      <c r="C129" s="3" t="str" cm="1">
        <f t="array" ref="C129">_xlfn.XLOOKUP(1,(pivot!$A$2:$A$1946=Table3[[#This Row],[Müştəri adı]])*(pivot!$C$2:$C$1946=_xlfn.MAXIFS(pivot!$C$2:$C$1946,pivot!$A$2:$A$1946,Table3[[#This Row],[Müştəri adı]])),pivot!$B$2:$B$1946)</f>
        <v>ChildrenInHH</v>
      </c>
      <c r="D129" s="22" cm="1">
        <f t="array" ref="D129">_xlfn.XLOOKUP(1,
  (pivot!$A$2:$A$1946=endirim!B129) * (pivot!$C$2:$C$1946 = _xlfn.MAXIFS(pivot!$C$2:$C$1946, pivot!$A$2:$A$1946, endirim!B129)),
  pivot!$D$2:$D$1946)</f>
        <v>10</v>
      </c>
      <c r="E129" s="3" t="str" cm="1">
        <f t="array" ref="E129">_xlfn.XLOOKUP(1,
    (pivot!$A$2:$A$1946=endirim!B129) * (pivot!$D$2:$D$1946 = _xlfn.MAXIFS(pivot!$D$2:$D$1946, pivot!$A$2:$A$1946, endirim!B129)),
    pivot!$B$2:$B$1946)</f>
        <v>HasCreditCard</v>
      </c>
      <c r="F129" s="22">
        <f>_xlfn.MAXIFS(pivot!$D$2:$D$1946, pivot!$A$2:$A$1946, endirim!B129)</f>
        <v>65</v>
      </c>
      <c r="G129" s="3" t="str">
        <f t="shared" si="1"/>
        <v>HasCreditCard Kompaniyasını 20% endirimlə təklif et</v>
      </c>
    </row>
    <row r="130" spans="2:7" x14ac:dyDescent="0.3">
      <c r="B130" t="s">
        <v>184</v>
      </c>
      <c r="C130" s="3" t="str" cm="1">
        <f t="array" ref="C130">_xlfn.XLOOKUP(1,(pivot!$A$2:$A$1946=Table3[[#This Row],[Müştəri adı]])*(pivot!$C$2:$C$1946=_xlfn.MAXIFS(pivot!$C$2:$C$1946,pivot!$A$2:$A$1946,Table3[[#This Row],[Müştəri adı]])),pivot!$B$2:$B$1946)</f>
        <v>RespondsToMailOffers</v>
      </c>
      <c r="D130" s="22" cm="1">
        <f t="array" ref="D130">_xlfn.XLOOKUP(1,
  (pivot!$A$2:$A$1946=endirim!B130) * (pivot!$C$2:$C$1946 = _xlfn.MAXIFS(pivot!$C$2:$C$1946, pivot!$A$2:$A$1946, endirim!B130)),
  pivot!$D$2:$D$1946)</f>
        <v>27</v>
      </c>
      <c r="E130" s="3" t="str" cm="1">
        <f t="array" ref="E130">_xlfn.XLOOKUP(1,
    (pivot!$A$2:$A$1946=endirim!B130) * (pivot!$D$2:$D$1946 = _xlfn.MAXIFS(pivot!$D$2:$D$1946, pivot!$A$2:$A$1946, endirim!B130)),
    pivot!$B$2:$B$1946)</f>
        <v>RespondsToMailOffers</v>
      </c>
      <c r="F130" s="22">
        <f>_xlfn.MAXIFS(pivot!$D$2:$D$1946, pivot!$A$2:$A$1946, endirim!B130)</f>
        <v>27</v>
      </c>
      <c r="G130" s="3" t="str">
        <f t="shared" si="1"/>
        <v>Təklif yoxdur</v>
      </c>
    </row>
    <row r="131" spans="2:7" x14ac:dyDescent="0.3">
      <c r="B131" t="s">
        <v>185</v>
      </c>
      <c r="C131" s="3" t="str" cm="1">
        <f t="array" ref="C131">_xlfn.XLOOKUP(1,(pivot!$A$2:$A$1946=Table3[[#This Row],[Müştəri adı]])*(pivot!$C$2:$C$1946=_xlfn.MAXIFS(pivot!$C$2:$C$1946,pivot!$A$2:$A$1946,Table3[[#This Row],[Müştəri adı]])),pivot!$B$2:$B$1946)</f>
        <v>RespondsToMailOffers</v>
      </c>
      <c r="D131" s="22" cm="1">
        <f t="array" ref="D131">_xlfn.XLOOKUP(1,
  (pivot!$A$2:$A$1946=endirim!B131) * (pivot!$C$2:$C$1946 = _xlfn.MAXIFS(pivot!$C$2:$C$1946, pivot!$A$2:$A$1946, endirim!B131)),
  pivot!$D$2:$D$1946)</f>
        <v>27</v>
      </c>
      <c r="E131" s="3" t="str" cm="1">
        <f t="array" ref="E131">_xlfn.XLOOKUP(1,
    (pivot!$A$2:$A$1946=endirim!B131) * (pivot!$D$2:$D$1946 = _xlfn.MAXIFS(pivot!$D$2:$D$1946, pivot!$A$2:$A$1946, endirim!B131)),
    pivot!$B$2:$B$1946)</f>
        <v>HasCreditCard</v>
      </c>
      <c r="F131" s="22">
        <f>_xlfn.MAXIFS(pivot!$D$2:$D$1946, pivot!$A$2:$A$1946, endirim!B131)</f>
        <v>65</v>
      </c>
      <c r="G131" s="3" t="str">
        <f t="shared" si="1"/>
        <v>HasCreditCard Kompaniyasını 20% endirimlə təklif et</v>
      </c>
    </row>
    <row r="132" spans="2:7" x14ac:dyDescent="0.3">
      <c r="B132" t="s">
        <v>186</v>
      </c>
      <c r="C132" s="3" t="str" cm="1">
        <f t="array" ref="C132">_xlfn.XLOOKUP(1,(pivot!$A$2:$A$1946=Table3[[#This Row],[Müştəri adı]])*(pivot!$C$2:$C$1946=_xlfn.MAXIFS(pivot!$C$2:$C$1946,pivot!$A$2:$A$1946,Table3[[#This Row],[Müştəri adı]])),pivot!$B$2:$B$1946)</f>
        <v>RespondsToMailOffers</v>
      </c>
      <c r="D132" s="22" cm="1">
        <f t="array" ref="D132">_xlfn.XLOOKUP(1,
  (pivot!$A$2:$A$1946=endirim!B132) * (pivot!$C$2:$C$1946 = _xlfn.MAXIFS(pivot!$C$2:$C$1946, pivot!$A$2:$A$1946, endirim!B132)),
  pivot!$D$2:$D$1946)</f>
        <v>27</v>
      </c>
      <c r="E132" s="3" t="str" cm="1">
        <f t="array" ref="E132">_xlfn.XLOOKUP(1,
    (pivot!$A$2:$A$1946=endirim!B132) * (pivot!$D$2:$D$1946 = _xlfn.MAXIFS(pivot!$D$2:$D$1946, pivot!$A$2:$A$1946, endirim!B132)),
    pivot!$B$2:$B$1946)</f>
        <v>RespondsToMailOffers</v>
      </c>
      <c r="F132" s="22">
        <f>_xlfn.MAXIFS(pivot!$D$2:$D$1946, pivot!$A$2:$A$1946, endirim!B132)</f>
        <v>27</v>
      </c>
      <c r="G132" s="3" t="str">
        <f t="shared" ref="G132:G195" si="2">IF(D132=F132, "Təklif yoxdur", E132&amp;" Kompaniyasını 20% endirimlə təklif et")</f>
        <v>Təklif yoxdur</v>
      </c>
    </row>
    <row r="133" spans="2:7" x14ac:dyDescent="0.3">
      <c r="B133" t="s">
        <v>187</v>
      </c>
      <c r="C133" s="3" t="str" cm="1">
        <f t="array" ref="C133">_xlfn.XLOOKUP(1,(pivot!$A$2:$A$1946=Table3[[#This Row],[Müştəri adı]])*(pivot!$C$2:$C$1946=_xlfn.MAXIFS(pivot!$C$2:$C$1946,pivot!$A$2:$A$1946,Table3[[#This Row],[Müştəri adı]])),pivot!$B$2:$B$1946)</f>
        <v>BuysViaMailOrder</v>
      </c>
      <c r="D133" s="22" cm="1">
        <f t="array" ref="D133">_xlfn.XLOOKUP(1,
  (pivot!$A$2:$A$1946=endirim!B133) * (pivot!$C$2:$C$1946 = _xlfn.MAXIFS(pivot!$C$2:$C$1946, pivot!$A$2:$A$1946, endirim!B133)),
  pivot!$D$2:$D$1946)</f>
        <v>25</v>
      </c>
      <c r="E133" s="3" t="str" cm="1">
        <f t="array" ref="E133">_xlfn.XLOOKUP(1,
    (pivot!$A$2:$A$1946=endirim!B133) * (pivot!$D$2:$D$1946 = _xlfn.MAXIFS(pivot!$D$2:$D$1946, pivot!$A$2:$A$1946, endirim!B133)),
    pivot!$B$2:$B$1946)</f>
        <v>BuysViaMailOrder</v>
      </c>
      <c r="F133" s="22">
        <f>_xlfn.MAXIFS(pivot!$D$2:$D$1946, pivot!$A$2:$A$1946, endirim!B133)</f>
        <v>25</v>
      </c>
      <c r="G133" s="3" t="str">
        <f t="shared" si="2"/>
        <v>Təklif yoxdur</v>
      </c>
    </row>
    <row r="134" spans="2:7" x14ac:dyDescent="0.3">
      <c r="B134" t="s">
        <v>188</v>
      </c>
      <c r="C134" s="3" t="str" cm="1">
        <f t="array" ref="C134">_xlfn.XLOOKUP(1,(pivot!$A$2:$A$1946=Table3[[#This Row],[Müştəri adı]])*(pivot!$C$2:$C$1946=_xlfn.MAXIFS(pivot!$C$2:$C$1946,pivot!$A$2:$A$1946,Table3[[#This Row],[Müştəri adı]])),pivot!$B$2:$B$1946)</f>
        <v>OwnsComputer</v>
      </c>
      <c r="D134" s="22" cm="1">
        <f t="array" ref="D134">_xlfn.XLOOKUP(1,
  (pivot!$A$2:$A$1946=endirim!B134) * (pivot!$C$2:$C$1946 = _xlfn.MAXIFS(pivot!$C$2:$C$1946, pivot!$A$2:$A$1946, endirim!B134)),
  pivot!$D$2:$D$1946)</f>
        <v>62</v>
      </c>
      <c r="E134" s="3" t="str" cm="1">
        <f t="array" ref="E134">_xlfn.XLOOKUP(1,
    (pivot!$A$2:$A$1946=endirim!B134) * (pivot!$D$2:$D$1946 = _xlfn.MAXIFS(pivot!$D$2:$D$1946, pivot!$A$2:$A$1946, endirim!B134)),
    pivot!$B$2:$B$1946)</f>
        <v>OwnsComputer</v>
      </c>
      <c r="F134" s="22">
        <f>_xlfn.MAXIFS(pivot!$D$2:$D$1946, pivot!$A$2:$A$1946, endirim!B134)</f>
        <v>62</v>
      </c>
      <c r="G134" s="3" t="str">
        <f t="shared" si="2"/>
        <v>Təklif yoxdur</v>
      </c>
    </row>
    <row r="135" spans="2:7" x14ac:dyDescent="0.3">
      <c r="B135" t="s">
        <v>189</v>
      </c>
      <c r="C135" s="3" t="str" cm="1">
        <f t="array" ref="C135">_xlfn.XLOOKUP(1,(pivot!$A$2:$A$1946=Table3[[#This Row],[Müştəri adı]])*(pivot!$C$2:$C$1946=_xlfn.MAXIFS(pivot!$C$2:$C$1946,pivot!$A$2:$A$1946,Table3[[#This Row],[Müştəri adı]])),pivot!$B$2:$B$1946)</f>
        <v>Homeownership</v>
      </c>
      <c r="D135" s="22" cm="1">
        <f t="array" ref="D135">_xlfn.XLOOKUP(1,
  (pivot!$A$2:$A$1946=endirim!B135) * (pivot!$C$2:$C$1946 = _xlfn.MAXIFS(pivot!$C$2:$C$1946, pivot!$A$2:$A$1946, endirim!B135)),
  pivot!$D$2:$D$1946)</f>
        <v>13</v>
      </c>
      <c r="E135" s="3" t="str" cm="1">
        <f t="array" ref="E135">_xlfn.XLOOKUP(1,
    (pivot!$A$2:$A$1946=endirim!B135) * (pivot!$D$2:$D$1946 = _xlfn.MAXIFS(pivot!$D$2:$D$1946, pivot!$A$2:$A$1946, endirim!B135)),
    pivot!$B$2:$B$1946)</f>
        <v>MaritalStatus</v>
      </c>
      <c r="F135" s="22">
        <f>_xlfn.MAXIFS(pivot!$D$2:$D$1946, pivot!$A$2:$A$1946, endirim!B135)</f>
        <v>29</v>
      </c>
      <c r="G135" s="3" t="str">
        <f t="shared" si="2"/>
        <v>MaritalStatus Kompaniyasını 20% endirimlə təklif et</v>
      </c>
    </row>
    <row r="136" spans="2:7" x14ac:dyDescent="0.3">
      <c r="B136" t="s">
        <v>190</v>
      </c>
      <c r="C136" s="3" t="str" cm="1">
        <f t="array" ref="C136">_xlfn.XLOOKUP(1,(pivot!$A$2:$A$1946=Table3[[#This Row],[Müştəri adı]])*(pivot!$C$2:$C$1946=_xlfn.MAXIFS(pivot!$C$2:$C$1946,pivot!$A$2:$A$1946,Table3[[#This Row],[Müştəri adı]])),pivot!$B$2:$B$1946)</f>
        <v>MaritalStatus</v>
      </c>
      <c r="D136" s="22" cm="1">
        <f t="array" ref="D136">_xlfn.XLOOKUP(1,
  (pivot!$A$2:$A$1946=endirim!B136) * (pivot!$C$2:$C$1946 = _xlfn.MAXIFS(pivot!$C$2:$C$1946, pivot!$A$2:$A$1946, endirim!B136)),
  pivot!$D$2:$D$1946)</f>
        <v>29</v>
      </c>
      <c r="E136" s="3" t="str" cm="1">
        <f t="array" ref="E136">_xlfn.XLOOKUP(1,
    (pivot!$A$2:$A$1946=endirim!B136) * (pivot!$D$2:$D$1946 = _xlfn.MAXIFS(pivot!$D$2:$D$1946, pivot!$A$2:$A$1946, endirim!B136)),
    pivot!$B$2:$B$1946)</f>
        <v>MaritalStatus</v>
      </c>
      <c r="F136" s="22">
        <f>_xlfn.MAXIFS(pivot!$D$2:$D$1946, pivot!$A$2:$A$1946, endirim!B136)</f>
        <v>29</v>
      </c>
      <c r="G136" s="3" t="str">
        <f t="shared" si="2"/>
        <v>Təklif yoxdur</v>
      </c>
    </row>
    <row r="137" spans="2:7" x14ac:dyDescent="0.3">
      <c r="B137" t="s">
        <v>191</v>
      </c>
      <c r="C137" s="3" t="str" cm="1">
        <f t="array" ref="C137">_xlfn.XLOOKUP(1,(pivot!$A$2:$A$1946=Table3[[#This Row],[Müştəri adı]])*(pivot!$C$2:$C$1946=_xlfn.MAXIFS(pivot!$C$2:$C$1946,pivot!$A$2:$A$1946,Table3[[#This Row],[Müştəri adı]])),pivot!$B$2:$B$1946)</f>
        <v>HandsetRefurbished</v>
      </c>
      <c r="D137" s="22" cm="1">
        <f t="array" ref="D137">_xlfn.XLOOKUP(1,
  (pivot!$A$2:$A$1946=endirim!B137) * (pivot!$C$2:$C$1946 = _xlfn.MAXIFS(pivot!$C$2:$C$1946, pivot!$A$2:$A$1946, endirim!B137)),
  pivot!$D$2:$D$1946)</f>
        <v>26</v>
      </c>
      <c r="E137" s="3" t="str" cm="1">
        <f t="array" ref="E137">_xlfn.XLOOKUP(1,
    (pivot!$A$2:$A$1946=endirim!B137) * (pivot!$D$2:$D$1946 = _xlfn.MAXIFS(pivot!$D$2:$D$1946, pivot!$A$2:$A$1946, endirim!B137)),
    pivot!$B$2:$B$1946)</f>
        <v>NotNewCellphoneUser</v>
      </c>
      <c r="F137" s="22">
        <f>_xlfn.MAXIFS(pivot!$D$2:$D$1946, pivot!$A$2:$A$1946, endirim!B137)</f>
        <v>28</v>
      </c>
      <c r="G137" s="3" t="str">
        <f t="shared" si="2"/>
        <v>NotNewCellphoneUser Kompaniyasını 20% endirimlə təklif et</v>
      </c>
    </row>
    <row r="138" spans="2:7" x14ac:dyDescent="0.3">
      <c r="B138" t="s">
        <v>192</v>
      </c>
      <c r="C138" s="3" t="str" cm="1">
        <f t="array" ref="C138">_xlfn.XLOOKUP(1,(pivot!$A$2:$A$1946=Table3[[#This Row],[Müştəri adı]])*(pivot!$C$2:$C$1946=_xlfn.MAXIFS(pivot!$C$2:$C$1946,pivot!$A$2:$A$1946,Table3[[#This Row],[Müştəri adı]])),pivot!$B$2:$B$1946)</f>
        <v>BuysViaMailOrder</v>
      </c>
      <c r="D138" s="22" cm="1">
        <f t="array" ref="D138">_xlfn.XLOOKUP(1,
  (pivot!$A$2:$A$1946=endirim!B138) * (pivot!$C$2:$C$1946 = _xlfn.MAXIFS(pivot!$C$2:$C$1946, pivot!$A$2:$A$1946, endirim!B138)),
  pivot!$D$2:$D$1946)</f>
        <v>25</v>
      </c>
      <c r="E138" s="3" t="str" cm="1">
        <f t="array" ref="E138">_xlfn.XLOOKUP(1,
    (pivot!$A$2:$A$1946=endirim!B138) * (pivot!$D$2:$D$1946 = _xlfn.MAXIFS(pivot!$D$2:$D$1946, pivot!$A$2:$A$1946, endirim!B138)),
    pivot!$B$2:$B$1946)</f>
        <v>RespondsToMailOffers</v>
      </c>
      <c r="F138" s="22">
        <f>_xlfn.MAXIFS(pivot!$D$2:$D$1946, pivot!$A$2:$A$1946, endirim!B138)</f>
        <v>27</v>
      </c>
      <c r="G138" s="3" t="str">
        <f t="shared" si="2"/>
        <v>RespondsToMailOffers Kompaniyasını 20% endirimlə təklif et</v>
      </c>
    </row>
    <row r="139" spans="2:7" x14ac:dyDescent="0.3">
      <c r="B139" t="s">
        <v>193</v>
      </c>
      <c r="C139" s="3" t="str" cm="1">
        <f t="array" ref="C139">_xlfn.XLOOKUP(1,(pivot!$A$2:$A$1946=Table3[[#This Row],[Müştəri adı]])*(pivot!$C$2:$C$1946=_xlfn.MAXIFS(pivot!$C$2:$C$1946,pivot!$A$2:$A$1946,Table3[[#This Row],[Müştəri adı]])),pivot!$B$2:$B$1946)</f>
        <v>Homeownership</v>
      </c>
      <c r="D139" s="22" cm="1">
        <f t="array" ref="D139">_xlfn.XLOOKUP(1,
  (pivot!$A$2:$A$1946=endirim!B139) * (pivot!$C$2:$C$1946 = _xlfn.MAXIFS(pivot!$C$2:$C$1946, pivot!$A$2:$A$1946, endirim!B139)),
  pivot!$D$2:$D$1946)</f>
        <v>13</v>
      </c>
      <c r="E139" s="3" t="str" cm="1">
        <f t="array" ref="E139">_xlfn.XLOOKUP(1,
    (pivot!$A$2:$A$1946=endirim!B139) * (pivot!$D$2:$D$1946 = _xlfn.MAXIFS(pivot!$D$2:$D$1946, pivot!$A$2:$A$1946, endirim!B139)),
    pivot!$B$2:$B$1946)</f>
        <v>NewCellphoneUser</v>
      </c>
      <c r="F139" s="22">
        <f>_xlfn.MAXIFS(pivot!$D$2:$D$1946, pivot!$A$2:$A$1946, endirim!B139)</f>
        <v>25</v>
      </c>
      <c r="G139" s="3" t="str">
        <f t="shared" si="2"/>
        <v>NewCellphoneUser Kompaniyasını 20% endirimlə təklif et</v>
      </c>
    </row>
    <row r="140" spans="2:7" x14ac:dyDescent="0.3">
      <c r="B140" t="s">
        <v>194</v>
      </c>
      <c r="C140" s="3" t="str" cm="1">
        <f t="array" ref="C140">_xlfn.XLOOKUP(1,(pivot!$A$2:$A$1946=Table3[[#This Row],[Müştəri adı]])*(pivot!$C$2:$C$1946=_xlfn.MAXIFS(pivot!$C$2:$C$1946,pivot!$A$2:$A$1946,Table3[[#This Row],[Müştəri adı]])),pivot!$B$2:$B$1946)</f>
        <v>MaritalStatus</v>
      </c>
      <c r="D140" s="22" cm="1">
        <f t="array" ref="D140">_xlfn.XLOOKUP(1,
  (pivot!$A$2:$A$1946=endirim!B140) * (pivot!$C$2:$C$1946 = _xlfn.MAXIFS(pivot!$C$2:$C$1946, pivot!$A$2:$A$1946, endirim!B140)),
  pivot!$D$2:$D$1946)</f>
        <v>29</v>
      </c>
      <c r="E140" s="3" t="str" cm="1">
        <f t="array" ref="E140">_xlfn.XLOOKUP(1,
    (pivot!$A$2:$A$1946=endirim!B140) * (pivot!$D$2:$D$1946 = _xlfn.MAXIFS(pivot!$D$2:$D$1946, pivot!$A$2:$A$1946, endirim!B140)),
    pivot!$B$2:$B$1946)</f>
        <v>OptOutMailings</v>
      </c>
      <c r="F140" s="22">
        <f>_xlfn.MAXIFS(pivot!$D$2:$D$1946, pivot!$A$2:$A$1946, endirim!B140)</f>
        <v>75</v>
      </c>
      <c r="G140" s="3" t="str">
        <f t="shared" si="2"/>
        <v>OptOutMailings Kompaniyasını 20% endirimlə təklif et</v>
      </c>
    </row>
    <row r="141" spans="2:7" x14ac:dyDescent="0.3">
      <c r="B141" t="s">
        <v>195</v>
      </c>
      <c r="C141" s="3" t="str" cm="1">
        <f t="array" ref="C141">_xlfn.XLOOKUP(1,(pivot!$A$2:$A$1946=Table3[[#This Row],[Müştəri adı]])*(pivot!$C$2:$C$1946=_xlfn.MAXIFS(pivot!$C$2:$C$1946,pivot!$A$2:$A$1946,Table3[[#This Row],[Müştəri adı]])),pivot!$B$2:$B$1946)</f>
        <v>HasCreditCard</v>
      </c>
      <c r="D141" s="22" cm="1">
        <f t="array" ref="D141">_xlfn.XLOOKUP(1,
  (pivot!$A$2:$A$1946=endirim!B141) * (pivot!$C$2:$C$1946 = _xlfn.MAXIFS(pivot!$C$2:$C$1946, pivot!$A$2:$A$1946, endirim!B141)),
  pivot!$D$2:$D$1946)</f>
        <v>65</v>
      </c>
      <c r="E141" s="3" t="str" cm="1">
        <f t="array" ref="E141">_xlfn.XLOOKUP(1,
    (pivot!$A$2:$A$1946=endirim!B141) * (pivot!$D$2:$D$1946 = _xlfn.MAXIFS(pivot!$D$2:$D$1946, pivot!$A$2:$A$1946, endirim!B141)),
    pivot!$B$2:$B$1946)</f>
        <v>OptOutMailings</v>
      </c>
      <c r="F141" s="22">
        <f>_xlfn.MAXIFS(pivot!$D$2:$D$1946, pivot!$A$2:$A$1946, endirim!B141)</f>
        <v>75</v>
      </c>
      <c r="G141" s="3" t="str">
        <f t="shared" si="2"/>
        <v>OptOutMailings Kompaniyasını 20% endirimlə təklif et</v>
      </c>
    </row>
    <row r="142" spans="2:7" x14ac:dyDescent="0.3">
      <c r="B142" t="s">
        <v>196</v>
      </c>
      <c r="C142" s="3" t="str" cm="1">
        <f t="array" ref="C142">_xlfn.XLOOKUP(1,(pivot!$A$2:$A$1946=Table3[[#This Row],[Müştəri adı]])*(pivot!$C$2:$C$1946=_xlfn.MAXIFS(pivot!$C$2:$C$1946,pivot!$A$2:$A$1946,Table3[[#This Row],[Müştəri adı]])),pivot!$B$2:$B$1946)</f>
        <v>OptOutMailings</v>
      </c>
      <c r="D142" s="22" cm="1">
        <f t="array" ref="D142">_xlfn.XLOOKUP(1,
  (pivot!$A$2:$A$1946=endirim!B142) * (pivot!$C$2:$C$1946 = _xlfn.MAXIFS(pivot!$C$2:$C$1946, pivot!$A$2:$A$1946, endirim!B142)),
  pivot!$D$2:$D$1946)</f>
        <v>75</v>
      </c>
      <c r="E142" s="3" t="str" cm="1">
        <f t="array" ref="E142">_xlfn.XLOOKUP(1,
    (pivot!$A$2:$A$1946=endirim!B142) * (pivot!$D$2:$D$1946 = _xlfn.MAXIFS(pivot!$D$2:$D$1946, pivot!$A$2:$A$1946, endirim!B142)),
    pivot!$B$2:$B$1946)</f>
        <v>OptOutMailings</v>
      </c>
      <c r="F142" s="22">
        <f>_xlfn.MAXIFS(pivot!$D$2:$D$1946, pivot!$A$2:$A$1946, endirim!B142)</f>
        <v>75</v>
      </c>
      <c r="G142" s="3" t="str">
        <f t="shared" si="2"/>
        <v>Təklif yoxdur</v>
      </c>
    </row>
    <row r="143" spans="2:7" x14ac:dyDescent="0.3">
      <c r="B143" t="s">
        <v>197</v>
      </c>
      <c r="C143" s="3" t="str" cm="1">
        <f t="array" ref="C143">_xlfn.XLOOKUP(1,(pivot!$A$2:$A$1946=Table3[[#This Row],[Müştəri adı]])*(pivot!$C$2:$C$1946=_xlfn.MAXIFS(pivot!$C$2:$C$1946,pivot!$A$2:$A$1946,Table3[[#This Row],[Müştəri adı]])),pivot!$B$2:$B$1946)</f>
        <v>NewCellphoneUser</v>
      </c>
      <c r="D143" s="22" cm="1">
        <f t="array" ref="D143">_xlfn.XLOOKUP(1,
  (pivot!$A$2:$A$1946=endirim!B143) * (pivot!$C$2:$C$1946 = _xlfn.MAXIFS(pivot!$C$2:$C$1946, pivot!$A$2:$A$1946, endirim!B143)),
  pivot!$D$2:$D$1946)</f>
        <v>25</v>
      </c>
      <c r="E143" s="3" t="str" cm="1">
        <f t="array" ref="E143">_xlfn.XLOOKUP(1,
    (pivot!$A$2:$A$1946=endirim!B143) * (pivot!$D$2:$D$1946 = _xlfn.MAXIFS(pivot!$D$2:$D$1946, pivot!$A$2:$A$1946, endirim!B143)),
    pivot!$B$2:$B$1946)</f>
        <v>NewCellphoneUser</v>
      </c>
      <c r="F143" s="22">
        <f>_xlfn.MAXIFS(pivot!$D$2:$D$1946, pivot!$A$2:$A$1946, endirim!B143)</f>
        <v>25</v>
      </c>
      <c r="G143" s="3" t="str">
        <f t="shared" si="2"/>
        <v>Təklif yoxdur</v>
      </c>
    </row>
    <row r="144" spans="2:7" x14ac:dyDescent="0.3">
      <c r="B144" t="s">
        <v>198</v>
      </c>
      <c r="C144" s="3" t="str" cm="1">
        <f t="array" ref="C144">_xlfn.XLOOKUP(1,(pivot!$A$2:$A$1946=Table3[[#This Row],[Müştəri adı]])*(pivot!$C$2:$C$1946=_xlfn.MAXIFS(pivot!$C$2:$C$1946,pivot!$A$2:$A$1946,Table3[[#This Row],[Müştəri adı]])),pivot!$B$2:$B$1946)</f>
        <v>RVOwner</v>
      </c>
      <c r="D144" s="22" cm="1">
        <f t="array" ref="D144">_xlfn.XLOOKUP(1,
  (pivot!$A$2:$A$1946=endirim!B144) * (pivot!$C$2:$C$1946 = _xlfn.MAXIFS(pivot!$C$2:$C$1946, pivot!$A$2:$A$1946, endirim!B144)),
  pivot!$D$2:$D$1946)</f>
        <v>22</v>
      </c>
      <c r="E144" s="3" t="str" cm="1">
        <f t="array" ref="E144">_xlfn.XLOOKUP(1,
    (pivot!$A$2:$A$1946=endirim!B144) * (pivot!$D$2:$D$1946 = _xlfn.MAXIFS(pivot!$D$2:$D$1946, pivot!$A$2:$A$1946, endirim!B144)),
    pivot!$B$2:$B$1946)</f>
        <v>RVOwner</v>
      </c>
      <c r="F144" s="22">
        <f>_xlfn.MAXIFS(pivot!$D$2:$D$1946, pivot!$A$2:$A$1946, endirim!B144)</f>
        <v>22</v>
      </c>
      <c r="G144" s="3" t="str">
        <f t="shared" si="2"/>
        <v>Təklif yoxdur</v>
      </c>
    </row>
    <row r="145" spans="2:7" x14ac:dyDescent="0.3">
      <c r="B145" t="s">
        <v>199</v>
      </c>
      <c r="C145" s="3" t="str" cm="1">
        <f t="array" ref="C145">_xlfn.XLOOKUP(1,(pivot!$A$2:$A$1946=Table3[[#This Row],[Müştəri adı]])*(pivot!$C$2:$C$1946=_xlfn.MAXIFS(pivot!$C$2:$C$1946,pivot!$A$2:$A$1946,Table3[[#This Row],[Müştəri adı]])),pivot!$B$2:$B$1946)</f>
        <v>HandsetWebCapable</v>
      </c>
      <c r="D145" s="22" cm="1">
        <f t="array" ref="D145">_xlfn.XLOOKUP(1,
  (pivot!$A$2:$A$1946=endirim!B145) * (pivot!$C$2:$C$1946 = _xlfn.MAXIFS(pivot!$C$2:$C$1946, pivot!$A$2:$A$1946, endirim!B145)),
  pivot!$D$2:$D$1946)</f>
        <v>62</v>
      </c>
      <c r="E145" s="3" t="str" cm="1">
        <f t="array" ref="E145">_xlfn.XLOOKUP(1,
    (pivot!$A$2:$A$1946=endirim!B145) * (pivot!$D$2:$D$1946 = _xlfn.MAXIFS(pivot!$D$2:$D$1946, pivot!$A$2:$A$1946, endirim!B145)),
    pivot!$B$2:$B$1946)</f>
        <v>HandsetWebCapable</v>
      </c>
      <c r="F145" s="22">
        <f>_xlfn.MAXIFS(pivot!$D$2:$D$1946, pivot!$A$2:$A$1946, endirim!B145)</f>
        <v>62</v>
      </c>
      <c r="G145" s="3" t="str">
        <f t="shared" si="2"/>
        <v>Təklif yoxdur</v>
      </c>
    </row>
    <row r="146" spans="2:7" x14ac:dyDescent="0.3">
      <c r="B146" t="s">
        <v>200</v>
      </c>
      <c r="C146" s="3" t="str" cm="1">
        <f t="array" ref="C146">_xlfn.XLOOKUP(1,(pivot!$A$2:$A$1946=Table3[[#This Row],[Müştəri adı]])*(pivot!$C$2:$C$1946=_xlfn.MAXIFS(pivot!$C$2:$C$1946,pivot!$A$2:$A$1946,Table3[[#This Row],[Müştəri adı]])),pivot!$B$2:$B$1946)</f>
        <v>NonUSTravel</v>
      </c>
      <c r="D146" s="22" cm="1">
        <f t="array" ref="D146">_xlfn.XLOOKUP(1,
  (pivot!$A$2:$A$1946=endirim!B146) * (pivot!$C$2:$C$1946 = _xlfn.MAXIFS(pivot!$C$2:$C$1946, pivot!$A$2:$A$1946, endirim!B146)),
  pivot!$D$2:$D$1946)</f>
        <v>66</v>
      </c>
      <c r="E146" s="3" t="str" cm="1">
        <f t="array" ref="E146">_xlfn.XLOOKUP(1,
    (pivot!$A$2:$A$1946=endirim!B146) * (pivot!$D$2:$D$1946 = _xlfn.MAXIFS(pivot!$D$2:$D$1946, pivot!$A$2:$A$1946, endirim!B146)),
    pivot!$B$2:$B$1946)</f>
        <v>OptOutMailings</v>
      </c>
      <c r="F146" s="22">
        <f>_xlfn.MAXIFS(pivot!$D$2:$D$1946, pivot!$A$2:$A$1946, endirim!B146)</f>
        <v>75</v>
      </c>
      <c r="G146" s="3" t="str">
        <f t="shared" si="2"/>
        <v>OptOutMailings Kompaniyasını 20% endirimlə təklif et</v>
      </c>
    </row>
    <row r="147" spans="2:7" x14ac:dyDescent="0.3">
      <c r="B147" t="s">
        <v>201</v>
      </c>
      <c r="C147" s="3" t="str" cm="1">
        <f t="array" ref="C147">_xlfn.XLOOKUP(1,(pivot!$A$2:$A$1946=Table3[[#This Row],[Müştəri adı]])*(pivot!$C$2:$C$1946=_xlfn.MAXIFS(pivot!$C$2:$C$1946,pivot!$A$2:$A$1946,Table3[[#This Row],[Müştəri adı]])),pivot!$B$2:$B$1946)</f>
        <v>NotNewCellphoneUser</v>
      </c>
      <c r="D147" s="22" cm="1">
        <f t="array" ref="D147">_xlfn.XLOOKUP(1,
  (pivot!$A$2:$A$1946=endirim!B147) * (pivot!$C$2:$C$1946 = _xlfn.MAXIFS(pivot!$C$2:$C$1946, pivot!$A$2:$A$1946, endirim!B147)),
  pivot!$D$2:$D$1946)</f>
        <v>28</v>
      </c>
      <c r="E147" s="3" t="str" cm="1">
        <f t="array" ref="E147">_xlfn.XLOOKUP(1,
    (pivot!$A$2:$A$1946=endirim!B147) * (pivot!$D$2:$D$1946 = _xlfn.MAXIFS(pivot!$D$2:$D$1946, pivot!$A$2:$A$1946, endirim!B147)),
    pivot!$B$2:$B$1946)</f>
        <v>MaritalStatus</v>
      </c>
      <c r="F147" s="22">
        <f>_xlfn.MAXIFS(pivot!$D$2:$D$1946, pivot!$A$2:$A$1946, endirim!B147)</f>
        <v>29</v>
      </c>
      <c r="G147" s="3" t="str">
        <f t="shared" si="2"/>
        <v>MaritalStatus Kompaniyasını 20% endirimlə təklif et</v>
      </c>
    </row>
    <row r="148" spans="2:7" x14ac:dyDescent="0.3">
      <c r="B148" t="s">
        <v>202</v>
      </c>
      <c r="C148" s="3" t="str" cm="1">
        <f t="array" ref="C148">_xlfn.XLOOKUP(1,(pivot!$A$2:$A$1946=Table3[[#This Row],[Müştəri adı]])*(pivot!$C$2:$C$1946=_xlfn.MAXIFS(pivot!$C$2:$C$1946,pivot!$A$2:$A$1946,Table3[[#This Row],[Müştəri adı]])),pivot!$B$2:$B$1946)</f>
        <v>OwnsMotorcycle</v>
      </c>
      <c r="D148" s="22" cm="1">
        <f t="array" ref="D148">_xlfn.XLOOKUP(1,
  (pivot!$A$2:$A$1946=endirim!B148) * (pivot!$C$2:$C$1946 = _xlfn.MAXIFS(pivot!$C$2:$C$1946, pivot!$A$2:$A$1946, endirim!B148)),
  pivot!$D$2:$D$1946)</f>
        <v>14</v>
      </c>
      <c r="E148" s="3" t="str" cm="1">
        <f t="array" ref="E148">_xlfn.XLOOKUP(1,
    (pivot!$A$2:$A$1946=endirim!B148) * (pivot!$D$2:$D$1946 = _xlfn.MAXIFS(pivot!$D$2:$D$1946, pivot!$A$2:$A$1946, endirim!B148)),
    pivot!$B$2:$B$1946)</f>
        <v>MaritalStatus</v>
      </c>
      <c r="F148" s="22">
        <f>_xlfn.MAXIFS(pivot!$D$2:$D$1946, pivot!$A$2:$A$1946, endirim!B148)</f>
        <v>29</v>
      </c>
      <c r="G148" s="3" t="str">
        <f t="shared" si="2"/>
        <v>MaritalStatus Kompaniyasını 20% endirimlə təklif et</v>
      </c>
    </row>
    <row r="149" spans="2:7" x14ac:dyDescent="0.3">
      <c r="B149" t="s">
        <v>203</v>
      </c>
      <c r="C149" s="3" t="str" cm="1">
        <f t="array" ref="C149">_xlfn.XLOOKUP(1,(pivot!$A$2:$A$1946=Table3[[#This Row],[Müştəri adı]])*(pivot!$C$2:$C$1946=_xlfn.MAXIFS(pivot!$C$2:$C$1946,pivot!$A$2:$A$1946,Table3[[#This Row],[Müştəri adı]])),pivot!$B$2:$B$1946)</f>
        <v>HandsetWebCapable</v>
      </c>
      <c r="D149" s="22" cm="1">
        <f t="array" ref="D149">_xlfn.XLOOKUP(1,
  (pivot!$A$2:$A$1946=endirim!B149) * (pivot!$C$2:$C$1946 = _xlfn.MAXIFS(pivot!$C$2:$C$1946, pivot!$A$2:$A$1946, endirim!B149)),
  pivot!$D$2:$D$1946)</f>
        <v>62</v>
      </c>
      <c r="E149" s="3" t="str" cm="1">
        <f t="array" ref="E149">_xlfn.XLOOKUP(1,
    (pivot!$A$2:$A$1946=endirim!B149) * (pivot!$D$2:$D$1946 = _xlfn.MAXIFS(pivot!$D$2:$D$1946, pivot!$A$2:$A$1946, endirim!B149)),
    pivot!$B$2:$B$1946)</f>
        <v>HandsetWebCapable</v>
      </c>
      <c r="F149" s="22">
        <f>_xlfn.MAXIFS(pivot!$D$2:$D$1946, pivot!$A$2:$A$1946, endirim!B149)</f>
        <v>62</v>
      </c>
      <c r="G149" s="3" t="str">
        <f t="shared" si="2"/>
        <v>Təklif yoxdur</v>
      </c>
    </row>
    <row r="150" spans="2:7" x14ac:dyDescent="0.3">
      <c r="B150" t="s">
        <v>204</v>
      </c>
      <c r="C150" s="3" t="str" cm="1">
        <f t="array" ref="C150">_xlfn.XLOOKUP(1,(pivot!$A$2:$A$1946=Table3[[#This Row],[Müştəri adı]])*(pivot!$C$2:$C$1946=_xlfn.MAXIFS(pivot!$C$2:$C$1946,pivot!$A$2:$A$1946,Table3[[#This Row],[Müştəri adı]])),pivot!$B$2:$B$1946)</f>
        <v>BuysViaMailOrder</v>
      </c>
      <c r="D150" s="22" cm="1">
        <f t="array" ref="D150">_xlfn.XLOOKUP(1,
  (pivot!$A$2:$A$1946=endirim!B150) * (pivot!$C$2:$C$1946 = _xlfn.MAXIFS(pivot!$C$2:$C$1946, pivot!$A$2:$A$1946, endirim!B150)),
  pivot!$D$2:$D$1946)</f>
        <v>25</v>
      </c>
      <c r="E150" s="3" t="str" cm="1">
        <f t="array" ref="E150">_xlfn.XLOOKUP(1,
    (pivot!$A$2:$A$1946=endirim!B150) * (pivot!$D$2:$D$1946 = _xlfn.MAXIFS(pivot!$D$2:$D$1946, pivot!$A$2:$A$1946, endirim!B150)),
    pivot!$B$2:$B$1946)</f>
        <v>HandsetRefurbished</v>
      </c>
      <c r="F150" s="22">
        <f>_xlfn.MAXIFS(pivot!$D$2:$D$1946, pivot!$A$2:$A$1946, endirim!B150)</f>
        <v>26</v>
      </c>
      <c r="G150" s="3" t="str">
        <f t="shared" si="2"/>
        <v>HandsetRefurbished Kompaniyasını 20% endirimlə təklif et</v>
      </c>
    </row>
    <row r="151" spans="2:7" x14ac:dyDescent="0.3">
      <c r="B151" t="s">
        <v>205</v>
      </c>
      <c r="C151" s="3" t="str" cm="1">
        <f t="array" ref="C151">_xlfn.XLOOKUP(1,(pivot!$A$2:$A$1946=Table3[[#This Row],[Müştəri adı]])*(pivot!$C$2:$C$1946=_xlfn.MAXIFS(pivot!$C$2:$C$1946,pivot!$A$2:$A$1946,Table3[[#This Row],[Müştəri adı]])),pivot!$B$2:$B$1946)</f>
        <v>NotNewCellphoneUser</v>
      </c>
      <c r="D151" s="22" cm="1">
        <f t="array" ref="D151">_xlfn.XLOOKUP(1,
  (pivot!$A$2:$A$1946=endirim!B151) * (pivot!$C$2:$C$1946 = _xlfn.MAXIFS(pivot!$C$2:$C$1946, pivot!$A$2:$A$1946, endirim!B151)),
  pivot!$D$2:$D$1946)</f>
        <v>28</v>
      </c>
      <c r="E151" s="3" t="str" cm="1">
        <f t="array" ref="E151">_xlfn.XLOOKUP(1,
    (pivot!$A$2:$A$1946=endirim!B151) * (pivot!$D$2:$D$1946 = _xlfn.MAXIFS(pivot!$D$2:$D$1946, pivot!$A$2:$A$1946, endirim!B151)),
    pivot!$B$2:$B$1946)</f>
        <v>NotNewCellphoneUser</v>
      </c>
      <c r="F151" s="22">
        <f>_xlfn.MAXIFS(pivot!$D$2:$D$1946, pivot!$A$2:$A$1946, endirim!B151)</f>
        <v>28</v>
      </c>
      <c r="G151" s="3" t="str">
        <f t="shared" si="2"/>
        <v>Təklif yoxdur</v>
      </c>
    </row>
    <row r="152" spans="2:7" x14ac:dyDescent="0.3">
      <c r="B152" t="s">
        <v>206</v>
      </c>
      <c r="C152" s="3" t="str" cm="1">
        <f t="array" ref="C152">_xlfn.XLOOKUP(1,(pivot!$A$2:$A$1946=Table3[[#This Row],[Müştəri adı]])*(pivot!$C$2:$C$1946=_xlfn.MAXIFS(pivot!$C$2:$C$1946,pivot!$A$2:$A$1946,Table3[[#This Row],[Müştəri adı]])),pivot!$B$2:$B$1946)</f>
        <v>Homeownership</v>
      </c>
      <c r="D152" s="22" cm="1">
        <f t="array" ref="D152">_xlfn.XLOOKUP(1,
  (pivot!$A$2:$A$1946=endirim!B152) * (pivot!$C$2:$C$1946 = _xlfn.MAXIFS(pivot!$C$2:$C$1946, pivot!$A$2:$A$1946, endirim!B152)),
  pivot!$D$2:$D$1946)</f>
        <v>13</v>
      </c>
      <c r="E152" s="3" t="str" cm="1">
        <f t="array" ref="E152">_xlfn.XLOOKUP(1,
    (pivot!$A$2:$A$1946=endirim!B152) * (pivot!$D$2:$D$1946 = _xlfn.MAXIFS(pivot!$D$2:$D$1946, pivot!$A$2:$A$1946, endirim!B152)),
    pivot!$B$2:$B$1946)</f>
        <v>HandsetWebCapable</v>
      </c>
      <c r="F152" s="22">
        <f>_xlfn.MAXIFS(pivot!$D$2:$D$1946, pivot!$A$2:$A$1946, endirim!B152)</f>
        <v>62</v>
      </c>
      <c r="G152" s="3" t="str">
        <f t="shared" si="2"/>
        <v>HandsetWebCapable Kompaniyasını 20% endirimlə təklif et</v>
      </c>
    </row>
    <row r="153" spans="2:7" x14ac:dyDescent="0.3">
      <c r="B153" t="s">
        <v>207</v>
      </c>
      <c r="C153" s="3" t="str" cm="1">
        <f t="array" ref="C153">_xlfn.XLOOKUP(1,(pivot!$A$2:$A$1946=Table3[[#This Row],[Müştəri adı]])*(pivot!$C$2:$C$1946=_xlfn.MAXIFS(pivot!$C$2:$C$1946,pivot!$A$2:$A$1946,Table3[[#This Row],[Müştəri adı]])),pivot!$B$2:$B$1946)</f>
        <v>OwnsComputer</v>
      </c>
      <c r="D153" s="22" cm="1">
        <f t="array" ref="D153">_xlfn.XLOOKUP(1,
  (pivot!$A$2:$A$1946=endirim!B153) * (pivot!$C$2:$C$1946 = _xlfn.MAXIFS(pivot!$C$2:$C$1946, pivot!$A$2:$A$1946, endirim!B153)),
  pivot!$D$2:$D$1946)</f>
        <v>62</v>
      </c>
      <c r="E153" s="3" t="str" cm="1">
        <f t="array" ref="E153">_xlfn.XLOOKUP(1,
    (pivot!$A$2:$A$1946=endirim!B153) * (pivot!$D$2:$D$1946 = _xlfn.MAXIFS(pivot!$D$2:$D$1946, pivot!$A$2:$A$1946, endirim!B153)),
    pivot!$B$2:$B$1946)</f>
        <v>OptOutMailings</v>
      </c>
      <c r="F153" s="22">
        <f>_xlfn.MAXIFS(pivot!$D$2:$D$1946, pivot!$A$2:$A$1946, endirim!B153)</f>
        <v>75</v>
      </c>
      <c r="G153" s="3" t="str">
        <f t="shared" si="2"/>
        <v>OptOutMailings Kompaniyasını 20% endirimlə təklif et</v>
      </c>
    </row>
    <row r="154" spans="2:7" x14ac:dyDescent="0.3">
      <c r="B154" t="s">
        <v>208</v>
      </c>
      <c r="C154" s="3" t="str" cm="1">
        <f t="array" ref="C154">_xlfn.XLOOKUP(1,(pivot!$A$2:$A$1946=Table3[[#This Row],[Müştəri adı]])*(pivot!$C$2:$C$1946=_xlfn.MAXIFS(pivot!$C$2:$C$1946,pivot!$A$2:$A$1946,Table3[[#This Row],[Müştəri adı]])),pivot!$B$2:$B$1946)</f>
        <v>TruckOwner</v>
      </c>
      <c r="D154" s="22" cm="1">
        <f t="array" ref="D154">_xlfn.XLOOKUP(1,
  (pivot!$A$2:$A$1946=endirim!B154) * (pivot!$C$2:$C$1946 = _xlfn.MAXIFS(pivot!$C$2:$C$1946, pivot!$A$2:$A$1946, endirim!B154)),
  pivot!$D$2:$D$1946)</f>
        <v>26</v>
      </c>
      <c r="E154" s="3" t="str" cm="1">
        <f t="array" ref="E154">_xlfn.XLOOKUP(1,
    (pivot!$A$2:$A$1946=endirim!B154) * (pivot!$D$2:$D$1946 = _xlfn.MAXIFS(pivot!$D$2:$D$1946, pivot!$A$2:$A$1946, endirim!B154)),
    pivot!$B$2:$B$1946)</f>
        <v>TruckOwner</v>
      </c>
      <c r="F154" s="22">
        <f>_xlfn.MAXIFS(pivot!$D$2:$D$1946, pivot!$A$2:$A$1946, endirim!B154)</f>
        <v>26</v>
      </c>
      <c r="G154" s="3" t="str">
        <f t="shared" si="2"/>
        <v>Təklif yoxdur</v>
      </c>
    </row>
    <row r="155" spans="2:7" x14ac:dyDescent="0.3">
      <c r="B155" t="s">
        <v>209</v>
      </c>
      <c r="C155" s="3" t="str" cm="1">
        <f t="array" ref="C155">_xlfn.XLOOKUP(1,(pivot!$A$2:$A$1946=Table3[[#This Row],[Müştəri adı]])*(pivot!$C$2:$C$1946=_xlfn.MAXIFS(pivot!$C$2:$C$1946,pivot!$A$2:$A$1946,Table3[[#This Row],[Müştəri adı]])),pivot!$B$2:$B$1946)</f>
        <v>MadeCallToRetentionTeam</v>
      </c>
      <c r="D155" s="22" cm="1">
        <f t="array" ref="D155">_xlfn.XLOOKUP(1,
  (pivot!$A$2:$A$1946=endirim!B155) * (pivot!$C$2:$C$1946 = _xlfn.MAXIFS(pivot!$C$2:$C$1946, pivot!$A$2:$A$1946, endirim!B155)),
  pivot!$D$2:$D$1946)</f>
        <v>16</v>
      </c>
      <c r="E155" s="3" t="str" cm="1">
        <f t="array" ref="E155">_xlfn.XLOOKUP(1,
    (pivot!$A$2:$A$1946=endirim!B155) * (pivot!$D$2:$D$1946 = _xlfn.MAXIFS(pivot!$D$2:$D$1946, pivot!$A$2:$A$1946, endirim!B155)),
    pivot!$B$2:$B$1946)</f>
        <v>MadeCallToRetentionTeam</v>
      </c>
      <c r="F155" s="22">
        <f>_xlfn.MAXIFS(pivot!$D$2:$D$1946, pivot!$A$2:$A$1946, endirim!B155)</f>
        <v>16</v>
      </c>
      <c r="G155" s="3" t="str">
        <f t="shared" si="2"/>
        <v>Təklif yoxdur</v>
      </c>
    </row>
    <row r="156" spans="2:7" x14ac:dyDescent="0.3">
      <c r="B156" t="s">
        <v>210</v>
      </c>
      <c r="C156" s="3" t="str" cm="1">
        <f t="array" ref="C156">_xlfn.XLOOKUP(1,(pivot!$A$2:$A$1946=Table3[[#This Row],[Müştəri adı]])*(pivot!$C$2:$C$1946=_xlfn.MAXIFS(pivot!$C$2:$C$1946,pivot!$A$2:$A$1946,Table3[[#This Row],[Müştəri adı]])),pivot!$B$2:$B$1946)</f>
        <v>OwnsComputer</v>
      </c>
      <c r="D156" s="22" cm="1">
        <f t="array" ref="D156">_xlfn.XLOOKUP(1,
  (pivot!$A$2:$A$1946=endirim!B156) * (pivot!$C$2:$C$1946 = _xlfn.MAXIFS(pivot!$C$2:$C$1946, pivot!$A$2:$A$1946, endirim!B156)),
  pivot!$D$2:$D$1946)</f>
        <v>62</v>
      </c>
      <c r="E156" s="3" t="str" cm="1">
        <f t="array" ref="E156">_xlfn.XLOOKUP(1,
    (pivot!$A$2:$A$1946=endirim!B156) * (pivot!$D$2:$D$1946 = _xlfn.MAXIFS(pivot!$D$2:$D$1946, pivot!$A$2:$A$1946, endirim!B156)),
    pivot!$B$2:$B$1946)</f>
        <v>OwnsComputer</v>
      </c>
      <c r="F156" s="22">
        <f>_xlfn.MAXIFS(pivot!$D$2:$D$1946, pivot!$A$2:$A$1946, endirim!B156)</f>
        <v>62</v>
      </c>
      <c r="G156" s="3" t="str">
        <f t="shared" si="2"/>
        <v>Təklif yoxdur</v>
      </c>
    </row>
    <row r="157" spans="2:7" x14ac:dyDescent="0.3">
      <c r="B157" t="s">
        <v>211</v>
      </c>
      <c r="C157" s="3" t="str" cm="1">
        <f t="array" ref="C157">_xlfn.XLOOKUP(1,(pivot!$A$2:$A$1946=Table3[[#This Row],[Müştəri adı]])*(pivot!$C$2:$C$1946=_xlfn.MAXIFS(pivot!$C$2:$C$1946,pivot!$A$2:$A$1946,Table3[[#This Row],[Müştəri adı]])),pivot!$B$2:$B$1946)</f>
        <v>Homeownership</v>
      </c>
      <c r="D157" s="22" cm="1">
        <f t="array" ref="D157">_xlfn.XLOOKUP(1,
  (pivot!$A$2:$A$1946=endirim!B157) * (pivot!$C$2:$C$1946 = _xlfn.MAXIFS(pivot!$C$2:$C$1946, pivot!$A$2:$A$1946, endirim!B157)),
  pivot!$D$2:$D$1946)</f>
        <v>13</v>
      </c>
      <c r="E157" s="3" t="str" cm="1">
        <f t="array" ref="E157">_xlfn.XLOOKUP(1,
    (pivot!$A$2:$A$1946=endirim!B157) * (pivot!$D$2:$D$1946 = _xlfn.MAXIFS(pivot!$D$2:$D$1946, pivot!$A$2:$A$1946, endirim!B157)),
    pivot!$B$2:$B$1946)</f>
        <v>NotNewCellphoneUser</v>
      </c>
      <c r="F157" s="22">
        <f>_xlfn.MAXIFS(pivot!$D$2:$D$1946, pivot!$A$2:$A$1946, endirim!B157)</f>
        <v>28</v>
      </c>
      <c r="G157" s="3" t="str">
        <f t="shared" si="2"/>
        <v>NotNewCellphoneUser Kompaniyasını 20% endirimlə təklif et</v>
      </c>
    </row>
    <row r="158" spans="2:7" x14ac:dyDescent="0.3">
      <c r="B158" t="s">
        <v>212</v>
      </c>
      <c r="C158" s="3" t="str" cm="1">
        <f t="array" ref="C158">_xlfn.XLOOKUP(1,(pivot!$A$2:$A$1946=Table3[[#This Row],[Müştəri adı]])*(pivot!$C$2:$C$1946=_xlfn.MAXIFS(pivot!$C$2:$C$1946,pivot!$A$2:$A$1946,Table3[[#This Row],[Müştəri adı]])),pivot!$B$2:$B$1946)</f>
        <v>RespondsToMailOffers</v>
      </c>
      <c r="D158" s="22" cm="1">
        <f t="array" ref="D158">_xlfn.XLOOKUP(1,
  (pivot!$A$2:$A$1946=endirim!B158) * (pivot!$C$2:$C$1946 = _xlfn.MAXIFS(pivot!$C$2:$C$1946, pivot!$A$2:$A$1946, endirim!B158)),
  pivot!$D$2:$D$1946)</f>
        <v>27</v>
      </c>
      <c r="E158" s="3" t="str" cm="1">
        <f t="array" ref="E158">_xlfn.XLOOKUP(1,
    (pivot!$A$2:$A$1946=endirim!B158) * (pivot!$D$2:$D$1946 = _xlfn.MAXIFS(pivot!$D$2:$D$1946, pivot!$A$2:$A$1946, endirim!B158)),
    pivot!$B$2:$B$1946)</f>
        <v>RespondsToMailOffers</v>
      </c>
      <c r="F158" s="22">
        <f>_xlfn.MAXIFS(pivot!$D$2:$D$1946, pivot!$A$2:$A$1946, endirim!B158)</f>
        <v>27</v>
      </c>
      <c r="G158" s="3" t="str">
        <f t="shared" si="2"/>
        <v>Təklif yoxdur</v>
      </c>
    </row>
    <row r="159" spans="2:7" x14ac:dyDescent="0.3">
      <c r="B159" t="s">
        <v>213</v>
      </c>
      <c r="C159" s="3" t="str" cm="1">
        <f t="array" ref="C159">_xlfn.XLOOKUP(1,(pivot!$A$2:$A$1946=Table3[[#This Row],[Müştəri adı]])*(pivot!$C$2:$C$1946=_xlfn.MAXIFS(pivot!$C$2:$C$1946,pivot!$A$2:$A$1946,Table3[[#This Row],[Müştəri adı]])),pivot!$B$2:$B$1946)</f>
        <v>MadeCallToRetentionTeam</v>
      </c>
      <c r="D159" s="22" cm="1">
        <f t="array" ref="D159">_xlfn.XLOOKUP(1,
  (pivot!$A$2:$A$1946=endirim!B159) * (pivot!$C$2:$C$1946 = _xlfn.MAXIFS(pivot!$C$2:$C$1946, pivot!$A$2:$A$1946, endirim!B159)),
  pivot!$D$2:$D$1946)</f>
        <v>16</v>
      </c>
      <c r="E159" s="3" t="str" cm="1">
        <f t="array" ref="E159">_xlfn.XLOOKUP(1,
    (pivot!$A$2:$A$1946=endirim!B159) * (pivot!$D$2:$D$1946 = _xlfn.MAXIFS(pivot!$D$2:$D$1946, pivot!$A$2:$A$1946, endirim!B159)),
    pivot!$B$2:$B$1946)</f>
        <v>NewCellphoneUser</v>
      </c>
      <c r="F159" s="22">
        <f>_xlfn.MAXIFS(pivot!$D$2:$D$1946, pivot!$A$2:$A$1946, endirim!B159)</f>
        <v>25</v>
      </c>
      <c r="G159" s="3" t="str">
        <f t="shared" si="2"/>
        <v>NewCellphoneUser Kompaniyasını 20% endirimlə təklif et</v>
      </c>
    </row>
    <row r="160" spans="2:7" x14ac:dyDescent="0.3">
      <c r="B160" t="s">
        <v>214</v>
      </c>
      <c r="C160" s="3" t="str" cm="1">
        <f t="array" ref="C160">_xlfn.XLOOKUP(1,(pivot!$A$2:$A$1946=Table3[[#This Row],[Müştəri adı]])*(pivot!$C$2:$C$1946=_xlfn.MAXIFS(pivot!$C$2:$C$1946,pivot!$A$2:$A$1946,Table3[[#This Row],[Müştəri adı]])),pivot!$B$2:$B$1946)</f>
        <v>NotNewCellphoneUser</v>
      </c>
      <c r="D160" s="22" cm="1">
        <f t="array" ref="D160">_xlfn.XLOOKUP(1,
  (pivot!$A$2:$A$1946=endirim!B160) * (pivot!$C$2:$C$1946 = _xlfn.MAXIFS(pivot!$C$2:$C$1946, pivot!$A$2:$A$1946, endirim!B160)),
  pivot!$D$2:$D$1946)</f>
        <v>28</v>
      </c>
      <c r="E160" s="3" t="str" cm="1">
        <f t="array" ref="E160">_xlfn.XLOOKUP(1,
    (pivot!$A$2:$A$1946=endirim!B160) * (pivot!$D$2:$D$1946 = _xlfn.MAXIFS(pivot!$D$2:$D$1946, pivot!$A$2:$A$1946, endirim!B160)),
    pivot!$B$2:$B$1946)</f>
        <v>NotNewCellphoneUser</v>
      </c>
      <c r="F160" s="22">
        <f>_xlfn.MAXIFS(pivot!$D$2:$D$1946, pivot!$A$2:$A$1946, endirim!B160)</f>
        <v>28</v>
      </c>
      <c r="G160" s="3" t="str">
        <f t="shared" si="2"/>
        <v>Təklif yoxdur</v>
      </c>
    </row>
    <row r="161" spans="2:7" x14ac:dyDescent="0.3">
      <c r="B161" t="s">
        <v>215</v>
      </c>
      <c r="C161" s="3" t="str" cm="1">
        <f t="array" ref="C161">_xlfn.XLOOKUP(1,(pivot!$A$2:$A$1946=Table3[[#This Row],[Müştəri adı]])*(pivot!$C$2:$C$1946=_xlfn.MAXIFS(pivot!$C$2:$C$1946,pivot!$A$2:$A$1946,Table3[[#This Row],[Müştəri adı]])),pivot!$B$2:$B$1946)</f>
        <v>NewCellphoneUser</v>
      </c>
      <c r="D161" s="22" cm="1">
        <f t="array" ref="D161">_xlfn.XLOOKUP(1,
  (pivot!$A$2:$A$1946=endirim!B161) * (pivot!$C$2:$C$1946 = _xlfn.MAXIFS(pivot!$C$2:$C$1946, pivot!$A$2:$A$1946, endirim!B161)),
  pivot!$D$2:$D$1946)</f>
        <v>25</v>
      </c>
      <c r="E161" s="3" t="str" cm="1">
        <f t="array" ref="E161">_xlfn.XLOOKUP(1,
    (pivot!$A$2:$A$1946=endirim!B161) * (pivot!$D$2:$D$1946 = _xlfn.MAXIFS(pivot!$D$2:$D$1946, pivot!$A$2:$A$1946, endirim!B161)),
    pivot!$B$2:$B$1946)</f>
        <v>NonUSTravel</v>
      </c>
      <c r="F161" s="22">
        <f>_xlfn.MAXIFS(pivot!$D$2:$D$1946, pivot!$A$2:$A$1946, endirim!B161)</f>
        <v>66</v>
      </c>
      <c r="G161" s="3" t="str">
        <f t="shared" si="2"/>
        <v>NonUSTravel Kompaniyasını 20% endirimlə təklif et</v>
      </c>
    </row>
    <row r="162" spans="2:7" x14ac:dyDescent="0.3">
      <c r="B162" t="s">
        <v>216</v>
      </c>
      <c r="C162" s="3" t="str" cm="1">
        <f t="array" ref="C162">_xlfn.XLOOKUP(1,(pivot!$A$2:$A$1946=Table3[[#This Row],[Müştəri adı]])*(pivot!$C$2:$C$1946=_xlfn.MAXIFS(pivot!$C$2:$C$1946,pivot!$A$2:$A$1946,Table3[[#This Row],[Müştəri adı]])),pivot!$B$2:$B$1946)</f>
        <v>ChildrenInHH</v>
      </c>
      <c r="D162" s="22" cm="1">
        <f t="array" ref="D162">_xlfn.XLOOKUP(1,
  (pivot!$A$2:$A$1946=endirim!B162) * (pivot!$C$2:$C$1946 = _xlfn.MAXIFS(pivot!$C$2:$C$1946, pivot!$A$2:$A$1946, endirim!B162)),
  pivot!$D$2:$D$1946)</f>
        <v>10</v>
      </c>
      <c r="E162" s="3" t="str" cm="1">
        <f t="array" ref="E162">_xlfn.XLOOKUP(1,
    (pivot!$A$2:$A$1946=endirim!B162) * (pivot!$D$2:$D$1946 = _xlfn.MAXIFS(pivot!$D$2:$D$1946, pivot!$A$2:$A$1946, endirim!B162)),
    pivot!$B$2:$B$1946)</f>
        <v>OwnsMotorcycle</v>
      </c>
      <c r="F162" s="22">
        <f>_xlfn.MAXIFS(pivot!$D$2:$D$1946, pivot!$A$2:$A$1946, endirim!B162)</f>
        <v>14</v>
      </c>
      <c r="G162" s="3" t="str">
        <f t="shared" si="2"/>
        <v>OwnsMotorcycle Kompaniyasını 20% endirimlə təklif et</v>
      </c>
    </row>
    <row r="163" spans="2:7" x14ac:dyDescent="0.3">
      <c r="B163" t="s">
        <v>217</v>
      </c>
      <c r="C163" s="3" t="str" cm="1">
        <f t="array" ref="C163">_xlfn.XLOOKUP(1,(pivot!$A$2:$A$1946=Table3[[#This Row],[Müştəri adı]])*(pivot!$C$2:$C$1946=_xlfn.MAXIFS(pivot!$C$2:$C$1946,pivot!$A$2:$A$1946,Table3[[#This Row],[Müştəri adı]])),pivot!$B$2:$B$1946)</f>
        <v>Homeownership</v>
      </c>
      <c r="D163" s="22" cm="1">
        <f t="array" ref="D163">_xlfn.XLOOKUP(1,
  (pivot!$A$2:$A$1946=endirim!B163) * (pivot!$C$2:$C$1946 = _xlfn.MAXIFS(pivot!$C$2:$C$1946, pivot!$A$2:$A$1946, endirim!B163)),
  pivot!$D$2:$D$1946)</f>
        <v>13</v>
      </c>
      <c r="E163" s="3" t="str" cm="1">
        <f t="array" ref="E163">_xlfn.XLOOKUP(1,
    (pivot!$A$2:$A$1946=endirim!B163) * (pivot!$D$2:$D$1946 = _xlfn.MAXIFS(pivot!$D$2:$D$1946, pivot!$A$2:$A$1946, endirim!B163)),
    pivot!$B$2:$B$1946)</f>
        <v>HandsetWebCapable</v>
      </c>
      <c r="F163" s="22">
        <f>_xlfn.MAXIFS(pivot!$D$2:$D$1946, pivot!$A$2:$A$1946, endirim!B163)</f>
        <v>62</v>
      </c>
      <c r="G163" s="3" t="str">
        <f t="shared" si="2"/>
        <v>HandsetWebCapable Kompaniyasını 20% endirimlə təklif et</v>
      </c>
    </row>
    <row r="164" spans="2:7" x14ac:dyDescent="0.3">
      <c r="B164" t="s">
        <v>218</v>
      </c>
      <c r="C164" s="3" t="str" cm="1">
        <f t="array" ref="C164">_xlfn.XLOOKUP(1,(pivot!$A$2:$A$1946=Table3[[#This Row],[Müştəri adı]])*(pivot!$C$2:$C$1946=_xlfn.MAXIFS(pivot!$C$2:$C$1946,pivot!$A$2:$A$1946,Table3[[#This Row],[Müştəri adı]])),pivot!$B$2:$B$1946)</f>
        <v>OwnsMotorcycle</v>
      </c>
      <c r="D164" s="22" cm="1">
        <f t="array" ref="D164">_xlfn.XLOOKUP(1,
  (pivot!$A$2:$A$1946=endirim!B164) * (pivot!$C$2:$C$1946 = _xlfn.MAXIFS(pivot!$C$2:$C$1946, pivot!$A$2:$A$1946, endirim!B164)),
  pivot!$D$2:$D$1946)</f>
        <v>14</v>
      </c>
      <c r="E164" s="3" t="str" cm="1">
        <f t="array" ref="E164">_xlfn.XLOOKUP(1,
    (pivot!$A$2:$A$1946=endirim!B164) * (pivot!$D$2:$D$1946 = _xlfn.MAXIFS(pivot!$D$2:$D$1946, pivot!$A$2:$A$1946, endirim!B164)),
    pivot!$B$2:$B$1946)</f>
        <v>RespondsToMailOffers</v>
      </c>
      <c r="F164" s="22">
        <f>_xlfn.MAXIFS(pivot!$D$2:$D$1946, pivot!$A$2:$A$1946, endirim!B164)</f>
        <v>27</v>
      </c>
      <c r="G164" s="3" t="str">
        <f t="shared" si="2"/>
        <v>RespondsToMailOffers Kompaniyasını 20% endirimlə təklif et</v>
      </c>
    </row>
    <row r="165" spans="2:7" x14ac:dyDescent="0.3">
      <c r="B165" t="s">
        <v>219</v>
      </c>
      <c r="C165" s="3" t="str" cm="1">
        <f t="array" ref="C165">_xlfn.XLOOKUP(1,(pivot!$A$2:$A$1946=Table3[[#This Row],[Müştəri adı]])*(pivot!$C$2:$C$1946=_xlfn.MAXIFS(pivot!$C$2:$C$1946,pivot!$A$2:$A$1946,Table3[[#This Row],[Müştəri adı]])),pivot!$B$2:$B$1946)</f>
        <v>NewCellphoneUser</v>
      </c>
      <c r="D165" s="22" cm="1">
        <f t="array" ref="D165">_xlfn.XLOOKUP(1,
  (pivot!$A$2:$A$1946=endirim!B165) * (pivot!$C$2:$C$1946 = _xlfn.MAXIFS(pivot!$C$2:$C$1946, pivot!$A$2:$A$1946, endirim!B165)),
  pivot!$D$2:$D$1946)</f>
        <v>25</v>
      </c>
      <c r="E165" s="3" t="str" cm="1">
        <f t="array" ref="E165">_xlfn.XLOOKUP(1,
    (pivot!$A$2:$A$1946=endirim!B165) * (pivot!$D$2:$D$1946 = _xlfn.MAXIFS(pivot!$D$2:$D$1946, pivot!$A$2:$A$1946, endirim!B165)),
    pivot!$B$2:$B$1946)</f>
        <v>NewCellphoneUser</v>
      </c>
      <c r="F165" s="22">
        <f>_xlfn.MAXIFS(pivot!$D$2:$D$1946, pivot!$A$2:$A$1946, endirim!B165)</f>
        <v>25</v>
      </c>
      <c r="G165" s="3" t="str">
        <f t="shared" si="2"/>
        <v>Təklif yoxdur</v>
      </c>
    </row>
    <row r="166" spans="2:7" x14ac:dyDescent="0.3">
      <c r="B166" t="s">
        <v>220</v>
      </c>
      <c r="C166" s="3" t="str" cm="1">
        <f t="array" ref="C166">_xlfn.XLOOKUP(1,(pivot!$A$2:$A$1946=Table3[[#This Row],[Müştəri adı]])*(pivot!$C$2:$C$1946=_xlfn.MAXIFS(pivot!$C$2:$C$1946,pivot!$A$2:$A$1946,Table3[[#This Row],[Müştəri adı]])),pivot!$B$2:$B$1946)</f>
        <v>HandsetWebCapable</v>
      </c>
      <c r="D166" s="22" cm="1">
        <f t="array" ref="D166">_xlfn.XLOOKUP(1,
  (pivot!$A$2:$A$1946=endirim!B166) * (pivot!$C$2:$C$1946 = _xlfn.MAXIFS(pivot!$C$2:$C$1946, pivot!$A$2:$A$1946, endirim!B166)),
  pivot!$D$2:$D$1946)</f>
        <v>62</v>
      </c>
      <c r="E166" s="3" t="str" cm="1">
        <f t="array" ref="E166">_xlfn.XLOOKUP(1,
    (pivot!$A$2:$A$1946=endirim!B166) * (pivot!$D$2:$D$1946 = _xlfn.MAXIFS(pivot!$D$2:$D$1946, pivot!$A$2:$A$1946, endirim!B166)),
    pivot!$B$2:$B$1946)</f>
        <v>OwnsComputer</v>
      </c>
      <c r="F166" s="22">
        <f>_xlfn.MAXIFS(pivot!$D$2:$D$1946, pivot!$A$2:$A$1946, endirim!B166)</f>
        <v>62</v>
      </c>
      <c r="G166" s="3" t="str">
        <f t="shared" si="2"/>
        <v>Təklif yoxdur</v>
      </c>
    </row>
    <row r="167" spans="2:7" x14ac:dyDescent="0.3">
      <c r="B167" t="s">
        <v>221</v>
      </c>
      <c r="C167" s="3" t="str" cm="1">
        <f t="array" ref="C167">_xlfn.XLOOKUP(1,(pivot!$A$2:$A$1946=Table3[[#This Row],[Müştəri adı]])*(pivot!$C$2:$C$1946=_xlfn.MAXIFS(pivot!$C$2:$C$1946,pivot!$A$2:$A$1946,Table3[[#This Row],[Müştəri adı]])),pivot!$B$2:$B$1946)</f>
        <v>MadeCallToRetentionTeam</v>
      </c>
      <c r="D167" s="22" cm="1">
        <f t="array" ref="D167">_xlfn.XLOOKUP(1,
  (pivot!$A$2:$A$1946=endirim!B167) * (pivot!$C$2:$C$1946 = _xlfn.MAXIFS(pivot!$C$2:$C$1946, pivot!$A$2:$A$1946, endirim!B167)),
  pivot!$D$2:$D$1946)</f>
        <v>16</v>
      </c>
      <c r="E167" s="3" t="str" cm="1">
        <f t="array" ref="E167">_xlfn.XLOOKUP(1,
    (pivot!$A$2:$A$1946=endirim!B167) * (pivot!$D$2:$D$1946 = _xlfn.MAXIFS(pivot!$D$2:$D$1946, pivot!$A$2:$A$1946, endirim!B167)),
    pivot!$B$2:$B$1946)</f>
        <v>MadeCallToRetentionTeam</v>
      </c>
      <c r="F167" s="22">
        <f>_xlfn.MAXIFS(pivot!$D$2:$D$1946, pivot!$A$2:$A$1946, endirim!B167)</f>
        <v>16</v>
      </c>
      <c r="G167" s="3" t="str">
        <f t="shared" si="2"/>
        <v>Təklif yoxdur</v>
      </c>
    </row>
    <row r="168" spans="2:7" x14ac:dyDescent="0.3">
      <c r="B168" t="s">
        <v>222</v>
      </c>
      <c r="C168" s="3" t="str" cm="1">
        <f t="array" ref="C168">_xlfn.XLOOKUP(1,(pivot!$A$2:$A$1946=Table3[[#This Row],[Müştəri adı]])*(pivot!$C$2:$C$1946=_xlfn.MAXIFS(pivot!$C$2:$C$1946,pivot!$A$2:$A$1946,Table3[[#This Row],[Müştəri adı]])),pivot!$B$2:$B$1946)</f>
        <v>NonUSTravel</v>
      </c>
      <c r="D168" s="22" cm="1">
        <f t="array" ref="D168">_xlfn.XLOOKUP(1,
  (pivot!$A$2:$A$1946=endirim!B168) * (pivot!$C$2:$C$1946 = _xlfn.MAXIFS(pivot!$C$2:$C$1946, pivot!$A$2:$A$1946, endirim!B168)),
  pivot!$D$2:$D$1946)</f>
        <v>66</v>
      </c>
      <c r="E168" s="3" t="str" cm="1">
        <f t="array" ref="E168">_xlfn.XLOOKUP(1,
    (pivot!$A$2:$A$1946=endirim!B168) * (pivot!$D$2:$D$1946 = _xlfn.MAXIFS(pivot!$D$2:$D$1946, pivot!$A$2:$A$1946, endirim!B168)),
    pivot!$B$2:$B$1946)</f>
        <v>NonUSTravel</v>
      </c>
      <c r="F168" s="22">
        <f>_xlfn.MAXIFS(pivot!$D$2:$D$1946, pivot!$A$2:$A$1946, endirim!B168)</f>
        <v>66</v>
      </c>
      <c r="G168" s="3" t="str">
        <f t="shared" si="2"/>
        <v>Təklif yoxdur</v>
      </c>
    </row>
    <row r="169" spans="2:7" x14ac:dyDescent="0.3">
      <c r="B169" t="s">
        <v>223</v>
      </c>
      <c r="C169" s="3" t="str" cm="1">
        <f t="array" ref="C169">_xlfn.XLOOKUP(1,(pivot!$A$2:$A$1946=Table3[[#This Row],[Müştəri adı]])*(pivot!$C$2:$C$1946=_xlfn.MAXIFS(pivot!$C$2:$C$1946,pivot!$A$2:$A$1946,Table3[[#This Row],[Müştəri adı]])),pivot!$B$2:$B$1946)</f>
        <v>HandsetRefurbished</v>
      </c>
      <c r="D169" s="22" cm="1">
        <f t="array" ref="D169">_xlfn.XLOOKUP(1,
  (pivot!$A$2:$A$1946=endirim!B169) * (pivot!$C$2:$C$1946 = _xlfn.MAXIFS(pivot!$C$2:$C$1946, pivot!$A$2:$A$1946, endirim!B169)),
  pivot!$D$2:$D$1946)</f>
        <v>26</v>
      </c>
      <c r="E169" s="3" t="str" cm="1">
        <f t="array" ref="E169">_xlfn.XLOOKUP(1,
    (pivot!$A$2:$A$1946=endirim!B169) * (pivot!$D$2:$D$1946 = _xlfn.MAXIFS(pivot!$D$2:$D$1946, pivot!$A$2:$A$1946, endirim!B169)),
    pivot!$B$2:$B$1946)</f>
        <v>HandsetRefurbished</v>
      </c>
      <c r="F169" s="22">
        <f>_xlfn.MAXIFS(pivot!$D$2:$D$1946, pivot!$A$2:$A$1946, endirim!B169)</f>
        <v>26</v>
      </c>
      <c r="G169" s="3" t="str">
        <f t="shared" si="2"/>
        <v>Təklif yoxdur</v>
      </c>
    </row>
    <row r="170" spans="2:7" x14ac:dyDescent="0.3">
      <c r="B170" t="s">
        <v>224</v>
      </c>
      <c r="C170" s="3" t="str" cm="1">
        <f t="array" ref="C170">_xlfn.XLOOKUP(1,(pivot!$A$2:$A$1946=Table3[[#This Row],[Müştəri adı]])*(pivot!$C$2:$C$1946=_xlfn.MAXIFS(pivot!$C$2:$C$1946,pivot!$A$2:$A$1946,Table3[[#This Row],[Müştəri adı]])),pivot!$B$2:$B$1946)</f>
        <v>ChildrenInHH</v>
      </c>
      <c r="D170" s="22" cm="1">
        <f t="array" ref="D170">_xlfn.XLOOKUP(1,
  (pivot!$A$2:$A$1946=endirim!B170) * (pivot!$C$2:$C$1946 = _xlfn.MAXIFS(pivot!$C$2:$C$1946, pivot!$A$2:$A$1946, endirim!B170)),
  pivot!$D$2:$D$1946)</f>
        <v>10</v>
      </c>
      <c r="E170" s="3" t="str" cm="1">
        <f t="array" ref="E170">_xlfn.XLOOKUP(1,
    (pivot!$A$2:$A$1946=endirim!B170) * (pivot!$D$2:$D$1946 = _xlfn.MAXIFS(pivot!$D$2:$D$1946, pivot!$A$2:$A$1946, endirim!B170)),
    pivot!$B$2:$B$1946)</f>
        <v>ChildrenInHH</v>
      </c>
      <c r="F170" s="22">
        <f>_xlfn.MAXIFS(pivot!$D$2:$D$1946, pivot!$A$2:$A$1946, endirim!B170)</f>
        <v>10</v>
      </c>
      <c r="G170" s="3" t="str">
        <f t="shared" si="2"/>
        <v>Təklif yoxdur</v>
      </c>
    </row>
    <row r="171" spans="2:7" x14ac:dyDescent="0.3">
      <c r="B171" t="s">
        <v>225</v>
      </c>
      <c r="C171" s="3" t="str" cm="1">
        <f t="array" ref="C171">_xlfn.XLOOKUP(1,(pivot!$A$2:$A$1946=Table3[[#This Row],[Müştəri adı]])*(pivot!$C$2:$C$1946=_xlfn.MAXIFS(pivot!$C$2:$C$1946,pivot!$A$2:$A$1946,Table3[[#This Row],[Müştəri adı]])),pivot!$B$2:$B$1946)</f>
        <v>RespondsToMailOffers</v>
      </c>
      <c r="D171" s="22" cm="1">
        <f t="array" ref="D171">_xlfn.XLOOKUP(1,
  (pivot!$A$2:$A$1946=endirim!B171) * (pivot!$C$2:$C$1946 = _xlfn.MAXIFS(pivot!$C$2:$C$1946, pivot!$A$2:$A$1946, endirim!B171)),
  pivot!$D$2:$D$1946)</f>
        <v>27</v>
      </c>
      <c r="E171" s="3" t="str" cm="1">
        <f t="array" ref="E171">_xlfn.XLOOKUP(1,
    (pivot!$A$2:$A$1946=endirim!B171) * (pivot!$D$2:$D$1946 = _xlfn.MAXIFS(pivot!$D$2:$D$1946, pivot!$A$2:$A$1946, endirim!B171)),
    pivot!$B$2:$B$1946)</f>
        <v>RespondsToMailOffers</v>
      </c>
      <c r="F171" s="22">
        <f>_xlfn.MAXIFS(pivot!$D$2:$D$1946, pivot!$A$2:$A$1946, endirim!B171)</f>
        <v>27</v>
      </c>
      <c r="G171" s="3" t="str">
        <f t="shared" si="2"/>
        <v>Təklif yoxdur</v>
      </c>
    </row>
    <row r="172" spans="2:7" x14ac:dyDescent="0.3">
      <c r="B172" t="s">
        <v>226</v>
      </c>
      <c r="C172" s="3" t="str" cm="1">
        <f t="array" ref="C172">_xlfn.XLOOKUP(1,(pivot!$A$2:$A$1946=Table3[[#This Row],[Müştəri adı]])*(pivot!$C$2:$C$1946=_xlfn.MAXIFS(pivot!$C$2:$C$1946,pivot!$A$2:$A$1946,Table3[[#This Row],[Müştəri adı]])),pivot!$B$2:$B$1946)</f>
        <v>HandsetRefurbished</v>
      </c>
      <c r="D172" s="22" cm="1">
        <f t="array" ref="D172">_xlfn.XLOOKUP(1,
  (pivot!$A$2:$A$1946=endirim!B172) * (pivot!$C$2:$C$1946 = _xlfn.MAXIFS(pivot!$C$2:$C$1946, pivot!$A$2:$A$1946, endirim!B172)),
  pivot!$D$2:$D$1946)</f>
        <v>26</v>
      </c>
      <c r="E172" s="3" t="str" cm="1">
        <f t="array" ref="E172">_xlfn.XLOOKUP(1,
    (pivot!$A$2:$A$1946=endirim!B172) * (pivot!$D$2:$D$1946 = _xlfn.MAXIFS(pivot!$D$2:$D$1946, pivot!$A$2:$A$1946, endirim!B172)),
    pivot!$B$2:$B$1946)</f>
        <v>HandsetRefurbished</v>
      </c>
      <c r="F172" s="22">
        <f>_xlfn.MAXIFS(pivot!$D$2:$D$1946, pivot!$A$2:$A$1946, endirim!B172)</f>
        <v>26</v>
      </c>
      <c r="G172" s="3" t="str">
        <f t="shared" si="2"/>
        <v>Təklif yoxdur</v>
      </c>
    </row>
    <row r="173" spans="2:7" x14ac:dyDescent="0.3">
      <c r="B173" t="s">
        <v>227</v>
      </c>
      <c r="C173" s="3" t="str" cm="1">
        <f t="array" ref="C173">_xlfn.XLOOKUP(1,(pivot!$A$2:$A$1946=Table3[[#This Row],[Müştəri adı]])*(pivot!$C$2:$C$1946=_xlfn.MAXIFS(pivot!$C$2:$C$1946,pivot!$A$2:$A$1946,Table3[[#This Row],[Müştəri adı]])),pivot!$B$2:$B$1946)</f>
        <v>NonUSTravel</v>
      </c>
      <c r="D173" s="22" cm="1">
        <f t="array" ref="D173">_xlfn.XLOOKUP(1,
  (pivot!$A$2:$A$1946=endirim!B173) * (pivot!$C$2:$C$1946 = _xlfn.MAXIFS(pivot!$C$2:$C$1946, pivot!$A$2:$A$1946, endirim!B173)),
  pivot!$D$2:$D$1946)</f>
        <v>66</v>
      </c>
      <c r="E173" s="3" t="str" cm="1">
        <f t="array" ref="E173">_xlfn.XLOOKUP(1,
    (pivot!$A$2:$A$1946=endirim!B173) * (pivot!$D$2:$D$1946 = _xlfn.MAXIFS(pivot!$D$2:$D$1946, pivot!$A$2:$A$1946, endirim!B173)),
    pivot!$B$2:$B$1946)</f>
        <v>NonUSTravel</v>
      </c>
      <c r="F173" s="22">
        <f>_xlfn.MAXIFS(pivot!$D$2:$D$1946, pivot!$A$2:$A$1946, endirim!B173)</f>
        <v>66</v>
      </c>
      <c r="G173" s="3" t="str">
        <f t="shared" si="2"/>
        <v>Təklif yoxdur</v>
      </c>
    </row>
    <row r="174" spans="2:7" x14ac:dyDescent="0.3">
      <c r="B174" t="s">
        <v>228</v>
      </c>
      <c r="C174" s="3" t="str" cm="1">
        <f t="array" ref="C174">_xlfn.XLOOKUP(1,(pivot!$A$2:$A$1946=Table3[[#This Row],[Müştəri adı]])*(pivot!$C$2:$C$1946=_xlfn.MAXIFS(pivot!$C$2:$C$1946,pivot!$A$2:$A$1946,Table3[[#This Row],[Müştəri adı]])),pivot!$B$2:$B$1946)</f>
        <v>OwnsComputer</v>
      </c>
      <c r="D174" s="22" cm="1">
        <f t="array" ref="D174">_xlfn.XLOOKUP(1,
  (pivot!$A$2:$A$1946=endirim!B174) * (pivot!$C$2:$C$1946 = _xlfn.MAXIFS(pivot!$C$2:$C$1946, pivot!$A$2:$A$1946, endirim!B174)),
  pivot!$D$2:$D$1946)</f>
        <v>62</v>
      </c>
      <c r="E174" s="3" t="str" cm="1">
        <f t="array" ref="E174">_xlfn.XLOOKUP(1,
    (pivot!$A$2:$A$1946=endirim!B174) * (pivot!$D$2:$D$1946 = _xlfn.MAXIFS(pivot!$D$2:$D$1946, pivot!$A$2:$A$1946, endirim!B174)),
    pivot!$B$2:$B$1946)</f>
        <v>OwnsComputer</v>
      </c>
      <c r="F174" s="22">
        <f>_xlfn.MAXIFS(pivot!$D$2:$D$1946, pivot!$A$2:$A$1946, endirim!B174)</f>
        <v>62</v>
      </c>
      <c r="G174" s="3" t="str">
        <f t="shared" si="2"/>
        <v>Təklif yoxdur</v>
      </c>
    </row>
    <row r="175" spans="2:7" x14ac:dyDescent="0.3">
      <c r="B175" t="s">
        <v>229</v>
      </c>
      <c r="C175" s="3" t="str" cm="1">
        <f t="array" ref="C175">_xlfn.XLOOKUP(1,(pivot!$A$2:$A$1946=Table3[[#This Row],[Müştəri adı]])*(pivot!$C$2:$C$1946=_xlfn.MAXIFS(pivot!$C$2:$C$1946,pivot!$A$2:$A$1946,Table3[[#This Row],[Müştəri adı]])),pivot!$B$2:$B$1946)</f>
        <v>ChildrenInHH</v>
      </c>
      <c r="D175" s="22" cm="1">
        <f t="array" ref="D175">_xlfn.XLOOKUP(1,
  (pivot!$A$2:$A$1946=endirim!B175) * (pivot!$C$2:$C$1946 = _xlfn.MAXIFS(pivot!$C$2:$C$1946, pivot!$A$2:$A$1946, endirim!B175)),
  pivot!$D$2:$D$1946)</f>
        <v>10</v>
      </c>
      <c r="E175" s="3" t="str" cm="1">
        <f t="array" ref="E175">_xlfn.XLOOKUP(1,
    (pivot!$A$2:$A$1946=endirim!B175) * (pivot!$D$2:$D$1946 = _xlfn.MAXIFS(pivot!$D$2:$D$1946, pivot!$A$2:$A$1946, endirim!B175)),
    pivot!$B$2:$B$1946)</f>
        <v>RVOwner</v>
      </c>
      <c r="F175" s="22">
        <f>_xlfn.MAXIFS(pivot!$D$2:$D$1946, pivot!$A$2:$A$1946, endirim!B175)</f>
        <v>22</v>
      </c>
      <c r="G175" s="3" t="str">
        <f t="shared" si="2"/>
        <v>RVOwner Kompaniyasını 20% endirimlə təklif et</v>
      </c>
    </row>
    <row r="176" spans="2:7" x14ac:dyDescent="0.3">
      <c r="B176" t="s">
        <v>230</v>
      </c>
      <c r="C176" s="3" t="str" cm="1">
        <f t="array" ref="C176">_xlfn.XLOOKUP(1,(pivot!$A$2:$A$1946=Table3[[#This Row],[Müştəri adı]])*(pivot!$C$2:$C$1946=_xlfn.MAXIFS(pivot!$C$2:$C$1946,pivot!$A$2:$A$1946,Table3[[#This Row],[Müştəri adı]])),pivot!$B$2:$B$1946)</f>
        <v>BuysViaMailOrder</v>
      </c>
      <c r="D176" s="22" cm="1">
        <f t="array" ref="D176">_xlfn.XLOOKUP(1,
  (pivot!$A$2:$A$1946=endirim!B176) * (pivot!$C$2:$C$1946 = _xlfn.MAXIFS(pivot!$C$2:$C$1946, pivot!$A$2:$A$1946, endirim!B176)),
  pivot!$D$2:$D$1946)</f>
        <v>25</v>
      </c>
      <c r="E176" s="3" t="str" cm="1">
        <f t="array" ref="E176">_xlfn.XLOOKUP(1,
    (pivot!$A$2:$A$1946=endirim!B176) * (pivot!$D$2:$D$1946 = _xlfn.MAXIFS(pivot!$D$2:$D$1946, pivot!$A$2:$A$1946, endirim!B176)),
    pivot!$B$2:$B$1946)</f>
        <v>NewCellphoneUser</v>
      </c>
      <c r="F176" s="22">
        <f>_xlfn.MAXIFS(pivot!$D$2:$D$1946, pivot!$A$2:$A$1946, endirim!B176)</f>
        <v>25</v>
      </c>
      <c r="G176" s="3" t="str">
        <f t="shared" si="2"/>
        <v>Təklif yoxdur</v>
      </c>
    </row>
    <row r="177" spans="2:7" x14ac:dyDescent="0.3">
      <c r="B177" t="s">
        <v>231</v>
      </c>
      <c r="C177" s="3" t="str" cm="1">
        <f t="array" ref="C177">_xlfn.XLOOKUP(1,(pivot!$A$2:$A$1946=Table3[[#This Row],[Müştəri adı]])*(pivot!$C$2:$C$1946=_xlfn.MAXIFS(pivot!$C$2:$C$1946,pivot!$A$2:$A$1946,Table3[[#This Row],[Müştəri adı]])),pivot!$B$2:$B$1946)</f>
        <v>OwnsComputer</v>
      </c>
      <c r="D177" s="22" cm="1">
        <f t="array" ref="D177">_xlfn.XLOOKUP(1,
  (pivot!$A$2:$A$1946=endirim!B177) * (pivot!$C$2:$C$1946 = _xlfn.MAXIFS(pivot!$C$2:$C$1946, pivot!$A$2:$A$1946, endirim!B177)),
  pivot!$D$2:$D$1946)</f>
        <v>62</v>
      </c>
      <c r="E177" s="3" t="str" cm="1">
        <f t="array" ref="E177">_xlfn.XLOOKUP(1,
    (pivot!$A$2:$A$1946=endirim!B177) * (pivot!$D$2:$D$1946 = _xlfn.MAXIFS(pivot!$D$2:$D$1946, pivot!$A$2:$A$1946, endirim!B177)),
    pivot!$B$2:$B$1946)</f>
        <v>OwnsComputer</v>
      </c>
      <c r="F177" s="22">
        <f>_xlfn.MAXIFS(pivot!$D$2:$D$1946, pivot!$A$2:$A$1946, endirim!B177)</f>
        <v>62</v>
      </c>
      <c r="G177" s="3" t="str">
        <f t="shared" si="2"/>
        <v>Təklif yoxdur</v>
      </c>
    </row>
    <row r="178" spans="2:7" x14ac:dyDescent="0.3">
      <c r="B178" t="s">
        <v>232</v>
      </c>
      <c r="C178" s="3" t="str" cm="1">
        <f t="array" ref="C178">_xlfn.XLOOKUP(1,(pivot!$A$2:$A$1946=Table3[[#This Row],[Müştəri adı]])*(pivot!$C$2:$C$1946=_xlfn.MAXIFS(pivot!$C$2:$C$1946,pivot!$A$2:$A$1946,Table3[[#This Row],[Müştəri adı]])),pivot!$B$2:$B$1946)</f>
        <v>HandsetWebCapable</v>
      </c>
      <c r="D178" s="22" cm="1">
        <f t="array" ref="D178">_xlfn.XLOOKUP(1,
  (pivot!$A$2:$A$1946=endirim!B178) * (pivot!$C$2:$C$1946 = _xlfn.MAXIFS(pivot!$C$2:$C$1946, pivot!$A$2:$A$1946, endirim!B178)),
  pivot!$D$2:$D$1946)</f>
        <v>62</v>
      </c>
      <c r="E178" s="3" t="str" cm="1">
        <f t="array" ref="E178">_xlfn.XLOOKUP(1,
    (pivot!$A$2:$A$1946=endirim!B178) * (pivot!$D$2:$D$1946 = _xlfn.MAXIFS(pivot!$D$2:$D$1946, pivot!$A$2:$A$1946, endirim!B178)),
    pivot!$B$2:$B$1946)</f>
        <v>HandsetWebCapable</v>
      </c>
      <c r="F178" s="22">
        <f>_xlfn.MAXIFS(pivot!$D$2:$D$1946, pivot!$A$2:$A$1946, endirim!B178)</f>
        <v>62</v>
      </c>
      <c r="G178" s="3" t="str">
        <f t="shared" si="2"/>
        <v>Təklif yoxdur</v>
      </c>
    </row>
    <row r="179" spans="2:7" x14ac:dyDescent="0.3">
      <c r="B179" t="s">
        <v>233</v>
      </c>
      <c r="C179" s="3" t="str" cm="1">
        <f t="array" ref="C179">_xlfn.XLOOKUP(1,(pivot!$A$2:$A$1946=Table3[[#This Row],[Müştəri adı]])*(pivot!$C$2:$C$1946=_xlfn.MAXIFS(pivot!$C$2:$C$1946,pivot!$A$2:$A$1946,Table3[[#This Row],[Müştəri adı]])),pivot!$B$2:$B$1946)</f>
        <v>BuysViaMailOrder</v>
      </c>
      <c r="D179" s="22" cm="1">
        <f t="array" ref="D179">_xlfn.XLOOKUP(1,
  (pivot!$A$2:$A$1946=endirim!B179) * (pivot!$C$2:$C$1946 = _xlfn.MAXIFS(pivot!$C$2:$C$1946, pivot!$A$2:$A$1946, endirim!B179)),
  pivot!$D$2:$D$1946)</f>
        <v>25</v>
      </c>
      <c r="E179" s="3" t="str" cm="1">
        <f t="array" ref="E179">_xlfn.XLOOKUP(1,
    (pivot!$A$2:$A$1946=endirim!B179) * (pivot!$D$2:$D$1946 = _xlfn.MAXIFS(pivot!$D$2:$D$1946, pivot!$A$2:$A$1946, endirim!B179)),
    pivot!$B$2:$B$1946)</f>
        <v>OptOutMailings</v>
      </c>
      <c r="F179" s="22">
        <f>_xlfn.MAXIFS(pivot!$D$2:$D$1946, pivot!$A$2:$A$1946, endirim!B179)</f>
        <v>75</v>
      </c>
      <c r="G179" s="3" t="str">
        <f t="shared" si="2"/>
        <v>OptOutMailings Kompaniyasını 20% endirimlə təklif et</v>
      </c>
    </row>
    <row r="180" spans="2:7" x14ac:dyDescent="0.3">
      <c r="B180" t="s">
        <v>234</v>
      </c>
      <c r="C180" s="3" t="str" cm="1">
        <f t="array" ref="C180">_xlfn.XLOOKUP(1,(pivot!$A$2:$A$1946=Table3[[#This Row],[Müştəri adı]])*(pivot!$C$2:$C$1946=_xlfn.MAXIFS(pivot!$C$2:$C$1946,pivot!$A$2:$A$1946,Table3[[#This Row],[Müştəri adı]])),pivot!$B$2:$B$1946)</f>
        <v>MadeCallToRetentionTeam</v>
      </c>
      <c r="D180" s="22" cm="1">
        <f t="array" ref="D180">_xlfn.XLOOKUP(1,
  (pivot!$A$2:$A$1946=endirim!B180) * (pivot!$C$2:$C$1946 = _xlfn.MAXIFS(pivot!$C$2:$C$1946, pivot!$A$2:$A$1946, endirim!B180)),
  pivot!$D$2:$D$1946)</f>
        <v>16</v>
      </c>
      <c r="E180" s="3" t="str" cm="1">
        <f t="array" ref="E180">_xlfn.XLOOKUP(1,
    (pivot!$A$2:$A$1946=endirim!B180) * (pivot!$D$2:$D$1946 = _xlfn.MAXIFS(pivot!$D$2:$D$1946, pivot!$A$2:$A$1946, endirim!B180)),
    pivot!$B$2:$B$1946)</f>
        <v>MadeCallToRetentionTeam</v>
      </c>
      <c r="F180" s="22">
        <f>_xlfn.MAXIFS(pivot!$D$2:$D$1946, pivot!$A$2:$A$1946, endirim!B180)</f>
        <v>16</v>
      </c>
      <c r="G180" s="3" t="str">
        <f t="shared" si="2"/>
        <v>Təklif yoxdur</v>
      </c>
    </row>
    <row r="181" spans="2:7" x14ac:dyDescent="0.3">
      <c r="B181" t="s">
        <v>235</v>
      </c>
      <c r="C181" s="3" t="str" cm="1">
        <f t="array" ref="C181">_xlfn.XLOOKUP(1,(pivot!$A$2:$A$1946=Table3[[#This Row],[Müştəri adı]])*(pivot!$C$2:$C$1946=_xlfn.MAXIFS(pivot!$C$2:$C$1946,pivot!$A$2:$A$1946,Table3[[#This Row],[Müştəri adı]])),pivot!$B$2:$B$1946)</f>
        <v>RespondsToMailOffers</v>
      </c>
      <c r="D181" s="22" cm="1">
        <f t="array" ref="D181">_xlfn.XLOOKUP(1,
  (pivot!$A$2:$A$1946=endirim!B181) * (pivot!$C$2:$C$1946 = _xlfn.MAXIFS(pivot!$C$2:$C$1946, pivot!$A$2:$A$1946, endirim!B181)),
  pivot!$D$2:$D$1946)</f>
        <v>27</v>
      </c>
      <c r="E181" s="3" t="str" cm="1">
        <f t="array" ref="E181">_xlfn.XLOOKUP(1,
    (pivot!$A$2:$A$1946=endirim!B181) * (pivot!$D$2:$D$1946 = _xlfn.MAXIFS(pivot!$D$2:$D$1946, pivot!$A$2:$A$1946, endirim!B181)),
    pivot!$B$2:$B$1946)</f>
        <v>RespondsToMailOffers</v>
      </c>
      <c r="F181" s="22">
        <f>_xlfn.MAXIFS(pivot!$D$2:$D$1946, pivot!$A$2:$A$1946, endirim!B181)</f>
        <v>27</v>
      </c>
      <c r="G181" s="3" t="str">
        <f t="shared" si="2"/>
        <v>Təklif yoxdur</v>
      </c>
    </row>
    <row r="182" spans="2:7" x14ac:dyDescent="0.3">
      <c r="B182" t="s">
        <v>236</v>
      </c>
      <c r="C182" s="3" t="str" cm="1">
        <f t="array" ref="C182">_xlfn.XLOOKUP(1,(pivot!$A$2:$A$1946=Table3[[#This Row],[Müştəri adı]])*(pivot!$C$2:$C$1946=_xlfn.MAXIFS(pivot!$C$2:$C$1946,pivot!$A$2:$A$1946,Table3[[#This Row],[Müştəri adı]])),pivot!$B$2:$B$1946)</f>
        <v>MaritalStatus</v>
      </c>
      <c r="D182" s="22" cm="1">
        <f t="array" ref="D182">_xlfn.XLOOKUP(1,
  (pivot!$A$2:$A$1946=endirim!B182) * (pivot!$C$2:$C$1946 = _xlfn.MAXIFS(pivot!$C$2:$C$1946, pivot!$A$2:$A$1946, endirim!B182)),
  pivot!$D$2:$D$1946)</f>
        <v>29</v>
      </c>
      <c r="E182" s="3" t="str" cm="1">
        <f t="array" ref="E182">_xlfn.XLOOKUP(1,
    (pivot!$A$2:$A$1946=endirim!B182) * (pivot!$D$2:$D$1946 = _xlfn.MAXIFS(pivot!$D$2:$D$1946, pivot!$A$2:$A$1946, endirim!B182)),
    pivot!$B$2:$B$1946)</f>
        <v>MaritalStatus</v>
      </c>
      <c r="F182" s="22">
        <f>_xlfn.MAXIFS(pivot!$D$2:$D$1946, pivot!$A$2:$A$1946, endirim!B182)</f>
        <v>29</v>
      </c>
      <c r="G182" s="3" t="str">
        <f t="shared" si="2"/>
        <v>Təklif yoxdur</v>
      </c>
    </row>
    <row r="183" spans="2:7" x14ac:dyDescent="0.3">
      <c r="B183" t="s">
        <v>237</v>
      </c>
      <c r="C183" s="3" t="str" cm="1">
        <f t="array" ref="C183">_xlfn.XLOOKUP(1,(pivot!$A$2:$A$1946=Table3[[#This Row],[Müştəri adı]])*(pivot!$C$2:$C$1946=_xlfn.MAXIFS(pivot!$C$2:$C$1946,pivot!$A$2:$A$1946,Table3[[#This Row],[Müştəri adı]])),pivot!$B$2:$B$1946)</f>
        <v>NonUSTravel</v>
      </c>
      <c r="D183" s="22" cm="1">
        <f t="array" ref="D183">_xlfn.XLOOKUP(1,
  (pivot!$A$2:$A$1946=endirim!B183) * (pivot!$C$2:$C$1946 = _xlfn.MAXIFS(pivot!$C$2:$C$1946, pivot!$A$2:$A$1946, endirim!B183)),
  pivot!$D$2:$D$1946)</f>
        <v>66</v>
      </c>
      <c r="E183" s="3" t="str" cm="1">
        <f t="array" ref="E183">_xlfn.XLOOKUP(1,
    (pivot!$A$2:$A$1946=endirim!B183) * (pivot!$D$2:$D$1946 = _xlfn.MAXIFS(pivot!$D$2:$D$1946, pivot!$A$2:$A$1946, endirim!B183)),
    pivot!$B$2:$B$1946)</f>
        <v>NonUSTravel</v>
      </c>
      <c r="F183" s="22">
        <f>_xlfn.MAXIFS(pivot!$D$2:$D$1946, pivot!$A$2:$A$1946, endirim!B183)</f>
        <v>66</v>
      </c>
      <c r="G183" s="3" t="str">
        <f t="shared" si="2"/>
        <v>Təklif yoxdur</v>
      </c>
    </row>
    <row r="184" spans="2:7" x14ac:dyDescent="0.3">
      <c r="B184" t="s">
        <v>238</v>
      </c>
      <c r="C184" s="3" t="str" cm="1">
        <f t="array" ref="C184">_xlfn.XLOOKUP(1,(pivot!$A$2:$A$1946=Table3[[#This Row],[Müştəri adı]])*(pivot!$C$2:$C$1946=_xlfn.MAXIFS(pivot!$C$2:$C$1946,pivot!$A$2:$A$1946,Table3[[#This Row],[Müştəri adı]])),pivot!$B$2:$B$1946)</f>
        <v>OptOutMailings</v>
      </c>
      <c r="D184" s="22" cm="1">
        <f t="array" ref="D184">_xlfn.XLOOKUP(1,
  (pivot!$A$2:$A$1946=endirim!B184) * (pivot!$C$2:$C$1946 = _xlfn.MAXIFS(pivot!$C$2:$C$1946, pivot!$A$2:$A$1946, endirim!B184)),
  pivot!$D$2:$D$1946)</f>
        <v>75</v>
      </c>
      <c r="E184" s="3" t="str" cm="1">
        <f t="array" ref="E184">_xlfn.XLOOKUP(1,
    (pivot!$A$2:$A$1946=endirim!B184) * (pivot!$D$2:$D$1946 = _xlfn.MAXIFS(pivot!$D$2:$D$1946, pivot!$A$2:$A$1946, endirim!B184)),
    pivot!$B$2:$B$1946)</f>
        <v>OptOutMailings</v>
      </c>
      <c r="F184" s="22">
        <f>_xlfn.MAXIFS(pivot!$D$2:$D$1946, pivot!$A$2:$A$1946, endirim!B184)</f>
        <v>75</v>
      </c>
      <c r="G184" s="3" t="str">
        <f t="shared" si="2"/>
        <v>Təklif yoxdur</v>
      </c>
    </row>
    <row r="185" spans="2:7" x14ac:dyDescent="0.3">
      <c r="B185" t="s">
        <v>239</v>
      </c>
      <c r="C185" s="3" t="str" cm="1">
        <f t="array" ref="C185">_xlfn.XLOOKUP(1,(pivot!$A$2:$A$1946=Table3[[#This Row],[Müştəri adı]])*(pivot!$C$2:$C$1946=_xlfn.MAXIFS(pivot!$C$2:$C$1946,pivot!$A$2:$A$1946,Table3[[#This Row],[Müştəri adı]])),pivot!$B$2:$B$1946)</f>
        <v>Homeownership</v>
      </c>
      <c r="D185" s="22" cm="1">
        <f t="array" ref="D185">_xlfn.XLOOKUP(1,
  (pivot!$A$2:$A$1946=endirim!B185) * (pivot!$C$2:$C$1946 = _xlfn.MAXIFS(pivot!$C$2:$C$1946, pivot!$A$2:$A$1946, endirim!B185)),
  pivot!$D$2:$D$1946)</f>
        <v>13</v>
      </c>
      <c r="E185" s="3" t="str" cm="1">
        <f t="array" ref="E185">_xlfn.XLOOKUP(1,
    (pivot!$A$2:$A$1946=endirim!B185) * (pivot!$D$2:$D$1946 = _xlfn.MAXIFS(pivot!$D$2:$D$1946, pivot!$A$2:$A$1946, endirim!B185)),
    pivot!$B$2:$B$1946)</f>
        <v>TruckOwner</v>
      </c>
      <c r="F185" s="22">
        <f>_xlfn.MAXIFS(pivot!$D$2:$D$1946, pivot!$A$2:$A$1946, endirim!B185)</f>
        <v>26</v>
      </c>
      <c r="G185" s="3" t="str">
        <f t="shared" si="2"/>
        <v>TruckOwner Kompaniyasını 20% endirimlə təklif et</v>
      </c>
    </row>
    <row r="186" spans="2:7" x14ac:dyDescent="0.3">
      <c r="B186" t="s">
        <v>240</v>
      </c>
      <c r="C186" s="3" t="str" cm="1">
        <f t="array" ref="C186">_xlfn.XLOOKUP(1,(pivot!$A$2:$A$1946=Table3[[#This Row],[Müştəri adı]])*(pivot!$C$2:$C$1946=_xlfn.MAXIFS(pivot!$C$2:$C$1946,pivot!$A$2:$A$1946,Table3[[#This Row],[Müştəri adı]])),pivot!$B$2:$B$1946)</f>
        <v>OptOutMailings</v>
      </c>
      <c r="D186" s="22" cm="1">
        <f t="array" ref="D186">_xlfn.XLOOKUP(1,
  (pivot!$A$2:$A$1946=endirim!B186) * (pivot!$C$2:$C$1946 = _xlfn.MAXIFS(pivot!$C$2:$C$1946, pivot!$A$2:$A$1946, endirim!B186)),
  pivot!$D$2:$D$1946)</f>
        <v>75</v>
      </c>
      <c r="E186" s="3" t="str" cm="1">
        <f t="array" ref="E186">_xlfn.XLOOKUP(1,
    (pivot!$A$2:$A$1946=endirim!B186) * (pivot!$D$2:$D$1946 = _xlfn.MAXIFS(pivot!$D$2:$D$1946, pivot!$A$2:$A$1946, endirim!B186)),
    pivot!$B$2:$B$1946)</f>
        <v>OptOutMailings</v>
      </c>
      <c r="F186" s="22">
        <f>_xlfn.MAXIFS(pivot!$D$2:$D$1946, pivot!$A$2:$A$1946, endirim!B186)</f>
        <v>75</v>
      </c>
      <c r="G186" s="3" t="str">
        <f t="shared" si="2"/>
        <v>Təklif yoxdur</v>
      </c>
    </row>
    <row r="187" spans="2:7" x14ac:dyDescent="0.3">
      <c r="B187" t="s">
        <v>241</v>
      </c>
      <c r="C187" s="3" t="str" cm="1">
        <f t="array" ref="C187">_xlfn.XLOOKUP(1,(pivot!$A$2:$A$1946=Table3[[#This Row],[Müştəri adı]])*(pivot!$C$2:$C$1946=_xlfn.MAXIFS(pivot!$C$2:$C$1946,pivot!$A$2:$A$1946,Table3[[#This Row],[Müştəri adı]])),pivot!$B$2:$B$1946)</f>
        <v>ChildrenInHH</v>
      </c>
      <c r="D187" s="22" cm="1">
        <f t="array" ref="D187">_xlfn.XLOOKUP(1,
  (pivot!$A$2:$A$1946=endirim!B187) * (pivot!$C$2:$C$1946 = _xlfn.MAXIFS(pivot!$C$2:$C$1946, pivot!$A$2:$A$1946, endirim!B187)),
  pivot!$D$2:$D$1946)</f>
        <v>10</v>
      </c>
      <c r="E187" s="3" t="str" cm="1">
        <f t="array" ref="E187">_xlfn.XLOOKUP(1,
    (pivot!$A$2:$A$1946=endirim!B187) * (pivot!$D$2:$D$1946 = _xlfn.MAXIFS(pivot!$D$2:$D$1946, pivot!$A$2:$A$1946, endirim!B187)),
    pivot!$B$2:$B$1946)</f>
        <v>HandsetRefurbished</v>
      </c>
      <c r="F187" s="22">
        <f>_xlfn.MAXIFS(pivot!$D$2:$D$1946, pivot!$A$2:$A$1946, endirim!B187)</f>
        <v>26</v>
      </c>
      <c r="G187" s="3" t="str">
        <f t="shared" si="2"/>
        <v>HandsetRefurbished Kompaniyasını 20% endirimlə təklif et</v>
      </c>
    </row>
    <row r="188" spans="2:7" x14ac:dyDescent="0.3">
      <c r="B188" t="s">
        <v>242</v>
      </c>
      <c r="C188" s="3" t="str" cm="1">
        <f t="array" ref="C188">_xlfn.XLOOKUP(1,(pivot!$A$2:$A$1946=Table3[[#This Row],[Müştəri adı]])*(pivot!$C$2:$C$1946=_xlfn.MAXIFS(pivot!$C$2:$C$1946,pivot!$A$2:$A$1946,Table3[[#This Row],[Müştəri adı]])),pivot!$B$2:$B$1946)</f>
        <v>OptOutMailings</v>
      </c>
      <c r="D188" s="22" cm="1">
        <f t="array" ref="D188">_xlfn.XLOOKUP(1,
  (pivot!$A$2:$A$1946=endirim!B188) * (pivot!$C$2:$C$1946 = _xlfn.MAXIFS(pivot!$C$2:$C$1946, pivot!$A$2:$A$1946, endirim!B188)),
  pivot!$D$2:$D$1946)</f>
        <v>75</v>
      </c>
      <c r="E188" s="3" t="str" cm="1">
        <f t="array" ref="E188">_xlfn.XLOOKUP(1,
    (pivot!$A$2:$A$1946=endirim!B188) * (pivot!$D$2:$D$1946 = _xlfn.MAXIFS(pivot!$D$2:$D$1946, pivot!$A$2:$A$1946, endirim!B188)),
    pivot!$B$2:$B$1946)</f>
        <v>OptOutMailings</v>
      </c>
      <c r="F188" s="22">
        <f>_xlfn.MAXIFS(pivot!$D$2:$D$1946, pivot!$A$2:$A$1946, endirim!B188)</f>
        <v>75</v>
      </c>
      <c r="G188" s="3" t="str">
        <f t="shared" si="2"/>
        <v>Təklif yoxdur</v>
      </c>
    </row>
    <row r="189" spans="2:7" x14ac:dyDescent="0.3">
      <c r="B189" t="s">
        <v>243</v>
      </c>
      <c r="C189" s="3" t="str" cm="1">
        <f t="array" ref="C189">_xlfn.XLOOKUP(1,(pivot!$A$2:$A$1946=Table3[[#This Row],[Müştəri adı]])*(pivot!$C$2:$C$1946=_xlfn.MAXIFS(pivot!$C$2:$C$1946,pivot!$A$2:$A$1946,Table3[[#This Row],[Müştəri adı]])),pivot!$B$2:$B$1946)</f>
        <v>BuysViaMailOrder</v>
      </c>
      <c r="D189" s="22" cm="1">
        <f t="array" ref="D189">_xlfn.XLOOKUP(1,
  (pivot!$A$2:$A$1946=endirim!B189) * (pivot!$C$2:$C$1946 = _xlfn.MAXIFS(pivot!$C$2:$C$1946, pivot!$A$2:$A$1946, endirim!B189)),
  pivot!$D$2:$D$1946)</f>
        <v>25</v>
      </c>
      <c r="E189" s="3" t="str" cm="1">
        <f t="array" ref="E189">_xlfn.XLOOKUP(1,
    (pivot!$A$2:$A$1946=endirim!B189) * (pivot!$D$2:$D$1946 = _xlfn.MAXIFS(pivot!$D$2:$D$1946, pivot!$A$2:$A$1946, endirim!B189)),
    pivot!$B$2:$B$1946)</f>
        <v>RespondsToMailOffers</v>
      </c>
      <c r="F189" s="22">
        <f>_xlfn.MAXIFS(pivot!$D$2:$D$1946, pivot!$A$2:$A$1946, endirim!B189)</f>
        <v>27</v>
      </c>
      <c r="G189" s="3" t="str">
        <f t="shared" si="2"/>
        <v>RespondsToMailOffers Kompaniyasını 20% endirimlə təklif et</v>
      </c>
    </row>
    <row r="190" spans="2:7" x14ac:dyDescent="0.3">
      <c r="B190" t="s">
        <v>244</v>
      </c>
      <c r="C190" s="3" t="str" cm="1">
        <f t="array" ref="C190">_xlfn.XLOOKUP(1,(pivot!$A$2:$A$1946=Table3[[#This Row],[Müştəri adı]])*(pivot!$C$2:$C$1946=_xlfn.MAXIFS(pivot!$C$2:$C$1946,pivot!$A$2:$A$1946,Table3[[#This Row],[Müştəri adı]])),pivot!$B$2:$B$1946)</f>
        <v>NewCellphoneUser</v>
      </c>
      <c r="D190" s="22" cm="1">
        <f t="array" ref="D190">_xlfn.XLOOKUP(1,
  (pivot!$A$2:$A$1946=endirim!B190) * (pivot!$C$2:$C$1946 = _xlfn.MAXIFS(pivot!$C$2:$C$1946, pivot!$A$2:$A$1946, endirim!B190)),
  pivot!$D$2:$D$1946)</f>
        <v>25</v>
      </c>
      <c r="E190" s="3" t="str" cm="1">
        <f t="array" ref="E190">_xlfn.XLOOKUP(1,
    (pivot!$A$2:$A$1946=endirim!B190) * (pivot!$D$2:$D$1946 = _xlfn.MAXIFS(pivot!$D$2:$D$1946, pivot!$A$2:$A$1946, endirim!B190)),
    pivot!$B$2:$B$1946)</f>
        <v>HasCreditCard</v>
      </c>
      <c r="F190" s="22">
        <f>_xlfn.MAXIFS(pivot!$D$2:$D$1946, pivot!$A$2:$A$1946, endirim!B190)</f>
        <v>65</v>
      </c>
      <c r="G190" s="3" t="str">
        <f t="shared" si="2"/>
        <v>HasCreditCard Kompaniyasını 20% endirimlə təklif et</v>
      </c>
    </row>
    <row r="191" spans="2:7" x14ac:dyDescent="0.3">
      <c r="B191" t="s">
        <v>245</v>
      </c>
      <c r="C191" s="3" t="str" cm="1">
        <f t="array" ref="C191">_xlfn.XLOOKUP(1,(pivot!$A$2:$A$1946=Table3[[#This Row],[Müştəri adı]])*(pivot!$C$2:$C$1946=_xlfn.MAXIFS(pivot!$C$2:$C$1946,pivot!$A$2:$A$1946,Table3[[#This Row],[Müştəri adı]])),pivot!$B$2:$B$1946)</f>
        <v>Homeownership</v>
      </c>
      <c r="D191" s="22" cm="1">
        <f t="array" ref="D191">_xlfn.XLOOKUP(1,
  (pivot!$A$2:$A$1946=endirim!B191) * (pivot!$C$2:$C$1946 = _xlfn.MAXIFS(pivot!$C$2:$C$1946, pivot!$A$2:$A$1946, endirim!B191)),
  pivot!$D$2:$D$1946)</f>
        <v>13</v>
      </c>
      <c r="E191" s="3" t="str" cm="1">
        <f t="array" ref="E191">_xlfn.XLOOKUP(1,
    (pivot!$A$2:$A$1946=endirim!B191) * (pivot!$D$2:$D$1946 = _xlfn.MAXIFS(pivot!$D$2:$D$1946, pivot!$A$2:$A$1946, endirim!B191)),
    pivot!$B$2:$B$1946)</f>
        <v>OwnsMotorcycle</v>
      </c>
      <c r="F191" s="22">
        <f>_xlfn.MAXIFS(pivot!$D$2:$D$1946, pivot!$A$2:$A$1946, endirim!B191)</f>
        <v>14</v>
      </c>
      <c r="G191" s="3" t="str">
        <f t="shared" si="2"/>
        <v>OwnsMotorcycle Kompaniyasını 20% endirimlə təklif et</v>
      </c>
    </row>
    <row r="192" spans="2:7" x14ac:dyDescent="0.3">
      <c r="B192" t="s">
        <v>246</v>
      </c>
      <c r="C192" s="3" t="str" cm="1">
        <f t="array" ref="C192">_xlfn.XLOOKUP(1,(pivot!$A$2:$A$1946=Table3[[#This Row],[Müştəri adı]])*(pivot!$C$2:$C$1946=_xlfn.MAXIFS(pivot!$C$2:$C$1946,pivot!$A$2:$A$1946,Table3[[#This Row],[Müştəri adı]])),pivot!$B$2:$B$1946)</f>
        <v>MaritalStatus</v>
      </c>
      <c r="D192" s="22" cm="1">
        <f t="array" ref="D192">_xlfn.XLOOKUP(1,
  (pivot!$A$2:$A$1946=endirim!B192) * (pivot!$C$2:$C$1946 = _xlfn.MAXIFS(pivot!$C$2:$C$1946, pivot!$A$2:$A$1946, endirim!B192)),
  pivot!$D$2:$D$1946)</f>
        <v>29</v>
      </c>
      <c r="E192" s="3" t="str" cm="1">
        <f t="array" ref="E192">_xlfn.XLOOKUP(1,
    (pivot!$A$2:$A$1946=endirim!B192) * (pivot!$D$2:$D$1946 = _xlfn.MAXIFS(pivot!$D$2:$D$1946, pivot!$A$2:$A$1946, endirim!B192)),
    pivot!$B$2:$B$1946)</f>
        <v>MaritalStatus</v>
      </c>
      <c r="F192" s="22">
        <f>_xlfn.MAXIFS(pivot!$D$2:$D$1946, pivot!$A$2:$A$1946, endirim!B192)</f>
        <v>29</v>
      </c>
      <c r="G192" s="3" t="str">
        <f t="shared" si="2"/>
        <v>Təklif yoxdur</v>
      </c>
    </row>
    <row r="193" spans="2:7" x14ac:dyDescent="0.3">
      <c r="B193" t="s">
        <v>247</v>
      </c>
      <c r="C193" s="3" t="str" cm="1">
        <f t="array" ref="C193">_xlfn.XLOOKUP(1,(pivot!$A$2:$A$1946=Table3[[#This Row],[Müştəri adı]])*(pivot!$C$2:$C$1946=_xlfn.MAXIFS(pivot!$C$2:$C$1946,pivot!$A$2:$A$1946,Table3[[#This Row],[Müştəri adı]])),pivot!$B$2:$B$1946)</f>
        <v>HasCreditCard</v>
      </c>
      <c r="D193" s="22" cm="1">
        <f t="array" ref="D193">_xlfn.XLOOKUP(1,
  (pivot!$A$2:$A$1946=endirim!B193) * (pivot!$C$2:$C$1946 = _xlfn.MAXIFS(pivot!$C$2:$C$1946, pivot!$A$2:$A$1946, endirim!B193)),
  pivot!$D$2:$D$1946)</f>
        <v>65</v>
      </c>
      <c r="E193" s="3" t="str" cm="1">
        <f t="array" ref="E193">_xlfn.XLOOKUP(1,
    (pivot!$A$2:$A$1946=endirim!B193) * (pivot!$D$2:$D$1946 = _xlfn.MAXIFS(pivot!$D$2:$D$1946, pivot!$A$2:$A$1946, endirim!B193)),
    pivot!$B$2:$B$1946)</f>
        <v>HasCreditCard</v>
      </c>
      <c r="F193" s="22">
        <f>_xlfn.MAXIFS(pivot!$D$2:$D$1946, pivot!$A$2:$A$1946, endirim!B193)</f>
        <v>65</v>
      </c>
      <c r="G193" s="3" t="str">
        <f t="shared" si="2"/>
        <v>Təklif yoxdur</v>
      </c>
    </row>
    <row r="194" spans="2:7" x14ac:dyDescent="0.3">
      <c r="B194" t="s">
        <v>248</v>
      </c>
      <c r="C194" s="3" t="str" cm="1">
        <f t="array" ref="C194">_xlfn.XLOOKUP(1,(pivot!$A$2:$A$1946=Table3[[#This Row],[Müştəri adı]])*(pivot!$C$2:$C$1946=_xlfn.MAXIFS(pivot!$C$2:$C$1946,pivot!$A$2:$A$1946,Table3[[#This Row],[Müştəri adı]])),pivot!$B$2:$B$1946)</f>
        <v>HandsetWebCapable</v>
      </c>
      <c r="D194" s="22" cm="1">
        <f t="array" ref="D194">_xlfn.XLOOKUP(1,
  (pivot!$A$2:$A$1946=endirim!B194) * (pivot!$C$2:$C$1946 = _xlfn.MAXIFS(pivot!$C$2:$C$1946, pivot!$A$2:$A$1946, endirim!B194)),
  pivot!$D$2:$D$1946)</f>
        <v>62</v>
      </c>
      <c r="E194" s="3" t="str" cm="1">
        <f t="array" ref="E194">_xlfn.XLOOKUP(1,
    (pivot!$A$2:$A$1946=endirim!B194) * (pivot!$D$2:$D$1946 = _xlfn.MAXIFS(pivot!$D$2:$D$1946, pivot!$A$2:$A$1946, endirim!B194)),
    pivot!$B$2:$B$1946)</f>
        <v>HandsetWebCapable</v>
      </c>
      <c r="F194" s="22">
        <f>_xlfn.MAXIFS(pivot!$D$2:$D$1946, pivot!$A$2:$A$1946, endirim!B194)</f>
        <v>62</v>
      </c>
      <c r="G194" s="3" t="str">
        <f t="shared" si="2"/>
        <v>Təklif yoxdur</v>
      </c>
    </row>
    <row r="195" spans="2:7" x14ac:dyDescent="0.3">
      <c r="B195" t="s">
        <v>249</v>
      </c>
      <c r="C195" s="3" t="str" cm="1">
        <f t="array" ref="C195">_xlfn.XLOOKUP(1,(pivot!$A$2:$A$1946=Table3[[#This Row],[Müştəri adı]])*(pivot!$C$2:$C$1946=_xlfn.MAXIFS(pivot!$C$2:$C$1946,pivot!$A$2:$A$1946,Table3[[#This Row],[Müştəri adı]])),pivot!$B$2:$B$1946)</f>
        <v>NewCellphoneUser</v>
      </c>
      <c r="D195" s="22" cm="1">
        <f t="array" ref="D195">_xlfn.XLOOKUP(1,
  (pivot!$A$2:$A$1946=endirim!B195) * (pivot!$C$2:$C$1946 = _xlfn.MAXIFS(pivot!$C$2:$C$1946, pivot!$A$2:$A$1946, endirim!B195)),
  pivot!$D$2:$D$1946)</f>
        <v>25</v>
      </c>
      <c r="E195" s="3" t="str" cm="1">
        <f t="array" ref="E195">_xlfn.XLOOKUP(1,
    (pivot!$A$2:$A$1946=endirim!B195) * (pivot!$D$2:$D$1946 = _xlfn.MAXIFS(pivot!$D$2:$D$1946, pivot!$A$2:$A$1946, endirim!B195)),
    pivot!$B$2:$B$1946)</f>
        <v>HandsetWebCapable</v>
      </c>
      <c r="F195" s="22">
        <f>_xlfn.MAXIFS(pivot!$D$2:$D$1946, pivot!$A$2:$A$1946, endirim!B195)</f>
        <v>62</v>
      </c>
      <c r="G195" s="3" t="str">
        <f t="shared" si="2"/>
        <v>HandsetWebCapable Kompaniyasını 20% endirimlə təklif et</v>
      </c>
    </row>
    <row r="196" spans="2:7" x14ac:dyDescent="0.3">
      <c r="B196" t="s">
        <v>250</v>
      </c>
      <c r="C196" s="3" t="str" cm="1">
        <f t="array" ref="C196">_xlfn.XLOOKUP(1,(pivot!$A$2:$A$1946=Table3[[#This Row],[Müştəri adı]])*(pivot!$C$2:$C$1946=_xlfn.MAXIFS(pivot!$C$2:$C$1946,pivot!$A$2:$A$1946,Table3[[#This Row],[Müştəri adı]])),pivot!$B$2:$B$1946)</f>
        <v>ChildrenInHH</v>
      </c>
      <c r="D196" s="22" cm="1">
        <f t="array" ref="D196">_xlfn.XLOOKUP(1,
  (pivot!$A$2:$A$1946=endirim!B196) * (pivot!$C$2:$C$1946 = _xlfn.MAXIFS(pivot!$C$2:$C$1946, pivot!$A$2:$A$1946, endirim!B196)),
  pivot!$D$2:$D$1946)</f>
        <v>10</v>
      </c>
      <c r="E196" s="3" t="str" cm="1">
        <f t="array" ref="E196">_xlfn.XLOOKUP(1,
    (pivot!$A$2:$A$1946=endirim!B196) * (pivot!$D$2:$D$1946 = _xlfn.MAXIFS(pivot!$D$2:$D$1946, pivot!$A$2:$A$1946, endirim!B196)),
    pivot!$B$2:$B$1946)</f>
        <v>RVOwner</v>
      </c>
      <c r="F196" s="22">
        <f>_xlfn.MAXIFS(pivot!$D$2:$D$1946, pivot!$A$2:$A$1946, endirim!B196)</f>
        <v>22</v>
      </c>
      <c r="G196" s="3" t="str">
        <f t="shared" ref="G196:G259" si="3">IF(D196=F196, "Təklif yoxdur", E196&amp;" Kompaniyasını 20% endirimlə təklif et")</f>
        <v>RVOwner Kompaniyasını 20% endirimlə təklif et</v>
      </c>
    </row>
    <row r="197" spans="2:7" x14ac:dyDescent="0.3">
      <c r="B197" t="s">
        <v>251</v>
      </c>
      <c r="C197" s="3" t="str" cm="1">
        <f t="array" ref="C197">_xlfn.XLOOKUP(1,(pivot!$A$2:$A$1946=Table3[[#This Row],[Müştəri adı]])*(pivot!$C$2:$C$1946=_xlfn.MAXIFS(pivot!$C$2:$C$1946,pivot!$A$2:$A$1946,Table3[[#This Row],[Müştəri adı]])),pivot!$B$2:$B$1946)</f>
        <v>MaritalStatus</v>
      </c>
      <c r="D197" s="22" cm="1">
        <f t="array" ref="D197">_xlfn.XLOOKUP(1,
  (pivot!$A$2:$A$1946=endirim!B197) * (pivot!$C$2:$C$1946 = _xlfn.MAXIFS(pivot!$C$2:$C$1946, pivot!$A$2:$A$1946, endirim!B197)),
  pivot!$D$2:$D$1946)</f>
        <v>29</v>
      </c>
      <c r="E197" s="3" t="str" cm="1">
        <f t="array" ref="E197">_xlfn.XLOOKUP(1,
    (pivot!$A$2:$A$1946=endirim!B197) * (pivot!$D$2:$D$1946 = _xlfn.MAXIFS(pivot!$D$2:$D$1946, pivot!$A$2:$A$1946, endirim!B197)),
    pivot!$B$2:$B$1946)</f>
        <v>HasCreditCard</v>
      </c>
      <c r="F197" s="22">
        <f>_xlfn.MAXIFS(pivot!$D$2:$D$1946, pivot!$A$2:$A$1946, endirim!B197)</f>
        <v>65</v>
      </c>
      <c r="G197" s="3" t="str">
        <f t="shared" si="3"/>
        <v>HasCreditCard Kompaniyasını 20% endirimlə təklif et</v>
      </c>
    </row>
    <row r="198" spans="2:7" x14ac:dyDescent="0.3">
      <c r="B198" t="s">
        <v>252</v>
      </c>
      <c r="C198" s="3" t="str" cm="1">
        <f t="array" ref="C198">_xlfn.XLOOKUP(1,(pivot!$A$2:$A$1946=Table3[[#This Row],[Müştəri adı]])*(pivot!$C$2:$C$1946=_xlfn.MAXIFS(pivot!$C$2:$C$1946,pivot!$A$2:$A$1946,Table3[[#This Row],[Müştəri adı]])),pivot!$B$2:$B$1946)</f>
        <v>OwnsComputer</v>
      </c>
      <c r="D198" s="22" cm="1">
        <f t="array" ref="D198">_xlfn.XLOOKUP(1,
  (pivot!$A$2:$A$1946=endirim!B198) * (pivot!$C$2:$C$1946 = _xlfn.MAXIFS(pivot!$C$2:$C$1946, pivot!$A$2:$A$1946, endirim!B198)),
  pivot!$D$2:$D$1946)</f>
        <v>62</v>
      </c>
      <c r="E198" s="3" t="str" cm="1">
        <f t="array" ref="E198">_xlfn.XLOOKUP(1,
    (pivot!$A$2:$A$1946=endirim!B198) * (pivot!$D$2:$D$1946 = _xlfn.MAXIFS(pivot!$D$2:$D$1946, pivot!$A$2:$A$1946, endirim!B198)),
    pivot!$B$2:$B$1946)</f>
        <v>OwnsComputer</v>
      </c>
      <c r="F198" s="22">
        <f>_xlfn.MAXIFS(pivot!$D$2:$D$1946, pivot!$A$2:$A$1946, endirim!B198)</f>
        <v>62</v>
      </c>
      <c r="G198" s="3" t="str">
        <f t="shared" si="3"/>
        <v>Təklif yoxdur</v>
      </c>
    </row>
    <row r="199" spans="2:7" x14ac:dyDescent="0.3">
      <c r="B199" t="s">
        <v>253</v>
      </c>
      <c r="C199" s="3" t="str" cm="1">
        <f t="array" ref="C199">_xlfn.XLOOKUP(1,(pivot!$A$2:$A$1946=Table3[[#This Row],[Müştəri adı]])*(pivot!$C$2:$C$1946=_xlfn.MAXIFS(pivot!$C$2:$C$1946,pivot!$A$2:$A$1946,Table3[[#This Row],[Müştəri adı]])),pivot!$B$2:$B$1946)</f>
        <v>OptOutMailings</v>
      </c>
      <c r="D199" s="22" cm="1">
        <f t="array" ref="D199">_xlfn.XLOOKUP(1,
  (pivot!$A$2:$A$1946=endirim!B199) * (pivot!$C$2:$C$1946 = _xlfn.MAXIFS(pivot!$C$2:$C$1946, pivot!$A$2:$A$1946, endirim!B199)),
  pivot!$D$2:$D$1946)</f>
        <v>75</v>
      </c>
      <c r="E199" s="3" t="str" cm="1">
        <f t="array" ref="E199">_xlfn.XLOOKUP(1,
    (pivot!$A$2:$A$1946=endirim!B199) * (pivot!$D$2:$D$1946 = _xlfn.MAXIFS(pivot!$D$2:$D$1946, pivot!$A$2:$A$1946, endirim!B199)),
    pivot!$B$2:$B$1946)</f>
        <v>OptOutMailings</v>
      </c>
      <c r="F199" s="22">
        <f>_xlfn.MAXIFS(pivot!$D$2:$D$1946, pivot!$A$2:$A$1946, endirim!B199)</f>
        <v>75</v>
      </c>
      <c r="G199" s="3" t="str">
        <f t="shared" si="3"/>
        <v>Təklif yoxdur</v>
      </c>
    </row>
    <row r="200" spans="2:7" x14ac:dyDescent="0.3">
      <c r="B200" t="s">
        <v>254</v>
      </c>
      <c r="C200" s="3" t="str" cm="1">
        <f t="array" ref="C200">_xlfn.XLOOKUP(1,(pivot!$A$2:$A$1946=Table3[[#This Row],[Müştəri adı]])*(pivot!$C$2:$C$1946=_xlfn.MAXIFS(pivot!$C$2:$C$1946,pivot!$A$2:$A$1946,Table3[[#This Row],[Müştəri adı]])),pivot!$B$2:$B$1946)</f>
        <v>NewCellphoneUser</v>
      </c>
      <c r="D200" s="22" cm="1">
        <f t="array" ref="D200">_xlfn.XLOOKUP(1,
  (pivot!$A$2:$A$1946=endirim!B200) * (pivot!$C$2:$C$1946 = _xlfn.MAXIFS(pivot!$C$2:$C$1946, pivot!$A$2:$A$1946, endirim!B200)),
  pivot!$D$2:$D$1946)</f>
        <v>25</v>
      </c>
      <c r="E200" s="3" t="str" cm="1">
        <f t="array" ref="E200">_xlfn.XLOOKUP(1,
    (pivot!$A$2:$A$1946=endirim!B200) * (pivot!$D$2:$D$1946 = _xlfn.MAXIFS(pivot!$D$2:$D$1946, pivot!$A$2:$A$1946, endirim!B200)),
    pivot!$B$2:$B$1946)</f>
        <v>NewCellphoneUser</v>
      </c>
      <c r="F200" s="22">
        <f>_xlfn.MAXIFS(pivot!$D$2:$D$1946, pivot!$A$2:$A$1946, endirim!B200)</f>
        <v>25</v>
      </c>
      <c r="G200" s="3" t="str">
        <f t="shared" si="3"/>
        <v>Təklif yoxdur</v>
      </c>
    </row>
    <row r="201" spans="2:7" x14ac:dyDescent="0.3">
      <c r="B201" t="s">
        <v>255</v>
      </c>
      <c r="C201" s="3" t="str" cm="1">
        <f t="array" ref="C201">_xlfn.XLOOKUP(1,(pivot!$A$2:$A$1946=Table3[[#This Row],[Müştəri adı]])*(pivot!$C$2:$C$1946=_xlfn.MAXIFS(pivot!$C$2:$C$1946,pivot!$A$2:$A$1946,Table3[[#This Row],[Müştəri adı]])),pivot!$B$2:$B$1946)</f>
        <v>TruckOwner</v>
      </c>
      <c r="D201" s="22" cm="1">
        <f t="array" ref="D201">_xlfn.XLOOKUP(1,
  (pivot!$A$2:$A$1946=endirim!B201) * (pivot!$C$2:$C$1946 = _xlfn.MAXIFS(pivot!$C$2:$C$1946, pivot!$A$2:$A$1946, endirim!B201)),
  pivot!$D$2:$D$1946)</f>
        <v>26</v>
      </c>
      <c r="E201" s="3" t="str" cm="1">
        <f t="array" ref="E201">_xlfn.XLOOKUP(1,
    (pivot!$A$2:$A$1946=endirim!B201) * (pivot!$D$2:$D$1946 = _xlfn.MAXIFS(pivot!$D$2:$D$1946, pivot!$A$2:$A$1946, endirim!B201)),
    pivot!$B$2:$B$1946)</f>
        <v>TruckOwner</v>
      </c>
      <c r="F201" s="22">
        <f>_xlfn.MAXIFS(pivot!$D$2:$D$1946, pivot!$A$2:$A$1946, endirim!B201)</f>
        <v>26</v>
      </c>
      <c r="G201" s="3" t="str">
        <f t="shared" si="3"/>
        <v>Təklif yoxdur</v>
      </c>
    </row>
    <row r="202" spans="2:7" x14ac:dyDescent="0.3">
      <c r="B202" t="s">
        <v>256</v>
      </c>
      <c r="C202" s="3" t="str" cm="1">
        <f t="array" ref="C202">_xlfn.XLOOKUP(1,(pivot!$A$2:$A$1946=Table3[[#This Row],[Müştəri adı]])*(pivot!$C$2:$C$1946=_xlfn.MAXIFS(pivot!$C$2:$C$1946,pivot!$A$2:$A$1946,Table3[[#This Row],[Müştəri adı]])),pivot!$B$2:$B$1946)</f>
        <v>OptOutMailings</v>
      </c>
      <c r="D202" s="22" cm="1">
        <f t="array" ref="D202">_xlfn.XLOOKUP(1,
  (pivot!$A$2:$A$1946=endirim!B202) * (pivot!$C$2:$C$1946 = _xlfn.MAXIFS(pivot!$C$2:$C$1946, pivot!$A$2:$A$1946, endirim!B202)),
  pivot!$D$2:$D$1946)</f>
        <v>75</v>
      </c>
      <c r="E202" s="3" t="str" cm="1">
        <f t="array" ref="E202">_xlfn.XLOOKUP(1,
    (pivot!$A$2:$A$1946=endirim!B202) * (pivot!$D$2:$D$1946 = _xlfn.MAXIFS(pivot!$D$2:$D$1946, pivot!$A$2:$A$1946, endirim!B202)),
    pivot!$B$2:$B$1946)</f>
        <v>OptOutMailings</v>
      </c>
      <c r="F202" s="22">
        <f>_xlfn.MAXIFS(pivot!$D$2:$D$1946, pivot!$A$2:$A$1946, endirim!B202)</f>
        <v>75</v>
      </c>
      <c r="G202" s="3" t="str">
        <f t="shared" si="3"/>
        <v>Təklif yoxdur</v>
      </c>
    </row>
    <row r="203" spans="2:7" x14ac:dyDescent="0.3">
      <c r="B203" t="s">
        <v>257</v>
      </c>
      <c r="C203" s="3" t="str" cm="1">
        <f t="array" ref="C203">_xlfn.XLOOKUP(1,(pivot!$A$2:$A$1946=Table3[[#This Row],[Müştəri adı]])*(pivot!$C$2:$C$1946=_xlfn.MAXIFS(pivot!$C$2:$C$1946,pivot!$A$2:$A$1946,Table3[[#This Row],[Müştəri adı]])),pivot!$B$2:$B$1946)</f>
        <v>MaritalStatus</v>
      </c>
      <c r="D203" s="22" cm="1">
        <f t="array" ref="D203">_xlfn.XLOOKUP(1,
  (pivot!$A$2:$A$1946=endirim!B203) * (pivot!$C$2:$C$1946 = _xlfn.MAXIFS(pivot!$C$2:$C$1946, pivot!$A$2:$A$1946, endirim!B203)),
  pivot!$D$2:$D$1946)</f>
        <v>29</v>
      </c>
      <c r="E203" s="3" t="str" cm="1">
        <f t="array" ref="E203">_xlfn.XLOOKUP(1,
    (pivot!$A$2:$A$1946=endirim!B203) * (pivot!$D$2:$D$1946 = _xlfn.MAXIFS(pivot!$D$2:$D$1946, pivot!$A$2:$A$1946, endirim!B203)),
    pivot!$B$2:$B$1946)</f>
        <v>MaritalStatus</v>
      </c>
      <c r="F203" s="22">
        <f>_xlfn.MAXIFS(pivot!$D$2:$D$1946, pivot!$A$2:$A$1946, endirim!B203)</f>
        <v>29</v>
      </c>
      <c r="G203" s="3" t="str">
        <f t="shared" si="3"/>
        <v>Təklif yoxdur</v>
      </c>
    </row>
    <row r="204" spans="2:7" x14ac:dyDescent="0.3">
      <c r="B204" t="s">
        <v>258</v>
      </c>
      <c r="C204" s="3" t="str" cm="1">
        <f t="array" ref="C204">_xlfn.XLOOKUP(1,(pivot!$A$2:$A$1946=Table3[[#This Row],[Müştəri adı]])*(pivot!$C$2:$C$1946=_xlfn.MAXIFS(pivot!$C$2:$C$1946,pivot!$A$2:$A$1946,Table3[[#This Row],[Müştəri adı]])),pivot!$B$2:$B$1946)</f>
        <v>NewCellphoneUser</v>
      </c>
      <c r="D204" s="22" cm="1">
        <f t="array" ref="D204">_xlfn.XLOOKUP(1,
  (pivot!$A$2:$A$1946=endirim!B204) * (pivot!$C$2:$C$1946 = _xlfn.MAXIFS(pivot!$C$2:$C$1946, pivot!$A$2:$A$1946, endirim!B204)),
  pivot!$D$2:$D$1946)</f>
        <v>25</v>
      </c>
      <c r="E204" s="3" t="str" cm="1">
        <f t="array" ref="E204">_xlfn.XLOOKUP(1,
    (pivot!$A$2:$A$1946=endirim!B204) * (pivot!$D$2:$D$1946 = _xlfn.MAXIFS(pivot!$D$2:$D$1946, pivot!$A$2:$A$1946, endirim!B204)),
    pivot!$B$2:$B$1946)</f>
        <v>NonUSTravel</v>
      </c>
      <c r="F204" s="22">
        <f>_xlfn.MAXIFS(pivot!$D$2:$D$1946, pivot!$A$2:$A$1946, endirim!B204)</f>
        <v>66</v>
      </c>
      <c r="G204" s="3" t="str">
        <f t="shared" si="3"/>
        <v>NonUSTravel Kompaniyasını 20% endirimlə təklif et</v>
      </c>
    </row>
    <row r="205" spans="2:7" x14ac:dyDescent="0.3">
      <c r="B205" t="s">
        <v>259</v>
      </c>
      <c r="C205" s="3" t="str" cm="1">
        <f t="array" ref="C205">_xlfn.XLOOKUP(1,(pivot!$A$2:$A$1946=Table3[[#This Row],[Müştəri adı]])*(pivot!$C$2:$C$1946=_xlfn.MAXIFS(pivot!$C$2:$C$1946,pivot!$A$2:$A$1946,Table3[[#This Row],[Müştəri adı]])),pivot!$B$2:$B$1946)</f>
        <v>NonUSTravel</v>
      </c>
      <c r="D205" s="22" cm="1">
        <f t="array" ref="D205">_xlfn.XLOOKUP(1,
  (pivot!$A$2:$A$1946=endirim!B205) * (pivot!$C$2:$C$1946 = _xlfn.MAXIFS(pivot!$C$2:$C$1946, pivot!$A$2:$A$1946, endirim!B205)),
  pivot!$D$2:$D$1946)</f>
        <v>66</v>
      </c>
      <c r="E205" s="3" t="str" cm="1">
        <f t="array" ref="E205">_xlfn.XLOOKUP(1,
    (pivot!$A$2:$A$1946=endirim!B205) * (pivot!$D$2:$D$1946 = _xlfn.MAXIFS(pivot!$D$2:$D$1946, pivot!$A$2:$A$1946, endirim!B205)),
    pivot!$B$2:$B$1946)</f>
        <v>NonUSTravel</v>
      </c>
      <c r="F205" s="22">
        <f>_xlfn.MAXIFS(pivot!$D$2:$D$1946, pivot!$A$2:$A$1946, endirim!B205)</f>
        <v>66</v>
      </c>
      <c r="G205" s="3" t="str">
        <f t="shared" si="3"/>
        <v>Təklif yoxdur</v>
      </c>
    </row>
    <row r="206" spans="2:7" x14ac:dyDescent="0.3">
      <c r="B206" t="s">
        <v>260</v>
      </c>
      <c r="C206" s="3" t="str" cm="1">
        <f t="array" ref="C206">_xlfn.XLOOKUP(1,(pivot!$A$2:$A$1946=Table3[[#This Row],[Müştəri adı]])*(pivot!$C$2:$C$1946=_xlfn.MAXIFS(pivot!$C$2:$C$1946,pivot!$A$2:$A$1946,Table3[[#This Row],[Müştəri adı]])),pivot!$B$2:$B$1946)</f>
        <v>HandsetWebCapable</v>
      </c>
      <c r="D206" s="22" cm="1">
        <f t="array" ref="D206">_xlfn.XLOOKUP(1,
  (pivot!$A$2:$A$1946=endirim!B206) * (pivot!$C$2:$C$1946 = _xlfn.MAXIFS(pivot!$C$2:$C$1946, pivot!$A$2:$A$1946, endirim!B206)),
  pivot!$D$2:$D$1946)</f>
        <v>62</v>
      </c>
      <c r="E206" s="3" t="str" cm="1">
        <f t="array" ref="E206">_xlfn.XLOOKUP(1,
    (pivot!$A$2:$A$1946=endirim!B206) * (pivot!$D$2:$D$1946 = _xlfn.MAXIFS(pivot!$D$2:$D$1946, pivot!$A$2:$A$1946, endirim!B206)),
    pivot!$B$2:$B$1946)</f>
        <v>HandsetWebCapable</v>
      </c>
      <c r="F206" s="22">
        <f>_xlfn.MAXIFS(pivot!$D$2:$D$1946, pivot!$A$2:$A$1946, endirim!B206)</f>
        <v>62</v>
      </c>
      <c r="G206" s="3" t="str">
        <f t="shared" si="3"/>
        <v>Təklif yoxdur</v>
      </c>
    </row>
    <row r="207" spans="2:7" x14ac:dyDescent="0.3">
      <c r="B207" t="s">
        <v>261</v>
      </c>
      <c r="C207" s="3" t="str" cm="1">
        <f t="array" ref="C207">_xlfn.XLOOKUP(1,(pivot!$A$2:$A$1946=Table3[[#This Row],[Müştəri adı]])*(pivot!$C$2:$C$1946=_xlfn.MAXIFS(pivot!$C$2:$C$1946,pivot!$A$2:$A$1946,Table3[[#This Row],[Müştəri adı]])),pivot!$B$2:$B$1946)</f>
        <v>MadeCallToRetentionTeam</v>
      </c>
      <c r="D207" s="22" cm="1">
        <f t="array" ref="D207">_xlfn.XLOOKUP(1,
  (pivot!$A$2:$A$1946=endirim!B207) * (pivot!$C$2:$C$1946 = _xlfn.MAXIFS(pivot!$C$2:$C$1946, pivot!$A$2:$A$1946, endirim!B207)),
  pivot!$D$2:$D$1946)</f>
        <v>16</v>
      </c>
      <c r="E207" s="3" t="str" cm="1">
        <f t="array" ref="E207">_xlfn.XLOOKUP(1,
    (pivot!$A$2:$A$1946=endirim!B207) * (pivot!$D$2:$D$1946 = _xlfn.MAXIFS(pivot!$D$2:$D$1946, pivot!$A$2:$A$1946, endirim!B207)),
    pivot!$B$2:$B$1946)</f>
        <v>BuysViaMailOrder</v>
      </c>
      <c r="F207" s="22">
        <f>_xlfn.MAXIFS(pivot!$D$2:$D$1946, pivot!$A$2:$A$1946, endirim!B207)</f>
        <v>25</v>
      </c>
      <c r="G207" s="3" t="str">
        <f t="shared" si="3"/>
        <v>BuysViaMailOrder Kompaniyasını 20% endirimlə təklif et</v>
      </c>
    </row>
    <row r="208" spans="2:7" x14ac:dyDescent="0.3">
      <c r="B208" t="s">
        <v>262</v>
      </c>
      <c r="C208" s="3" t="str" cm="1">
        <f t="array" ref="C208">_xlfn.XLOOKUP(1,(pivot!$A$2:$A$1946=Table3[[#This Row],[Müştəri adı]])*(pivot!$C$2:$C$1946=_xlfn.MAXIFS(pivot!$C$2:$C$1946,pivot!$A$2:$A$1946,Table3[[#This Row],[Müştəri adı]])),pivot!$B$2:$B$1946)</f>
        <v>MaritalStatus</v>
      </c>
      <c r="D208" s="22" cm="1">
        <f t="array" ref="D208">_xlfn.XLOOKUP(1,
  (pivot!$A$2:$A$1946=endirim!B208) * (pivot!$C$2:$C$1946 = _xlfn.MAXIFS(pivot!$C$2:$C$1946, pivot!$A$2:$A$1946, endirim!B208)),
  pivot!$D$2:$D$1946)</f>
        <v>29</v>
      </c>
      <c r="E208" s="3" t="str" cm="1">
        <f t="array" ref="E208">_xlfn.XLOOKUP(1,
    (pivot!$A$2:$A$1946=endirim!B208) * (pivot!$D$2:$D$1946 = _xlfn.MAXIFS(pivot!$D$2:$D$1946, pivot!$A$2:$A$1946, endirim!B208)),
    pivot!$B$2:$B$1946)</f>
        <v>MaritalStatus</v>
      </c>
      <c r="F208" s="22">
        <f>_xlfn.MAXIFS(pivot!$D$2:$D$1946, pivot!$A$2:$A$1946, endirim!B208)</f>
        <v>29</v>
      </c>
      <c r="G208" s="3" t="str">
        <f t="shared" si="3"/>
        <v>Təklif yoxdur</v>
      </c>
    </row>
    <row r="209" spans="2:7" x14ac:dyDescent="0.3">
      <c r="B209" t="s">
        <v>263</v>
      </c>
      <c r="C209" s="3" t="str" cm="1">
        <f t="array" ref="C209">_xlfn.XLOOKUP(1,(pivot!$A$2:$A$1946=Table3[[#This Row],[Müştəri adı]])*(pivot!$C$2:$C$1946=_xlfn.MAXIFS(pivot!$C$2:$C$1946,pivot!$A$2:$A$1946,Table3[[#This Row],[Müştəri adı]])),pivot!$B$2:$B$1946)</f>
        <v>OwnsComputer</v>
      </c>
      <c r="D209" s="22" cm="1">
        <f t="array" ref="D209">_xlfn.XLOOKUP(1,
  (pivot!$A$2:$A$1946=endirim!B209) * (pivot!$C$2:$C$1946 = _xlfn.MAXIFS(pivot!$C$2:$C$1946, pivot!$A$2:$A$1946, endirim!B209)),
  pivot!$D$2:$D$1946)</f>
        <v>62</v>
      </c>
      <c r="E209" s="3" t="str" cm="1">
        <f t="array" ref="E209">_xlfn.XLOOKUP(1,
    (pivot!$A$2:$A$1946=endirim!B209) * (pivot!$D$2:$D$1946 = _xlfn.MAXIFS(pivot!$D$2:$D$1946, pivot!$A$2:$A$1946, endirim!B209)),
    pivot!$B$2:$B$1946)</f>
        <v>OwnsComputer</v>
      </c>
      <c r="F209" s="22">
        <f>_xlfn.MAXIFS(pivot!$D$2:$D$1946, pivot!$A$2:$A$1946, endirim!B209)</f>
        <v>62</v>
      </c>
      <c r="G209" s="3" t="str">
        <f t="shared" si="3"/>
        <v>Təklif yoxdur</v>
      </c>
    </row>
    <row r="210" spans="2:7" x14ac:dyDescent="0.3">
      <c r="B210" t="s">
        <v>264</v>
      </c>
      <c r="C210" s="3" t="str" cm="1">
        <f t="array" ref="C210">_xlfn.XLOOKUP(1,(pivot!$A$2:$A$1946=Table3[[#This Row],[Müştəri adı]])*(pivot!$C$2:$C$1946=_xlfn.MAXIFS(pivot!$C$2:$C$1946,pivot!$A$2:$A$1946,Table3[[#This Row],[Müştəri adı]])),pivot!$B$2:$B$1946)</f>
        <v>OptOutMailings</v>
      </c>
      <c r="D210" s="22" cm="1">
        <f t="array" ref="D210">_xlfn.XLOOKUP(1,
  (pivot!$A$2:$A$1946=endirim!B210) * (pivot!$C$2:$C$1946 = _xlfn.MAXIFS(pivot!$C$2:$C$1946, pivot!$A$2:$A$1946, endirim!B210)),
  pivot!$D$2:$D$1946)</f>
        <v>75</v>
      </c>
      <c r="E210" s="3" t="str" cm="1">
        <f t="array" ref="E210">_xlfn.XLOOKUP(1,
    (pivot!$A$2:$A$1946=endirim!B210) * (pivot!$D$2:$D$1946 = _xlfn.MAXIFS(pivot!$D$2:$D$1946, pivot!$A$2:$A$1946, endirim!B210)),
    pivot!$B$2:$B$1946)</f>
        <v>OptOutMailings</v>
      </c>
      <c r="F210" s="22">
        <f>_xlfn.MAXIFS(pivot!$D$2:$D$1946, pivot!$A$2:$A$1946, endirim!B210)</f>
        <v>75</v>
      </c>
      <c r="G210" s="3" t="str">
        <f t="shared" si="3"/>
        <v>Təklif yoxdur</v>
      </c>
    </row>
    <row r="211" spans="2:7" x14ac:dyDescent="0.3">
      <c r="B211" t="s">
        <v>265</v>
      </c>
      <c r="C211" s="3" t="str" cm="1">
        <f t="array" ref="C211">_xlfn.XLOOKUP(1,(pivot!$A$2:$A$1946=Table3[[#This Row],[Müştəri adı]])*(pivot!$C$2:$C$1946=_xlfn.MAXIFS(pivot!$C$2:$C$1946,pivot!$A$2:$A$1946,Table3[[#This Row],[Müştəri adı]])),pivot!$B$2:$B$1946)</f>
        <v>RVOwner</v>
      </c>
      <c r="D211" s="22" cm="1">
        <f t="array" ref="D211">_xlfn.XLOOKUP(1,
  (pivot!$A$2:$A$1946=endirim!B211) * (pivot!$C$2:$C$1946 = _xlfn.MAXIFS(pivot!$C$2:$C$1946, pivot!$A$2:$A$1946, endirim!B211)),
  pivot!$D$2:$D$1946)</f>
        <v>22</v>
      </c>
      <c r="E211" s="3" t="str" cm="1">
        <f t="array" ref="E211">_xlfn.XLOOKUP(1,
    (pivot!$A$2:$A$1946=endirim!B211) * (pivot!$D$2:$D$1946 = _xlfn.MAXIFS(pivot!$D$2:$D$1946, pivot!$A$2:$A$1946, endirim!B211)),
    pivot!$B$2:$B$1946)</f>
        <v>HasCreditCard</v>
      </c>
      <c r="F211" s="22">
        <f>_xlfn.MAXIFS(pivot!$D$2:$D$1946, pivot!$A$2:$A$1946, endirim!B211)</f>
        <v>65</v>
      </c>
      <c r="G211" s="3" t="str">
        <f t="shared" si="3"/>
        <v>HasCreditCard Kompaniyasını 20% endirimlə təklif et</v>
      </c>
    </row>
    <row r="212" spans="2:7" x14ac:dyDescent="0.3">
      <c r="B212" t="s">
        <v>266</v>
      </c>
      <c r="C212" s="3" t="str" cm="1">
        <f t="array" ref="C212">_xlfn.XLOOKUP(1,(pivot!$A$2:$A$1946=Table3[[#This Row],[Müştəri adı]])*(pivot!$C$2:$C$1946=_xlfn.MAXIFS(pivot!$C$2:$C$1946,pivot!$A$2:$A$1946,Table3[[#This Row],[Müştəri adı]])),pivot!$B$2:$B$1946)</f>
        <v>RVOwner</v>
      </c>
      <c r="D212" s="22" cm="1">
        <f t="array" ref="D212">_xlfn.XLOOKUP(1,
  (pivot!$A$2:$A$1946=endirim!B212) * (pivot!$C$2:$C$1946 = _xlfn.MAXIFS(pivot!$C$2:$C$1946, pivot!$A$2:$A$1946, endirim!B212)),
  pivot!$D$2:$D$1946)</f>
        <v>22</v>
      </c>
      <c r="E212" s="3" t="str" cm="1">
        <f t="array" ref="E212">_xlfn.XLOOKUP(1,
    (pivot!$A$2:$A$1946=endirim!B212) * (pivot!$D$2:$D$1946 = _xlfn.MAXIFS(pivot!$D$2:$D$1946, pivot!$A$2:$A$1946, endirim!B212)),
    pivot!$B$2:$B$1946)</f>
        <v>NonUSTravel</v>
      </c>
      <c r="F212" s="22">
        <f>_xlfn.MAXIFS(pivot!$D$2:$D$1946, pivot!$A$2:$A$1946, endirim!B212)</f>
        <v>66</v>
      </c>
      <c r="G212" s="3" t="str">
        <f t="shared" si="3"/>
        <v>NonUSTravel Kompaniyasını 20% endirimlə təklif et</v>
      </c>
    </row>
    <row r="213" spans="2:7" x14ac:dyDescent="0.3">
      <c r="B213" t="s">
        <v>267</v>
      </c>
      <c r="C213" s="3" t="str" cm="1">
        <f t="array" ref="C213">_xlfn.XLOOKUP(1,(pivot!$A$2:$A$1946=Table3[[#This Row],[Müştəri adı]])*(pivot!$C$2:$C$1946=_xlfn.MAXIFS(pivot!$C$2:$C$1946,pivot!$A$2:$A$1946,Table3[[#This Row],[Müştəri adı]])),pivot!$B$2:$B$1946)</f>
        <v>HandsetWebCapable</v>
      </c>
      <c r="D213" s="22" cm="1">
        <f t="array" ref="D213">_xlfn.XLOOKUP(1,
  (pivot!$A$2:$A$1946=endirim!B213) * (pivot!$C$2:$C$1946 = _xlfn.MAXIFS(pivot!$C$2:$C$1946, pivot!$A$2:$A$1946, endirim!B213)),
  pivot!$D$2:$D$1946)</f>
        <v>62</v>
      </c>
      <c r="E213" s="3" t="str" cm="1">
        <f t="array" ref="E213">_xlfn.XLOOKUP(1,
    (pivot!$A$2:$A$1946=endirim!B213) * (pivot!$D$2:$D$1946 = _xlfn.MAXIFS(pivot!$D$2:$D$1946, pivot!$A$2:$A$1946, endirim!B213)),
    pivot!$B$2:$B$1946)</f>
        <v>OwnsComputer</v>
      </c>
      <c r="F213" s="22">
        <f>_xlfn.MAXIFS(pivot!$D$2:$D$1946, pivot!$A$2:$A$1946, endirim!B213)</f>
        <v>62</v>
      </c>
      <c r="G213" s="3" t="str">
        <f t="shared" si="3"/>
        <v>Təklif yoxdur</v>
      </c>
    </row>
    <row r="214" spans="2:7" x14ac:dyDescent="0.3">
      <c r="B214" t="s">
        <v>268</v>
      </c>
      <c r="C214" s="3" t="str" cm="1">
        <f t="array" ref="C214">_xlfn.XLOOKUP(1,(pivot!$A$2:$A$1946=Table3[[#This Row],[Müştəri adı]])*(pivot!$C$2:$C$1946=_xlfn.MAXIFS(pivot!$C$2:$C$1946,pivot!$A$2:$A$1946,Table3[[#This Row],[Müştəri adı]])),pivot!$B$2:$B$1946)</f>
        <v>ChildrenInHH</v>
      </c>
      <c r="D214" s="22" cm="1">
        <f t="array" ref="D214">_xlfn.XLOOKUP(1,
  (pivot!$A$2:$A$1946=endirim!B214) * (pivot!$C$2:$C$1946 = _xlfn.MAXIFS(pivot!$C$2:$C$1946, pivot!$A$2:$A$1946, endirim!B214)),
  pivot!$D$2:$D$1946)</f>
        <v>10</v>
      </c>
      <c r="E214" s="3" t="str" cm="1">
        <f t="array" ref="E214">_xlfn.XLOOKUP(1,
    (pivot!$A$2:$A$1946=endirim!B214) * (pivot!$D$2:$D$1946 = _xlfn.MAXIFS(pivot!$D$2:$D$1946, pivot!$A$2:$A$1946, endirim!B214)),
    pivot!$B$2:$B$1946)</f>
        <v>NewCellphoneUser</v>
      </c>
      <c r="F214" s="22">
        <f>_xlfn.MAXIFS(pivot!$D$2:$D$1946, pivot!$A$2:$A$1946, endirim!B214)</f>
        <v>25</v>
      </c>
      <c r="G214" s="3" t="str">
        <f t="shared" si="3"/>
        <v>NewCellphoneUser Kompaniyasını 20% endirimlə təklif et</v>
      </c>
    </row>
    <row r="215" spans="2:7" x14ac:dyDescent="0.3">
      <c r="B215" t="s">
        <v>269</v>
      </c>
      <c r="C215" s="3" t="str" cm="1">
        <f t="array" ref="C215">_xlfn.XLOOKUP(1,(pivot!$A$2:$A$1946=Table3[[#This Row],[Müştəri adı]])*(pivot!$C$2:$C$1946=_xlfn.MAXIFS(pivot!$C$2:$C$1946,pivot!$A$2:$A$1946,Table3[[#This Row],[Müştəri adı]])),pivot!$B$2:$B$1946)</f>
        <v>RVOwner</v>
      </c>
      <c r="D215" s="22" cm="1">
        <f t="array" ref="D215">_xlfn.XLOOKUP(1,
  (pivot!$A$2:$A$1946=endirim!B215) * (pivot!$C$2:$C$1946 = _xlfn.MAXIFS(pivot!$C$2:$C$1946, pivot!$A$2:$A$1946, endirim!B215)),
  pivot!$D$2:$D$1946)</f>
        <v>22</v>
      </c>
      <c r="E215" s="3" t="str" cm="1">
        <f t="array" ref="E215">_xlfn.XLOOKUP(1,
    (pivot!$A$2:$A$1946=endirim!B215) * (pivot!$D$2:$D$1946 = _xlfn.MAXIFS(pivot!$D$2:$D$1946, pivot!$A$2:$A$1946, endirim!B215)),
    pivot!$B$2:$B$1946)</f>
        <v>RVOwner</v>
      </c>
      <c r="F215" s="22">
        <f>_xlfn.MAXIFS(pivot!$D$2:$D$1946, pivot!$A$2:$A$1946, endirim!B215)</f>
        <v>22</v>
      </c>
      <c r="G215" s="3" t="str">
        <f t="shared" si="3"/>
        <v>Təklif yoxdur</v>
      </c>
    </row>
    <row r="216" spans="2:7" x14ac:dyDescent="0.3">
      <c r="B216" t="s">
        <v>270</v>
      </c>
      <c r="C216" s="3" t="str" cm="1">
        <f t="array" ref="C216">_xlfn.XLOOKUP(1,(pivot!$A$2:$A$1946=Table3[[#This Row],[Müştəri adı]])*(pivot!$C$2:$C$1946=_xlfn.MAXIFS(pivot!$C$2:$C$1946,pivot!$A$2:$A$1946,Table3[[#This Row],[Müştəri adı]])),pivot!$B$2:$B$1946)</f>
        <v>RespondsToMailOffers</v>
      </c>
      <c r="D216" s="22" cm="1">
        <f t="array" ref="D216">_xlfn.XLOOKUP(1,
  (pivot!$A$2:$A$1946=endirim!B216) * (pivot!$C$2:$C$1946 = _xlfn.MAXIFS(pivot!$C$2:$C$1946, pivot!$A$2:$A$1946, endirim!B216)),
  pivot!$D$2:$D$1946)</f>
        <v>27</v>
      </c>
      <c r="E216" s="3" t="str" cm="1">
        <f t="array" ref="E216">_xlfn.XLOOKUP(1,
    (pivot!$A$2:$A$1946=endirim!B216) * (pivot!$D$2:$D$1946 = _xlfn.MAXIFS(pivot!$D$2:$D$1946, pivot!$A$2:$A$1946, endirim!B216)),
    pivot!$B$2:$B$1946)</f>
        <v>RespondsToMailOffers</v>
      </c>
      <c r="F216" s="22">
        <f>_xlfn.MAXIFS(pivot!$D$2:$D$1946, pivot!$A$2:$A$1946, endirim!B216)</f>
        <v>27</v>
      </c>
      <c r="G216" s="3" t="str">
        <f t="shared" si="3"/>
        <v>Təklif yoxdur</v>
      </c>
    </row>
    <row r="217" spans="2:7" x14ac:dyDescent="0.3">
      <c r="B217" t="s">
        <v>271</v>
      </c>
      <c r="C217" s="3" t="str" cm="1">
        <f t="array" ref="C217">_xlfn.XLOOKUP(1,(pivot!$A$2:$A$1946=Table3[[#This Row],[Müştəri adı]])*(pivot!$C$2:$C$1946=_xlfn.MAXIFS(pivot!$C$2:$C$1946,pivot!$A$2:$A$1946,Table3[[#This Row],[Müştəri adı]])),pivot!$B$2:$B$1946)</f>
        <v>TruckOwner</v>
      </c>
      <c r="D217" s="22" cm="1">
        <f t="array" ref="D217">_xlfn.XLOOKUP(1,
  (pivot!$A$2:$A$1946=endirim!B217) * (pivot!$C$2:$C$1946 = _xlfn.MAXIFS(pivot!$C$2:$C$1946, pivot!$A$2:$A$1946, endirim!B217)),
  pivot!$D$2:$D$1946)</f>
        <v>26</v>
      </c>
      <c r="E217" s="3" t="str" cm="1">
        <f t="array" ref="E217">_xlfn.XLOOKUP(1,
    (pivot!$A$2:$A$1946=endirim!B217) * (pivot!$D$2:$D$1946 = _xlfn.MAXIFS(pivot!$D$2:$D$1946, pivot!$A$2:$A$1946, endirim!B217)),
    pivot!$B$2:$B$1946)</f>
        <v>HasCreditCard</v>
      </c>
      <c r="F217" s="22">
        <f>_xlfn.MAXIFS(pivot!$D$2:$D$1946, pivot!$A$2:$A$1946, endirim!B217)</f>
        <v>65</v>
      </c>
      <c r="G217" s="3" t="str">
        <f t="shared" si="3"/>
        <v>HasCreditCard Kompaniyasını 20% endirimlə təklif et</v>
      </c>
    </row>
    <row r="218" spans="2:7" x14ac:dyDescent="0.3">
      <c r="B218" t="s">
        <v>272</v>
      </c>
      <c r="C218" s="3" t="str" cm="1">
        <f t="array" ref="C218">_xlfn.XLOOKUP(1,(pivot!$A$2:$A$1946=Table3[[#This Row],[Müştəri adı]])*(pivot!$C$2:$C$1946=_xlfn.MAXIFS(pivot!$C$2:$C$1946,pivot!$A$2:$A$1946,Table3[[#This Row],[Müştəri adı]])),pivot!$B$2:$B$1946)</f>
        <v>ChildrenInHH</v>
      </c>
      <c r="D218" s="22" cm="1">
        <f t="array" ref="D218">_xlfn.XLOOKUP(1,
  (pivot!$A$2:$A$1946=endirim!B218) * (pivot!$C$2:$C$1946 = _xlfn.MAXIFS(pivot!$C$2:$C$1946, pivot!$A$2:$A$1946, endirim!B218)),
  pivot!$D$2:$D$1946)</f>
        <v>10</v>
      </c>
      <c r="E218" s="3" t="str" cm="1">
        <f t="array" ref="E218">_xlfn.XLOOKUP(1,
    (pivot!$A$2:$A$1946=endirim!B218) * (pivot!$D$2:$D$1946 = _xlfn.MAXIFS(pivot!$D$2:$D$1946, pivot!$A$2:$A$1946, endirim!B218)),
    pivot!$B$2:$B$1946)</f>
        <v>Homeownership</v>
      </c>
      <c r="F218" s="22">
        <f>_xlfn.MAXIFS(pivot!$D$2:$D$1946, pivot!$A$2:$A$1946, endirim!B218)</f>
        <v>13</v>
      </c>
      <c r="G218" s="3" t="str">
        <f t="shared" si="3"/>
        <v>Homeownership Kompaniyasını 20% endirimlə təklif et</v>
      </c>
    </row>
    <row r="219" spans="2:7" x14ac:dyDescent="0.3">
      <c r="B219" t="s">
        <v>273</v>
      </c>
      <c r="C219" s="3" t="str" cm="1">
        <f t="array" ref="C219">_xlfn.XLOOKUP(1,(pivot!$A$2:$A$1946=Table3[[#This Row],[Müştəri adı]])*(pivot!$C$2:$C$1946=_xlfn.MAXIFS(pivot!$C$2:$C$1946,pivot!$A$2:$A$1946,Table3[[#This Row],[Müştəri adı]])),pivot!$B$2:$B$1946)</f>
        <v>RespondsToMailOffers</v>
      </c>
      <c r="D219" s="22" cm="1">
        <f t="array" ref="D219">_xlfn.XLOOKUP(1,
  (pivot!$A$2:$A$1946=endirim!B219) * (pivot!$C$2:$C$1946 = _xlfn.MAXIFS(pivot!$C$2:$C$1946, pivot!$A$2:$A$1946, endirim!B219)),
  pivot!$D$2:$D$1946)</f>
        <v>27</v>
      </c>
      <c r="E219" s="3" t="str" cm="1">
        <f t="array" ref="E219">_xlfn.XLOOKUP(1,
    (pivot!$A$2:$A$1946=endirim!B219) * (pivot!$D$2:$D$1946 = _xlfn.MAXIFS(pivot!$D$2:$D$1946, pivot!$A$2:$A$1946, endirim!B219)),
    pivot!$B$2:$B$1946)</f>
        <v>NotNewCellphoneUser</v>
      </c>
      <c r="F219" s="22">
        <f>_xlfn.MAXIFS(pivot!$D$2:$D$1946, pivot!$A$2:$A$1946, endirim!B219)</f>
        <v>28</v>
      </c>
      <c r="G219" s="3" t="str">
        <f t="shared" si="3"/>
        <v>NotNewCellphoneUser Kompaniyasını 20% endirimlə təklif et</v>
      </c>
    </row>
    <row r="220" spans="2:7" x14ac:dyDescent="0.3">
      <c r="B220" t="s">
        <v>274</v>
      </c>
      <c r="C220" s="3" t="str" cm="1">
        <f t="array" ref="C220">_xlfn.XLOOKUP(1,(pivot!$A$2:$A$1946=Table3[[#This Row],[Müştəri adı]])*(pivot!$C$2:$C$1946=_xlfn.MAXIFS(pivot!$C$2:$C$1946,pivot!$A$2:$A$1946,Table3[[#This Row],[Müştəri adı]])),pivot!$B$2:$B$1946)</f>
        <v>OwnsComputer</v>
      </c>
      <c r="D220" s="22" cm="1">
        <f t="array" ref="D220">_xlfn.XLOOKUP(1,
  (pivot!$A$2:$A$1946=endirim!B220) * (pivot!$C$2:$C$1946 = _xlfn.MAXIFS(pivot!$C$2:$C$1946, pivot!$A$2:$A$1946, endirim!B220)),
  pivot!$D$2:$D$1946)</f>
        <v>62</v>
      </c>
      <c r="E220" s="3" t="str" cm="1">
        <f t="array" ref="E220">_xlfn.XLOOKUP(1,
    (pivot!$A$2:$A$1946=endirim!B220) * (pivot!$D$2:$D$1946 = _xlfn.MAXIFS(pivot!$D$2:$D$1946, pivot!$A$2:$A$1946, endirim!B220)),
    pivot!$B$2:$B$1946)</f>
        <v>OwnsComputer</v>
      </c>
      <c r="F220" s="22">
        <f>_xlfn.MAXIFS(pivot!$D$2:$D$1946, pivot!$A$2:$A$1946, endirim!B220)</f>
        <v>62</v>
      </c>
      <c r="G220" s="3" t="str">
        <f t="shared" si="3"/>
        <v>Təklif yoxdur</v>
      </c>
    </row>
    <row r="221" spans="2:7" x14ac:dyDescent="0.3">
      <c r="B221" t="s">
        <v>275</v>
      </c>
      <c r="C221" s="3" t="str" cm="1">
        <f t="array" ref="C221">_xlfn.XLOOKUP(1,(pivot!$A$2:$A$1946=Table3[[#This Row],[Müştəri adı]])*(pivot!$C$2:$C$1946=_xlfn.MAXIFS(pivot!$C$2:$C$1946,pivot!$A$2:$A$1946,Table3[[#This Row],[Müştəri adı]])),pivot!$B$2:$B$1946)</f>
        <v>MaritalStatus</v>
      </c>
      <c r="D221" s="22" cm="1">
        <f t="array" ref="D221">_xlfn.XLOOKUP(1,
  (pivot!$A$2:$A$1946=endirim!B221) * (pivot!$C$2:$C$1946 = _xlfn.MAXIFS(pivot!$C$2:$C$1946, pivot!$A$2:$A$1946, endirim!B221)),
  pivot!$D$2:$D$1946)</f>
        <v>29</v>
      </c>
      <c r="E221" s="3" t="str" cm="1">
        <f t="array" ref="E221">_xlfn.XLOOKUP(1,
    (pivot!$A$2:$A$1946=endirim!B221) * (pivot!$D$2:$D$1946 = _xlfn.MAXIFS(pivot!$D$2:$D$1946, pivot!$A$2:$A$1946, endirim!B221)),
    pivot!$B$2:$B$1946)</f>
        <v>OptOutMailings</v>
      </c>
      <c r="F221" s="22">
        <f>_xlfn.MAXIFS(pivot!$D$2:$D$1946, pivot!$A$2:$A$1946, endirim!B221)</f>
        <v>75</v>
      </c>
      <c r="G221" s="3" t="str">
        <f t="shared" si="3"/>
        <v>OptOutMailings Kompaniyasını 20% endirimlə təklif et</v>
      </c>
    </row>
    <row r="222" spans="2:7" x14ac:dyDescent="0.3">
      <c r="B222" t="s">
        <v>276</v>
      </c>
      <c r="C222" s="3" t="str" cm="1">
        <f t="array" ref="C222">_xlfn.XLOOKUP(1,(pivot!$A$2:$A$1946=Table3[[#This Row],[Müştəri adı]])*(pivot!$C$2:$C$1946=_xlfn.MAXIFS(pivot!$C$2:$C$1946,pivot!$A$2:$A$1946,Table3[[#This Row],[Müştəri adı]])),pivot!$B$2:$B$1946)</f>
        <v>HasCreditCard</v>
      </c>
      <c r="D222" s="22" cm="1">
        <f t="array" ref="D222">_xlfn.XLOOKUP(1,
  (pivot!$A$2:$A$1946=endirim!B222) * (pivot!$C$2:$C$1946 = _xlfn.MAXIFS(pivot!$C$2:$C$1946, pivot!$A$2:$A$1946, endirim!B222)),
  pivot!$D$2:$D$1946)</f>
        <v>65</v>
      </c>
      <c r="E222" s="3" t="str" cm="1">
        <f t="array" ref="E222">_xlfn.XLOOKUP(1,
    (pivot!$A$2:$A$1946=endirim!B222) * (pivot!$D$2:$D$1946 = _xlfn.MAXIFS(pivot!$D$2:$D$1946, pivot!$A$2:$A$1946, endirim!B222)),
    pivot!$B$2:$B$1946)</f>
        <v>HasCreditCard</v>
      </c>
      <c r="F222" s="22">
        <f>_xlfn.MAXIFS(pivot!$D$2:$D$1946, pivot!$A$2:$A$1946, endirim!B222)</f>
        <v>65</v>
      </c>
      <c r="G222" s="3" t="str">
        <f t="shared" si="3"/>
        <v>Təklif yoxdur</v>
      </c>
    </row>
    <row r="223" spans="2:7" x14ac:dyDescent="0.3">
      <c r="B223" t="s">
        <v>277</v>
      </c>
      <c r="C223" s="3" t="str" cm="1">
        <f t="array" ref="C223">_xlfn.XLOOKUP(1,(pivot!$A$2:$A$1946=Table3[[#This Row],[Müştəri adı]])*(pivot!$C$2:$C$1946=_xlfn.MAXIFS(pivot!$C$2:$C$1946,pivot!$A$2:$A$1946,Table3[[#This Row],[Müştəri adı]])),pivot!$B$2:$B$1946)</f>
        <v>NonUSTravel</v>
      </c>
      <c r="D223" s="22" cm="1">
        <f t="array" ref="D223">_xlfn.XLOOKUP(1,
  (pivot!$A$2:$A$1946=endirim!B223) * (pivot!$C$2:$C$1946 = _xlfn.MAXIFS(pivot!$C$2:$C$1946, pivot!$A$2:$A$1946, endirim!B223)),
  pivot!$D$2:$D$1946)</f>
        <v>66</v>
      </c>
      <c r="E223" s="3" t="str" cm="1">
        <f t="array" ref="E223">_xlfn.XLOOKUP(1,
    (pivot!$A$2:$A$1946=endirim!B223) * (pivot!$D$2:$D$1946 = _xlfn.MAXIFS(pivot!$D$2:$D$1946, pivot!$A$2:$A$1946, endirim!B223)),
    pivot!$B$2:$B$1946)</f>
        <v>NonUSTravel</v>
      </c>
      <c r="F223" s="22">
        <f>_xlfn.MAXIFS(pivot!$D$2:$D$1946, pivot!$A$2:$A$1946, endirim!B223)</f>
        <v>66</v>
      </c>
      <c r="G223" s="3" t="str">
        <f t="shared" si="3"/>
        <v>Təklif yoxdur</v>
      </c>
    </row>
    <row r="224" spans="2:7" x14ac:dyDescent="0.3">
      <c r="B224" t="s">
        <v>278</v>
      </c>
      <c r="C224" s="3" t="str" cm="1">
        <f t="array" ref="C224">_xlfn.XLOOKUP(1,(pivot!$A$2:$A$1946=Table3[[#This Row],[Müştəri adı]])*(pivot!$C$2:$C$1946=_xlfn.MAXIFS(pivot!$C$2:$C$1946,pivot!$A$2:$A$1946,Table3[[#This Row],[Müştəri adı]])),pivot!$B$2:$B$1946)</f>
        <v>TruckOwner</v>
      </c>
      <c r="D224" s="22" cm="1">
        <f t="array" ref="D224">_xlfn.XLOOKUP(1,
  (pivot!$A$2:$A$1946=endirim!B224) * (pivot!$C$2:$C$1946 = _xlfn.MAXIFS(pivot!$C$2:$C$1946, pivot!$A$2:$A$1946, endirim!B224)),
  pivot!$D$2:$D$1946)</f>
        <v>26</v>
      </c>
      <c r="E224" s="3" t="str" cm="1">
        <f t="array" ref="E224">_xlfn.XLOOKUP(1,
    (pivot!$A$2:$A$1946=endirim!B224) * (pivot!$D$2:$D$1946 = _xlfn.MAXIFS(pivot!$D$2:$D$1946, pivot!$A$2:$A$1946, endirim!B224)),
    pivot!$B$2:$B$1946)</f>
        <v>HasCreditCard</v>
      </c>
      <c r="F224" s="22">
        <f>_xlfn.MAXIFS(pivot!$D$2:$D$1946, pivot!$A$2:$A$1946, endirim!B224)</f>
        <v>65</v>
      </c>
      <c r="G224" s="3" t="str">
        <f t="shared" si="3"/>
        <v>HasCreditCard Kompaniyasını 20% endirimlə təklif et</v>
      </c>
    </row>
    <row r="225" spans="2:7" x14ac:dyDescent="0.3">
      <c r="B225" t="s">
        <v>279</v>
      </c>
      <c r="C225" s="3" t="str" cm="1">
        <f t="array" ref="C225">_xlfn.XLOOKUP(1,(pivot!$A$2:$A$1946=Table3[[#This Row],[Müştəri adı]])*(pivot!$C$2:$C$1946=_xlfn.MAXIFS(pivot!$C$2:$C$1946,pivot!$A$2:$A$1946,Table3[[#This Row],[Müştəri adı]])),pivot!$B$2:$B$1946)</f>
        <v>NotNewCellphoneUser</v>
      </c>
      <c r="D225" s="22" cm="1">
        <f t="array" ref="D225">_xlfn.XLOOKUP(1,
  (pivot!$A$2:$A$1946=endirim!B225) * (pivot!$C$2:$C$1946 = _xlfn.MAXIFS(pivot!$C$2:$C$1946, pivot!$A$2:$A$1946, endirim!B225)),
  pivot!$D$2:$D$1946)</f>
        <v>28</v>
      </c>
      <c r="E225" s="3" t="str" cm="1">
        <f t="array" ref="E225">_xlfn.XLOOKUP(1,
    (pivot!$A$2:$A$1946=endirim!B225) * (pivot!$D$2:$D$1946 = _xlfn.MAXIFS(pivot!$D$2:$D$1946, pivot!$A$2:$A$1946, endirim!B225)),
    pivot!$B$2:$B$1946)</f>
        <v>NonUSTravel</v>
      </c>
      <c r="F225" s="22">
        <f>_xlfn.MAXIFS(pivot!$D$2:$D$1946, pivot!$A$2:$A$1946, endirim!B225)</f>
        <v>66</v>
      </c>
      <c r="G225" s="3" t="str">
        <f t="shared" si="3"/>
        <v>NonUSTravel Kompaniyasını 20% endirimlə təklif et</v>
      </c>
    </row>
    <row r="226" spans="2:7" x14ac:dyDescent="0.3">
      <c r="B226" t="s">
        <v>280</v>
      </c>
      <c r="C226" s="3" t="str" cm="1">
        <f t="array" ref="C226">_xlfn.XLOOKUP(1,(pivot!$A$2:$A$1946=Table3[[#This Row],[Müştəri adı]])*(pivot!$C$2:$C$1946=_xlfn.MAXIFS(pivot!$C$2:$C$1946,pivot!$A$2:$A$1946,Table3[[#This Row],[Müştəri adı]])),pivot!$B$2:$B$1946)</f>
        <v>HasCreditCard</v>
      </c>
      <c r="D226" s="22" cm="1">
        <f t="array" ref="D226">_xlfn.XLOOKUP(1,
  (pivot!$A$2:$A$1946=endirim!B226) * (pivot!$C$2:$C$1946 = _xlfn.MAXIFS(pivot!$C$2:$C$1946, pivot!$A$2:$A$1946, endirim!B226)),
  pivot!$D$2:$D$1946)</f>
        <v>65</v>
      </c>
      <c r="E226" s="3" t="str" cm="1">
        <f t="array" ref="E226">_xlfn.XLOOKUP(1,
    (pivot!$A$2:$A$1946=endirim!B226) * (pivot!$D$2:$D$1946 = _xlfn.MAXIFS(pivot!$D$2:$D$1946, pivot!$A$2:$A$1946, endirim!B226)),
    pivot!$B$2:$B$1946)</f>
        <v>OptOutMailings</v>
      </c>
      <c r="F226" s="22">
        <f>_xlfn.MAXIFS(pivot!$D$2:$D$1946, pivot!$A$2:$A$1946, endirim!B226)</f>
        <v>75</v>
      </c>
      <c r="G226" s="3" t="str">
        <f t="shared" si="3"/>
        <v>OptOutMailings Kompaniyasını 20% endirimlə təklif et</v>
      </c>
    </row>
    <row r="227" spans="2:7" x14ac:dyDescent="0.3">
      <c r="B227" t="s">
        <v>281</v>
      </c>
      <c r="C227" s="3" t="str" cm="1">
        <f t="array" ref="C227">_xlfn.XLOOKUP(1,(pivot!$A$2:$A$1946=Table3[[#This Row],[Müştəri adı]])*(pivot!$C$2:$C$1946=_xlfn.MAXIFS(pivot!$C$2:$C$1946,pivot!$A$2:$A$1946,Table3[[#This Row],[Müştəri adı]])),pivot!$B$2:$B$1946)</f>
        <v>MaritalStatus</v>
      </c>
      <c r="D227" s="22" cm="1">
        <f t="array" ref="D227">_xlfn.XLOOKUP(1,
  (pivot!$A$2:$A$1946=endirim!B227) * (pivot!$C$2:$C$1946 = _xlfn.MAXIFS(pivot!$C$2:$C$1946, pivot!$A$2:$A$1946, endirim!B227)),
  pivot!$D$2:$D$1946)</f>
        <v>29</v>
      </c>
      <c r="E227" s="3" t="str" cm="1">
        <f t="array" ref="E227">_xlfn.XLOOKUP(1,
    (pivot!$A$2:$A$1946=endirim!B227) * (pivot!$D$2:$D$1946 = _xlfn.MAXIFS(pivot!$D$2:$D$1946, pivot!$A$2:$A$1946, endirim!B227)),
    pivot!$B$2:$B$1946)</f>
        <v>HasCreditCard</v>
      </c>
      <c r="F227" s="22">
        <f>_xlfn.MAXIFS(pivot!$D$2:$D$1946, pivot!$A$2:$A$1946, endirim!B227)</f>
        <v>65</v>
      </c>
      <c r="G227" s="3" t="str">
        <f t="shared" si="3"/>
        <v>HasCreditCard Kompaniyasını 20% endirimlə təklif et</v>
      </c>
    </row>
    <row r="228" spans="2:7" x14ac:dyDescent="0.3">
      <c r="B228" t="s">
        <v>282</v>
      </c>
      <c r="C228" s="3" t="str" cm="1">
        <f t="array" ref="C228">_xlfn.XLOOKUP(1,(pivot!$A$2:$A$1946=Table3[[#This Row],[Müştəri adı]])*(pivot!$C$2:$C$1946=_xlfn.MAXIFS(pivot!$C$2:$C$1946,pivot!$A$2:$A$1946,Table3[[#This Row],[Müştəri adı]])),pivot!$B$2:$B$1946)</f>
        <v>Homeownership</v>
      </c>
      <c r="D228" s="22" cm="1">
        <f t="array" ref="D228">_xlfn.XLOOKUP(1,
  (pivot!$A$2:$A$1946=endirim!B228) * (pivot!$C$2:$C$1946 = _xlfn.MAXIFS(pivot!$C$2:$C$1946, pivot!$A$2:$A$1946, endirim!B228)),
  pivot!$D$2:$D$1946)</f>
        <v>13</v>
      </c>
      <c r="E228" s="3" t="str" cm="1">
        <f t="array" ref="E228">_xlfn.XLOOKUP(1,
    (pivot!$A$2:$A$1946=endirim!B228) * (pivot!$D$2:$D$1946 = _xlfn.MAXIFS(pivot!$D$2:$D$1946, pivot!$A$2:$A$1946, endirim!B228)),
    pivot!$B$2:$B$1946)</f>
        <v>NewCellphoneUser</v>
      </c>
      <c r="F228" s="22">
        <f>_xlfn.MAXIFS(pivot!$D$2:$D$1946, pivot!$A$2:$A$1946, endirim!B228)</f>
        <v>25</v>
      </c>
      <c r="G228" s="3" t="str">
        <f t="shared" si="3"/>
        <v>NewCellphoneUser Kompaniyasını 20% endirimlə təklif et</v>
      </c>
    </row>
    <row r="229" spans="2:7" x14ac:dyDescent="0.3">
      <c r="B229" t="s">
        <v>283</v>
      </c>
      <c r="C229" s="3" t="str" cm="1">
        <f t="array" ref="C229">_xlfn.XLOOKUP(1,(pivot!$A$2:$A$1946=Table3[[#This Row],[Müştəri adı]])*(pivot!$C$2:$C$1946=_xlfn.MAXIFS(pivot!$C$2:$C$1946,pivot!$A$2:$A$1946,Table3[[#This Row],[Müştəri adı]])),pivot!$B$2:$B$1946)</f>
        <v>MadeCallToRetentionTeam</v>
      </c>
      <c r="D229" s="22" cm="1">
        <f t="array" ref="D229">_xlfn.XLOOKUP(1,
  (pivot!$A$2:$A$1946=endirim!B229) * (pivot!$C$2:$C$1946 = _xlfn.MAXIFS(pivot!$C$2:$C$1946, pivot!$A$2:$A$1946, endirim!B229)),
  pivot!$D$2:$D$1946)</f>
        <v>16</v>
      </c>
      <c r="E229" s="3" t="str" cm="1">
        <f t="array" ref="E229">_xlfn.XLOOKUP(1,
    (pivot!$A$2:$A$1946=endirim!B229) * (pivot!$D$2:$D$1946 = _xlfn.MAXIFS(pivot!$D$2:$D$1946, pivot!$A$2:$A$1946, endirim!B229)),
    pivot!$B$2:$B$1946)</f>
        <v>MaritalStatus</v>
      </c>
      <c r="F229" s="22">
        <f>_xlfn.MAXIFS(pivot!$D$2:$D$1946, pivot!$A$2:$A$1946, endirim!B229)</f>
        <v>29</v>
      </c>
      <c r="G229" s="3" t="str">
        <f t="shared" si="3"/>
        <v>MaritalStatus Kompaniyasını 20% endirimlə təklif et</v>
      </c>
    </row>
    <row r="230" spans="2:7" x14ac:dyDescent="0.3">
      <c r="B230" t="s">
        <v>284</v>
      </c>
      <c r="C230" s="3" t="str" cm="1">
        <f t="array" ref="C230">_xlfn.XLOOKUP(1,(pivot!$A$2:$A$1946=Table3[[#This Row],[Müştəri adı]])*(pivot!$C$2:$C$1946=_xlfn.MAXIFS(pivot!$C$2:$C$1946,pivot!$A$2:$A$1946,Table3[[#This Row],[Müştəri adı]])),pivot!$B$2:$B$1946)</f>
        <v>BuysViaMailOrder</v>
      </c>
      <c r="D230" s="22" cm="1">
        <f t="array" ref="D230">_xlfn.XLOOKUP(1,
  (pivot!$A$2:$A$1946=endirim!B230) * (pivot!$C$2:$C$1946 = _xlfn.MAXIFS(pivot!$C$2:$C$1946, pivot!$A$2:$A$1946, endirim!B230)),
  pivot!$D$2:$D$1946)</f>
        <v>25</v>
      </c>
      <c r="E230" s="3" t="str" cm="1">
        <f t="array" ref="E230">_xlfn.XLOOKUP(1,
    (pivot!$A$2:$A$1946=endirim!B230) * (pivot!$D$2:$D$1946 = _xlfn.MAXIFS(pivot!$D$2:$D$1946, pivot!$A$2:$A$1946, endirim!B230)),
    pivot!$B$2:$B$1946)</f>
        <v>BuysViaMailOrder</v>
      </c>
      <c r="F230" s="22">
        <f>_xlfn.MAXIFS(pivot!$D$2:$D$1946, pivot!$A$2:$A$1946, endirim!B230)</f>
        <v>25</v>
      </c>
      <c r="G230" s="3" t="str">
        <f t="shared" si="3"/>
        <v>Təklif yoxdur</v>
      </c>
    </row>
    <row r="231" spans="2:7" x14ac:dyDescent="0.3">
      <c r="B231" t="s">
        <v>285</v>
      </c>
      <c r="C231" s="3" t="str" cm="1">
        <f t="array" ref="C231">_xlfn.XLOOKUP(1,(pivot!$A$2:$A$1946=Table3[[#This Row],[Müştəri adı]])*(pivot!$C$2:$C$1946=_xlfn.MAXIFS(pivot!$C$2:$C$1946,pivot!$A$2:$A$1946,Table3[[#This Row],[Müştəri adı]])),pivot!$B$2:$B$1946)</f>
        <v>Homeownership</v>
      </c>
      <c r="D231" s="22" cm="1">
        <f t="array" ref="D231">_xlfn.XLOOKUP(1,
  (pivot!$A$2:$A$1946=endirim!B231) * (pivot!$C$2:$C$1946 = _xlfn.MAXIFS(pivot!$C$2:$C$1946, pivot!$A$2:$A$1946, endirim!B231)),
  pivot!$D$2:$D$1946)</f>
        <v>13</v>
      </c>
      <c r="E231" s="3" t="str" cm="1">
        <f t="array" ref="E231">_xlfn.XLOOKUP(1,
    (pivot!$A$2:$A$1946=endirim!B231) * (pivot!$D$2:$D$1946 = _xlfn.MAXIFS(pivot!$D$2:$D$1946, pivot!$A$2:$A$1946, endirim!B231)),
    pivot!$B$2:$B$1946)</f>
        <v>OwnsMotorcycle</v>
      </c>
      <c r="F231" s="22">
        <f>_xlfn.MAXIFS(pivot!$D$2:$D$1946, pivot!$A$2:$A$1946, endirim!B231)</f>
        <v>14</v>
      </c>
      <c r="G231" s="3" t="str">
        <f t="shared" si="3"/>
        <v>OwnsMotorcycle Kompaniyasını 20% endirimlə təklif et</v>
      </c>
    </row>
    <row r="232" spans="2:7" x14ac:dyDescent="0.3">
      <c r="B232" t="s">
        <v>286</v>
      </c>
      <c r="C232" s="3" t="str" cm="1">
        <f t="array" ref="C232">_xlfn.XLOOKUP(1,(pivot!$A$2:$A$1946=Table3[[#This Row],[Müştəri adı]])*(pivot!$C$2:$C$1946=_xlfn.MAXIFS(pivot!$C$2:$C$1946,pivot!$A$2:$A$1946,Table3[[#This Row],[Müştəri adı]])),pivot!$B$2:$B$1946)</f>
        <v>TruckOwner</v>
      </c>
      <c r="D232" s="22" cm="1">
        <f t="array" ref="D232">_xlfn.XLOOKUP(1,
  (pivot!$A$2:$A$1946=endirim!B232) * (pivot!$C$2:$C$1946 = _xlfn.MAXIFS(pivot!$C$2:$C$1946, pivot!$A$2:$A$1946, endirim!B232)),
  pivot!$D$2:$D$1946)</f>
        <v>26</v>
      </c>
      <c r="E232" s="3" t="str" cm="1">
        <f t="array" ref="E232">_xlfn.XLOOKUP(1,
    (pivot!$A$2:$A$1946=endirim!B232) * (pivot!$D$2:$D$1946 = _xlfn.MAXIFS(pivot!$D$2:$D$1946, pivot!$A$2:$A$1946, endirim!B232)),
    pivot!$B$2:$B$1946)</f>
        <v>TruckOwner</v>
      </c>
      <c r="F232" s="22">
        <f>_xlfn.MAXIFS(pivot!$D$2:$D$1946, pivot!$A$2:$A$1946, endirim!B232)</f>
        <v>26</v>
      </c>
      <c r="G232" s="3" t="str">
        <f t="shared" si="3"/>
        <v>Təklif yoxdur</v>
      </c>
    </row>
    <row r="233" spans="2:7" x14ac:dyDescent="0.3">
      <c r="B233" t="s">
        <v>287</v>
      </c>
      <c r="C233" s="3" t="str" cm="1">
        <f t="array" ref="C233">_xlfn.XLOOKUP(1,(pivot!$A$2:$A$1946=Table3[[#This Row],[Müştəri adı]])*(pivot!$C$2:$C$1946=_xlfn.MAXIFS(pivot!$C$2:$C$1946,pivot!$A$2:$A$1946,Table3[[#This Row],[Müştəri adı]])),pivot!$B$2:$B$1946)</f>
        <v>HandsetRefurbished</v>
      </c>
      <c r="D233" s="22" cm="1">
        <f t="array" ref="D233">_xlfn.XLOOKUP(1,
  (pivot!$A$2:$A$1946=endirim!B233) * (pivot!$C$2:$C$1946 = _xlfn.MAXIFS(pivot!$C$2:$C$1946, pivot!$A$2:$A$1946, endirim!B233)),
  pivot!$D$2:$D$1946)</f>
        <v>26</v>
      </c>
      <c r="E233" s="3" t="str" cm="1">
        <f t="array" ref="E233">_xlfn.XLOOKUP(1,
    (pivot!$A$2:$A$1946=endirim!B233) * (pivot!$D$2:$D$1946 = _xlfn.MAXIFS(pivot!$D$2:$D$1946, pivot!$A$2:$A$1946, endirim!B233)),
    pivot!$B$2:$B$1946)</f>
        <v>OptOutMailings</v>
      </c>
      <c r="F233" s="22">
        <f>_xlfn.MAXIFS(pivot!$D$2:$D$1946, pivot!$A$2:$A$1946, endirim!B233)</f>
        <v>75</v>
      </c>
      <c r="G233" s="3" t="str">
        <f t="shared" si="3"/>
        <v>OptOutMailings Kompaniyasını 20% endirimlə təklif et</v>
      </c>
    </row>
    <row r="234" spans="2:7" x14ac:dyDescent="0.3">
      <c r="B234" t="s">
        <v>288</v>
      </c>
      <c r="C234" s="3" t="str" cm="1">
        <f t="array" ref="C234">_xlfn.XLOOKUP(1,(pivot!$A$2:$A$1946=Table3[[#This Row],[Müştəri adı]])*(pivot!$C$2:$C$1946=_xlfn.MAXIFS(pivot!$C$2:$C$1946,pivot!$A$2:$A$1946,Table3[[#This Row],[Müştəri adı]])),pivot!$B$2:$B$1946)</f>
        <v>NotNewCellphoneUser</v>
      </c>
      <c r="D234" s="22" cm="1">
        <f t="array" ref="D234">_xlfn.XLOOKUP(1,
  (pivot!$A$2:$A$1946=endirim!B234) * (pivot!$C$2:$C$1946 = _xlfn.MAXIFS(pivot!$C$2:$C$1946, pivot!$A$2:$A$1946, endirim!B234)),
  pivot!$D$2:$D$1946)</f>
        <v>28</v>
      </c>
      <c r="E234" s="3" t="str" cm="1">
        <f t="array" ref="E234">_xlfn.XLOOKUP(1,
    (pivot!$A$2:$A$1946=endirim!B234) * (pivot!$D$2:$D$1946 = _xlfn.MAXIFS(pivot!$D$2:$D$1946, pivot!$A$2:$A$1946, endirim!B234)),
    pivot!$B$2:$B$1946)</f>
        <v>NotNewCellphoneUser</v>
      </c>
      <c r="F234" s="22">
        <f>_xlfn.MAXIFS(pivot!$D$2:$D$1946, pivot!$A$2:$A$1946, endirim!B234)</f>
        <v>28</v>
      </c>
      <c r="G234" s="3" t="str">
        <f t="shared" si="3"/>
        <v>Təklif yoxdur</v>
      </c>
    </row>
    <row r="235" spans="2:7" x14ac:dyDescent="0.3">
      <c r="B235" t="s">
        <v>289</v>
      </c>
      <c r="C235" s="3" t="str" cm="1">
        <f t="array" ref="C235">_xlfn.XLOOKUP(1,(pivot!$A$2:$A$1946=Table3[[#This Row],[Müştəri adı]])*(pivot!$C$2:$C$1946=_xlfn.MAXIFS(pivot!$C$2:$C$1946,pivot!$A$2:$A$1946,Table3[[#This Row],[Müştəri adı]])),pivot!$B$2:$B$1946)</f>
        <v>HandsetWebCapable</v>
      </c>
      <c r="D235" s="22" cm="1">
        <f t="array" ref="D235">_xlfn.XLOOKUP(1,
  (pivot!$A$2:$A$1946=endirim!B235) * (pivot!$C$2:$C$1946 = _xlfn.MAXIFS(pivot!$C$2:$C$1946, pivot!$A$2:$A$1946, endirim!B235)),
  pivot!$D$2:$D$1946)</f>
        <v>62</v>
      </c>
      <c r="E235" s="3" t="str" cm="1">
        <f t="array" ref="E235">_xlfn.XLOOKUP(1,
    (pivot!$A$2:$A$1946=endirim!B235) * (pivot!$D$2:$D$1946 = _xlfn.MAXIFS(pivot!$D$2:$D$1946, pivot!$A$2:$A$1946, endirim!B235)),
    pivot!$B$2:$B$1946)</f>
        <v>HandsetWebCapable</v>
      </c>
      <c r="F235" s="22">
        <f>_xlfn.MAXIFS(pivot!$D$2:$D$1946, pivot!$A$2:$A$1946, endirim!B235)</f>
        <v>62</v>
      </c>
      <c r="G235" s="3" t="str">
        <f t="shared" si="3"/>
        <v>Təklif yoxdur</v>
      </c>
    </row>
    <row r="236" spans="2:7" x14ac:dyDescent="0.3">
      <c r="B236" t="s">
        <v>290</v>
      </c>
      <c r="C236" s="3" t="str" cm="1">
        <f t="array" ref="C236">_xlfn.XLOOKUP(1,(pivot!$A$2:$A$1946=Table3[[#This Row],[Müştəri adı]])*(pivot!$C$2:$C$1946=_xlfn.MAXIFS(pivot!$C$2:$C$1946,pivot!$A$2:$A$1946,Table3[[#This Row],[Müştəri adı]])),pivot!$B$2:$B$1946)</f>
        <v>HandsetRefurbished</v>
      </c>
      <c r="D236" s="22" cm="1">
        <f t="array" ref="D236">_xlfn.XLOOKUP(1,
  (pivot!$A$2:$A$1946=endirim!B236) * (pivot!$C$2:$C$1946 = _xlfn.MAXIFS(pivot!$C$2:$C$1946, pivot!$A$2:$A$1946, endirim!B236)),
  pivot!$D$2:$D$1946)</f>
        <v>26</v>
      </c>
      <c r="E236" s="3" t="str" cm="1">
        <f t="array" ref="E236">_xlfn.XLOOKUP(1,
    (pivot!$A$2:$A$1946=endirim!B236) * (pivot!$D$2:$D$1946 = _xlfn.MAXIFS(pivot!$D$2:$D$1946, pivot!$A$2:$A$1946, endirim!B236)),
    pivot!$B$2:$B$1946)</f>
        <v>HandsetRefurbished</v>
      </c>
      <c r="F236" s="22">
        <f>_xlfn.MAXIFS(pivot!$D$2:$D$1946, pivot!$A$2:$A$1946, endirim!B236)</f>
        <v>26</v>
      </c>
      <c r="G236" s="3" t="str">
        <f t="shared" si="3"/>
        <v>Təklif yoxdur</v>
      </c>
    </row>
    <row r="237" spans="2:7" x14ac:dyDescent="0.3">
      <c r="B237" t="s">
        <v>291</v>
      </c>
      <c r="C237" s="3" t="str" cm="1">
        <f t="array" ref="C237">_xlfn.XLOOKUP(1,(pivot!$A$2:$A$1946=Table3[[#This Row],[Müştəri adı]])*(pivot!$C$2:$C$1946=_xlfn.MAXIFS(pivot!$C$2:$C$1946,pivot!$A$2:$A$1946,Table3[[#This Row],[Müştəri adı]])),pivot!$B$2:$B$1946)</f>
        <v>BuysViaMailOrder</v>
      </c>
      <c r="D237" s="22" cm="1">
        <f t="array" ref="D237">_xlfn.XLOOKUP(1,
  (pivot!$A$2:$A$1946=endirim!B237) * (pivot!$C$2:$C$1946 = _xlfn.MAXIFS(pivot!$C$2:$C$1946, pivot!$A$2:$A$1946, endirim!B237)),
  pivot!$D$2:$D$1946)</f>
        <v>25</v>
      </c>
      <c r="E237" s="3" t="str" cm="1">
        <f t="array" ref="E237">_xlfn.XLOOKUP(1,
    (pivot!$A$2:$A$1946=endirim!B237) * (pivot!$D$2:$D$1946 = _xlfn.MAXIFS(pivot!$D$2:$D$1946, pivot!$A$2:$A$1946, endirim!B237)),
    pivot!$B$2:$B$1946)</f>
        <v>NotNewCellphoneUser</v>
      </c>
      <c r="F237" s="22">
        <f>_xlfn.MAXIFS(pivot!$D$2:$D$1946, pivot!$A$2:$A$1946, endirim!B237)</f>
        <v>28</v>
      </c>
      <c r="G237" s="3" t="str">
        <f t="shared" si="3"/>
        <v>NotNewCellphoneUser Kompaniyasını 20% endirimlə təklif et</v>
      </c>
    </row>
    <row r="238" spans="2:7" x14ac:dyDescent="0.3">
      <c r="B238" t="s">
        <v>292</v>
      </c>
      <c r="C238" s="3" t="str" cm="1">
        <f t="array" ref="C238">_xlfn.XLOOKUP(1,(pivot!$A$2:$A$1946=Table3[[#This Row],[Müştəri adı]])*(pivot!$C$2:$C$1946=_xlfn.MAXIFS(pivot!$C$2:$C$1946,pivot!$A$2:$A$1946,Table3[[#This Row],[Müştəri adı]])),pivot!$B$2:$B$1946)</f>
        <v>MaritalStatus</v>
      </c>
      <c r="D238" s="22" cm="1">
        <f t="array" ref="D238">_xlfn.XLOOKUP(1,
  (pivot!$A$2:$A$1946=endirim!B238) * (pivot!$C$2:$C$1946 = _xlfn.MAXIFS(pivot!$C$2:$C$1946, pivot!$A$2:$A$1946, endirim!B238)),
  pivot!$D$2:$D$1946)</f>
        <v>29</v>
      </c>
      <c r="E238" s="3" t="str" cm="1">
        <f t="array" ref="E238">_xlfn.XLOOKUP(1,
    (pivot!$A$2:$A$1946=endirim!B238) * (pivot!$D$2:$D$1946 = _xlfn.MAXIFS(pivot!$D$2:$D$1946, pivot!$A$2:$A$1946, endirim!B238)),
    pivot!$B$2:$B$1946)</f>
        <v>MaritalStatus</v>
      </c>
      <c r="F238" s="22">
        <f>_xlfn.MAXIFS(pivot!$D$2:$D$1946, pivot!$A$2:$A$1946, endirim!B238)</f>
        <v>29</v>
      </c>
      <c r="G238" s="3" t="str">
        <f t="shared" si="3"/>
        <v>Təklif yoxdur</v>
      </c>
    </row>
    <row r="239" spans="2:7" x14ac:dyDescent="0.3">
      <c r="B239" t="s">
        <v>293</v>
      </c>
      <c r="C239" s="3" t="str" cm="1">
        <f t="array" ref="C239">_xlfn.XLOOKUP(1,(pivot!$A$2:$A$1946=Table3[[#This Row],[Müştəri adı]])*(pivot!$C$2:$C$1946=_xlfn.MAXIFS(pivot!$C$2:$C$1946,pivot!$A$2:$A$1946,Table3[[#This Row],[Müştəri adı]])),pivot!$B$2:$B$1946)</f>
        <v>OwnsMotorcycle</v>
      </c>
      <c r="D239" s="22" cm="1">
        <f t="array" ref="D239">_xlfn.XLOOKUP(1,
  (pivot!$A$2:$A$1946=endirim!B239) * (pivot!$C$2:$C$1946 = _xlfn.MAXIFS(pivot!$C$2:$C$1946, pivot!$A$2:$A$1946, endirim!B239)),
  pivot!$D$2:$D$1946)</f>
        <v>14</v>
      </c>
      <c r="E239" s="3" t="str" cm="1">
        <f t="array" ref="E239">_xlfn.XLOOKUP(1,
    (pivot!$A$2:$A$1946=endirim!B239) * (pivot!$D$2:$D$1946 = _xlfn.MAXIFS(pivot!$D$2:$D$1946, pivot!$A$2:$A$1946, endirim!B239)),
    pivot!$B$2:$B$1946)</f>
        <v>MaritalStatus</v>
      </c>
      <c r="F239" s="22">
        <f>_xlfn.MAXIFS(pivot!$D$2:$D$1946, pivot!$A$2:$A$1946, endirim!B239)</f>
        <v>29</v>
      </c>
      <c r="G239" s="3" t="str">
        <f t="shared" si="3"/>
        <v>MaritalStatus Kompaniyasını 20% endirimlə təklif et</v>
      </c>
    </row>
    <row r="240" spans="2:7" x14ac:dyDescent="0.3">
      <c r="B240" t="s">
        <v>294</v>
      </c>
      <c r="C240" s="3" t="str" cm="1">
        <f t="array" ref="C240">_xlfn.XLOOKUP(1,(pivot!$A$2:$A$1946=Table3[[#This Row],[Müştəri adı]])*(pivot!$C$2:$C$1946=_xlfn.MAXIFS(pivot!$C$2:$C$1946,pivot!$A$2:$A$1946,Table3[[#This Row],[Müştəri adı]])),pivot!$B$2:$B$1946)</f>
        <v>HandsetWebCapable</v>
      </c>
      <c r="D240" s="22" cm="1">
        <f t="array" ref="D240">_xlfn.XLOOKUP(1,
  (pivot!$A$2:$A$1946=endirim!B240) * (pivot!$C$2:$C$1946 = _xlfn.MAXIFS(pivot!$C$2:$C$1946, pivot!$A$2:$A$1946, endirim!B240)),
  pivot!$D$2:$D$1946)</f>
        <v>62</v>
      </c>
      <c r="E240" s="3" t="str" cm="1">
        <f t="array" ref="E240">_xlfn.XLOOKUP(1,
    (pivot!$A$2:$A$1946=endirim!B240) * (pivot!$D$2:$D$1946 = _xlfn.MAXIFS(pivot!$D$2:$D$1946, pivot!$A$2:$A$1946, endirim!B240)),
    pivot!$B$2:$B$1946)</f>
        <v>NonUSTravel</v>
      </c>
      <c r="F240" s="22">
        <f>_xlfn.MAXIFS(pivot!$D$2:$D$1946, pivot!$A$2:$A$1946, endirim!B240)</f>
        <v>66</v>
      </c>
      <c r="G240" s="3" t="str">
        <f t="shared" si="3"/>
        <v>NonUSTravel Kompaniyasını 20% endirimlə təklif et</v>
      </c>
    </row>
    <row r="241" spans="2:7" x14ac:dyDescent="0.3">
      <c r="B241" t="s">
        <v>295</v>
      </c>
      <c r="C241" s="3" t="str" cm="1">
        <f t="array" ref="C241">_xlfn.XLOOKUP(1,(pivot!$A$2:$A$1946=Table3[[#This Row],[Müştəri adı]])*(pivot!$C$2:$C$1946=_xlfn.MAXIFS(pivot!$C$2:$C$1946,pivot!$A$2:$A$1946,Table3[[#This Row],[Müştəri adı]])),pivot!$B$2:$B$1946)</f>
        <v>NotNewCellphoneUser</v>
      </c>
      <c r="D241" s="22" cm="1">
        <f t="array" ref="D241">_xlfn.XLOOKUP(1,
  (pivot!$A$2:$A$1946=endirim!B241) * (pivot!$C$2:$C$1946 = _xlfn.MAXIFS(pivot!$C$2:$C$1946, pivot!$A$2:$A$1946, endirim!B241)),
  pivot!$D$2:$D$1946)</f>
        <v>28</v>
      </c>
      <c r="E241" s="3" t="str" cm="1">
        <f t="array" ref="E241">_xlfn.XLOOKUP(1,
    (pivot!$A$2:$A$1946=endirim!B241) * (pivot!$D$2:$D$1946 = _xlfn.MAXIFS(pivot!$D$2:$D$1946, pivot!$A$2:$A$1946, endirim!B241)),
    pivot!$B$2:$B$1946)</f>
        <v>HandsetWebCapable</v>
      </c>
      <c r="F241" s="22">
        <f>_xlfn.MAXIFS(pivot!$D$2:$D$1946, pivot!$A$2:$A$1946, endirim!B241)</f>
        <v>62</v>
      </c>
      <c r="G241" s="3" t="str">
        <f t="shared" si="3"/>
        <v>HandsetWebCapable Kompaniyasını 20% endirimlə təklif et</v>
      </c>
    </row>
    <row r="242" spans="2:7" x14ac:dyDescent="0.3">
      <c r="B242" t="s">
        <v>296</v>
      </c>
      <c r="C242" s="3" t="str" cm="1">
        <f t="array" ref="C242">_xlfn.XLOOKUP(1,(pivot!$A$2:$A$1946=Table3[[#This Row],[Müştəri adı]])*(pivot!$C$2:$C$1946=_xlfn.MAXIFS(pivot!$C$2:$C$1946,pivot!$A$2:$A$1946,Table3[[#This Row],[Müştəri adı]])),pivot!$B$2:$B$1946)</f>
        <v>HandsetWebCapable</v>
      </c>
      <c r="D242" s="22" cm="1">
        <f t="array" ref="D242">_xlfn.XLOOKUP(1,
  (pivot!$A$2:$A$1946=endirim!B242) * (pivot!$C$2:$C$1946 = _xlfn.MAXIFS(pivot!$C$2:$C$1946, pivot!$A$2:$A$1946, endirim!B242)),
  pivot!$D$2:$D$1946)</f>
        <v>62</v>
      </c>
      <c r="E242" s="3" t="str" cm="1">
        <f t="array" ref="E242">_xlfn.XLOOKUP(1,
    (pivot!$A$2:$A$1946=endirim!B242) * (pivot!$D$2:$D$1946 = _xlfn.MAXIFS(pivot!$D$2:$D$1946, pivot!$A$2:$A$1946, endirim!B242)),
    pivot!$B$2:$B$1946)</f>
        <v>HandsetWebCapable</v>
      </c>
      <c r="F242" s="22">
        <f>_xlfn.MAXIFS(pivot!$D$2:$D$1946, pivot!$A$2:$A$1946, endirim!B242)</f>
        <v>62</v>
      </c>
      <c r="G242" s="3" t="str">
        <f t="shared" si="3"/>
        <v>Təklif yoxdur</v>
      </c>
    </row>
    <row r="243" spans="2:7" x14ac:dyDescent="0.3">
      <c r="B243" t="s">
        <v>297</v>
      </c>
      <c r="C243" s="3" t="str" cm="1">
        <f t="array" ref="C243">_xlfn.XLOOKUP(1,(pivot!$A$2:$A$1946=Table3[[#This Row],[Müştəri adı]])*(pivot!$C$2:$C$1946=_xlfn.MAXIFS(pivot!$C$2:$C$1946,pivot!$A$2:$A$1946,Table3[[#This Row],[Müştəri adı]])),pivot!$B$2:$B$1946)</f>
        <v>MadeCallToRetentionTeam</v>
      </c>
      <c r="D243" s="22" cm="1">
        <f t="array" ref="D243">_xlfn.XLOOKUP(1,
  (pivot!$A$2:$A$1946=endirim!B243) * (pivot!$C$2:$C$1946 = _xlfn.MAXIFS(pivot!$C$2:$C$1946, pivot!$A$2:$A$1946, endirim!B243)),
  pivot!$D$2:$D$1946)</f>
        <v>16</v>
      </c>
      <c r="E243" s="3" t="str" cm="1">
        <f t="array" ref="E243">_xlfn.XLOOKUP(1,
    (pivot!$A$2:$A$1946=endirim!B243) * (pivot!$D$2:$D$1946 = _xlfn.MAXIFS(pivot!$D$2:$D$1946, pivot!$A$2:$A$1946, endirim!B243)),
    pivot!$B$2:$B$1946)</f>
        <v>HandsetWebCapable</v>
      </c>
      <c r="F243" s="22">
        <f>_xlfn.MAXIFS(pivot!$D$2:$D$1946, pivot!$A$2:$A$1946, endirim!B243)</f>
        <v>62</v>
      </c>
      <c r="G243" s="3" t="str">
        <f t="shared" si="3"/>
        <v>HandsetWebCapable Kompaniyasını 20% endirimlə təklif et</v>
      </c>
    </row>
    <row r="244" spans="2:7" x14ac:dyDescent="0.3">
      <c r="B244" t="s">
        <v>298</v>
      </c>
      <c r="C244" s="3" t="str" cm="1">
        <f t="array" ref="C244">_xlfn.XLOOKUP(1,(pivot!$A$2:$A$1946=Table3[[#This Row],[Müştəri adı]])*(pivot!$C$2:$C$1946=_xlfn.MAXIFS(pivot!$C$2:$C$1946,pivot!$A$2:$A$1946,Table3[[#This Row],[Müştəri adı]])),pivot!$B$2:$B$1946)</f>
        <v>RVOwner</v>
      </c>
      <c r="D244" s="22" cm="1">
        <f t="array" ref="D244">_xlfn.XLOOKUP(1,
  (pivot!$A$2:$A$1946=endirim!B244) * (pivot!$C$2:$C$1946 = _xlfn.MAXIFS(pivot!$C$2:$C$1946, pivot!$A$2:$A$1946, endirim!B244)),
  pivot!$D$2:$D$1946)</f>
        <v>22</v>
      </c>
      <c r="E244" s="3" t="str" cm="1">
        <f t="array" ref="E244">_xlfn.XLOOKUP(1,
    (pivot!$A$2:$A$1946=endirim!B244) * (pivot!$D$2:$D$1946 = _xlfn.MAXIFS(pivot!$D$2:$D$1946, pivot!$A$2:$A$1946, endirim!B244)),
    pivot!$B$2:$B$1946)</f>
        <v>RespondsToMailOffers</v>
      </c>
      <c r="F244" s="22">
        <f>_xlfn.MAXIFS(pivot!$D$2:$D$1946, pivot!$A$2:$A$1946, endirim!B244)</f>
        <v>27</v>
      </c>
      <c r="G244" s="3" t="str">
        <f t="shared" si="3"/>
        <v>RespondsToMailOffers Kompaniyasını 20% endirimlə təklif et</v>
      </c>
    </row>
    <row r="245" spans="2:7" x14ac:dyDescent="0.3">
      <c r="B245" t="s">
        <v>299</v>
      </c>
      <c r="C245" s="3" t="str" cm="1">
        <f t="array" ref="C245">_xlfn.XLOOKUP(1,(pivot!$A$2:$A$1946=Table3[[#This Row],[Müştəri adı]])*(pivot!$C$2:$C$1946=_xlfn.MAXIFS(pivot!$C$2:$C$1946,pivot!$A$2:$A$1946,Table3[[#This Row],[Müştəri adı]])),pivot!$B$2:$B$1946)</f>
        <v>MaritalStatus</v>
      </c>
      <c r="D245" s="22" cm="1">
        <f t="array" ref="D245">_xlfn.XLOOKUP(1,
  (pivot!$A$2:$A$1946=endirim!B245) * (pivot!$C$2:$C$1946 = _xlfn.MAXIFS(pivot!$C$2:$C$1946, pivot!$A$2:$A$1946, endirim!B245)),
  pivot!$D$2:$D$1946)</f>
        <v>29</v>
      </c>
      <c r="E245" s="3" t="str" cm="1">
        <f t="array" ref="E245">_xlfn.XLOOKUP(1,
    (pivot!$A$2:$A$1946=endirim!B245) * (pivot!$D$2:$D$1946 = _xlfn.MAXIFS(pivot!$D$2:$D$1946, pivot!$A$2:$A$1946, endirim!B245)),
    pivot!$B$2:$B$1946)</f>
        <v>NonUSTravel</v>
      </c>
      <c r="F245" s="22">
        <f>_xlfn.MAXIFS(pivot!$D$2:$D$1946, pivot!$A$2:$A$1946, endirim!B245)</f>
        <v>66</v>
      </c>
      <c r="G245" s="3" t="str">
        <f t="shared" si="3"/>
        <v>NonUSTravel Kompaniyasını 20% endirimlə təklif et</v>
      </c>
    </row>
    <row r="246" spans="2:7" x14ac:dyDescent="0.3">
      <c r="B246" t="s">
        <v>300</v>
      </c>
      <c r="C246" s="3" t="str" cm="1">
        <f t="array" ref="C246">_xlfn.XLOOKUP(1,(pivot!$A$2:$A$1946=Table3[[#This Row],[Müştəri adı]])*(pivot!$C$2:$C$1946=_xlfn.MAXIFS(pivot!$C$2:$C$1946,pivot!$A$2:$A$1946,Table3[[#This Row],[Müştəri adı]])),pivot!$B$2:$B$1946)</f>
        <v>HasCreditCard</v>
      </c>
      <c r="D246" s="22" cm="1">
        <f t="array" ref="D246">_xlfn.XLOOKUP(1,
  (pivot!$A$2:$A$1946=endirim!B246) * (pivot!$C$2:$C$1946 = _xlfn.MAXIFS(pivot!$C$2:$C$1946, pivot!$A$2:$A$1946, endirim!B246)),
  pivot!$D$2:$D$1946)</f>
        <v>65</v>
      </c>
      <c r="E246" s="3" t="str" cm="1">
        <f t="array" ref="E246">_xlfn.XLOOKUP(1,
    (pivot!$A$2:$A$1946=endirim!B246) * (pivot!$D$2:$D$1946 = _xlfn.MAXIFS(pivot!$D$2:$D$1946, pivot!$A$2:$A$1946, endirim!B246)),
    pivot!$B$2:$B$1946)</f>
        <v>HasCreditCard</v>
      </c>
      <c r="F246" s="22">
        <f>_xlfn.MAXIFS(pivot!$D$2:$D$1946, pivot!$A$2:$A$1946, endirim!B246)</f>
        <v>65</v>
      </c>
      <c r="G246" s="3" t="str">
        <f t="shared" si="3"/>
        <v>Təklif yoxdur</v>
      </c>
    </row>
    <row r="247" spans="2:7" x14ac:dyDescent="0.3">
      <c r="B247" t="s">
        <v>301</v>
      </c>
      <c r="C247" s="3" t="str" cm="1">
        <f t="array" ref="C247">_xlfn.XLOOKUP(1,(pivot!$A$2:$A$1946=Table3[[#This Row],[Müştəri adı]])*(pivot!$C$2:$C$1946=_xlfn.MAXIFS(pivot!$C$2:$C$1946,pivot!$A$2:$A$1946,Table3[[#This Row],[Müştəri adı]])),pivot!$B$2:$B$1946)</f>
        <v>Homeownership</v>
      </c>
      <c r="D247" s="22" cm="1">
        <f t="array" ref="D247">_xlfn.XLOOKUP(1,
  (pivot!$A$2:$A$1946=endirim!B247) * (pivot!$C$2:$C$1946 = _xlfn.MAXIFS(pivot!$C$2:$C$1946, pivot!$A$2:$A$1946, endirim!B247)),
  pivot!$D$2:$D$1946)</f>
        <v>13</v>
      </c>
      <c r="E247" s="3" t="str" cm="1">
        <f t="array" ref="E247">_xlfn.XLOOKUP(1,
    (pivot!$A$2:$A$1946=endirim!B247) * (pivot!$D$2:$D$1946 = _xlfn.MAXIFS(pivot!$D$2:$D$1946, pivot!$A$2:$A$1946, endirim!B247)),
    pivot!$B$2:$B$1946)</f>
        <v>OwnsMotorcycle</v>
      </c>
      <c r="F247" s="22">
        <f>_xlfn.MAXIFS(pivot!$D$2:$D$1946, pivot!$A$2:$A$1946, endirim!B247)</f>
        <v>14</v>
      </c>
      <c r="G247" s="3" t="str">
        <f t="shared" si="3"/>
        <v>OwnsMotorcycle Kompaniyasını 20% endirimlə təklif et</v>
      </c>
    </row>
    <row r="248" spans="2:7" x14ac:dyDescent="0.3">
      <c r="B248" t="s">
        <v>302</v>
      </c>
      <c r="C248" s="3" t="str" cm="1">
        <f t="array" ref="C248">_xlfn.XLOOKUP(1,(pivot!$A$2:$A$1946=Table3[[#This Row],[Müştəri adı]])*(pivot!$C$2:$C$1946=_xlfn.MAXIFS(pivot!$C$2:$C$1946,pivot!$A$2:$A$1946,Table3[[#This Row],[Müştəri adı]])),pivot!$B$2:$B$1946)</f>
        <v>RVOwner</v>
      </c>
      <c r="D248" s="22" cm="1">
        <f t="array" ref="D248">_xlfn.XLOOKUP(1,
  (pivot!$A$2:$A$1946=endirim!B248) * (pivot!$C$2:$C$1946 = _xlfn.MAXIFS(pivot!$C$2:$C$1946, pivot!$A$2:$A$1946, endirim!B248)),
  pivot!$D$2:$D$1946)</f>
        <v>22</v>
      </c>
      <c r="E248" s="3" t="str" cm="1">
        <f t="array" ref="E248">_xlfn.XLOOKUP(1,
    (pivot!$A$2:$A$1946=endirim!B248) * (pivot!$D$2:$D$1946 = _xlfn.MAXIFS(pivot!$D$2:$D$1946, pivot!$A$2:$A$1946, endirim!B248)),
    pivot!$B$2:$B$1946)</f>
        <v>OptOutMailings</v>
      </c>
      <c r="F248" s="22">
        <f>_xlfn.MAXIFS(pivot!$D$2:$D$1946, pivot!$A$2:$A$1946, endirim!B248)</f>
        <v>75</v>
      </c>
      <c r="G248" s="3" t="str">
        <f t="shared" si="3"/>
        <v>OptOutMailings Kompaniyasını 20% endirimlə təklif et</v>
      </c>
    </row>
    <row r="249" spans="2:7" x14ac:dyDescent="0.3">
      <c r="B249" t="s">
        <v>303</v>
      </c>
      <c r="C249" s="3" t="str" cm="1">
        <f t="array" ref="C249">_xlfn.XLOOKUP(1,(pivot!$A$2:$A$1946=Table3[[#This Row],[Müştəri adı]])*(pivot!$C$2:$C$1946=_xlfn.MAXIFS(pivot!$C$2:$C$1946,pivot!$A$2:$A$1946,Table3[[#This Row],[Müştəri adı]])),pivot!$B$2:$B$1946)</f>
        <v>NewCellphoneUser</v>
      </c>
      <c r="D249" s="22" cm="1">
        <f t="array" ref="D249">_xlfn.XLOOKUP(1,
  (pivot!$A$2:$A$1946=endirim!B249) * (pivot!$C$2:$C$1946 = _xlfn.MAXIFS(pivot!$C$2:$C$1946, pivot!$A$2:$A$1946, endirim!B249)),
  pivot!$D$2:$D$1946)</f>
        <v>25</v>
      </c>
      <c r="E249" s="3" t="str" cm="1">
        <f t="array" ref="E249">_xlfn.XLOOKUP(1,
    (pivot!$A$2:$A$1946=endirim!B249) * (pivot!$D$2:$D$1946 = _xlfn.MAXIFS(pivot!$D$2:$D$1946, pivot!$A$2:$A$1946, endirim!B249)),
    pivot!$B$2:$B$1946)</f>
        <v>NotNewCellphoneUser</v>
      </c>
      <c r="F249" s="22">
        <f>_xlfn.MAXIFS(pivot!$D$2:$D$1946, pivot!$A$2:$A$1946, endirim!B249)</f>
        <v>28</v>
      </c>
      <c r="G249" s="3" t="str">
        <f t="shared" si="3"/>
        <v>NotNewCellphoneUser Kompaniyasını 20% endirimlə təklif et</v>
      </c>
    </row>
    <row r="250" spans="2:7" x14ac:dyDescent="0.3">
      <c r="B250" t="s">
        <v>304</v>
      </c>
      <c r="C250" s="3" t="str" cm="1">
        <f t="array" ref="C250">_xlfn.XLOOKUP(1,(pivot!$A$2:$A$1946=Table3[[#This Row],[Müştəri adı]])*(pivot!$C$2:$C$1946=_xlfn.MAXIFS(pivot!$C$2:$C$1946,pivot!$A$2:$A$1946,Table3[[#This Row],[Müştəri adı]])),pivot!$B$2:$B$1946)</f>
        <v>HasCreditCard</v>
      </c>
      <c r="D250" s="22" cm="1">
        <f t="array" ref="D250">_xlfn.XLOOKUP(1,
  (pivot!$A$2:$A$1946=endirim!B250) * (pivot!$C$2:$C$1946 = _xlfn.MAXIFS(pivot!$C$2:$C$1946, pivot!$A$2:$A$1946, endirim!B250)),
  pivot!$D$2:$D$1946)</f>
        <v>65</v>
      </c>
      <c r="E250" s="3" t="str" cm="1">
        <f t="array" ref="E250">_xlfn.XLOOKUP(1,
    (pivot!$A$2:$A$1946=endirim!B250) * (pivot!$D$2:$D$1946 = _xlfn.MAXIFS(pivot!$D$2:$D$1946, pivot!$A$2:$A$1946, endirim!B250)),
    pivot!$B$2:$B$1946)</f>
        <v>HasCreditCard</v>
      </c>
      <c r="F250" s="22">
        <f>_xlfn.MAXIFS(pivot!$D$2:$D$1946, pivot!$A$2:$A$1946, endirim!B250)</f>
        <v>65</v>
      </c>
      <c r="G250" s="3" t="str">
        <f t="shared" si="3"/>
        <v>Təklif yoxdur</v>
      </c>
    </row>
    <row r="251" spans="2:7" x14ac:dyDescent="0.3">
      <c r="B251" t="s">
        <v>305</v>
      </c>
      <c r="C251" s="3" t="str" cm="1">
        <f t="array" ref="C251">_xlfn.XLOOKUP(1,(pivot!$A$2:$A$1946=Table3[[#This Row],[Müştəri adı]])*(pivot!$C$2:$C$1946=_xlfn.MAXIFS(pivot!$C$2:$C$1946,pivot!$A$2:$A$1946,Table3[[#This Row],[Müştəri adı]])),pivot!$B$2:$B$1946)</f>
        <v>RVOwner</v>
      </c>
      <c r="D251" s="22" cm="1">
        <f t="array" ref="D251">_xlfn.XLOOKUP(1,
  (pivot!$A$2:$A$1946=endirim!B251) * (pivot!$C$2:$C$1946 = _xlfn.MAXIFS(pivot!$C$2:$C$1946, pivot!$A$2:$A$1946, endirim!B251)),
  pivot!$D$2:$D$1946)</f>
        <v>22</v>
      </c>
      <c r="E251" s="3" t="str" cm="1">
        <f t="array" ref="E251">_xlfn.XLOOKUP(1,
    (pivot!$A$2:$A$1946=endirim!B251) * (pivot!$D$2:$D$1946 = _xlfn.MAXIFS(pivot!$D$2:$D$1946, pivot!$A$2:$A$1946, endirim!B251)),
    pivot!$B$2:$B$1946)</f>
        <v>BuysViaMailOrder</v>
      </c>
      <c r="F251" s="22">
        <f>_xlfn.MAXIFS(pivot!$D$2:$D$1946, pivot!$A$2:$A$1946, endirim!B251)</f>
        <v>25</v>
      </c>
      <c r="G251" s="3" t="str">
        <f t="shared" si="3"/>
        <v>BuysViaMailOrder Kompaniyasını 20% endirimlə təklif et</v>
      </c>
    </row>
    <row r="252" spans="2:7" x14ac:dyDescent="0.3">
      <c r="B252" t="s">
        <v>306</v>
      </c>
      <c r="C252" s="3" t="str" cm="1">
        <f t="array" ref="C252">_xlfn.XLOOKUP(1,(pivot!$A$2:$A$1946=Table3[[#This Row],[Müştəri adı]])*(pivot!$C$2:$C$1946=_xlfn.MAXIFS(pivot!$C$2:$C$1946,pivot!$A$2:$A$1946,Table3[[#This Row],[Müştəri adı]])),pivot!$B$2:$B$1946)</f>
        <v>ChildrenInHH</v>
      </c>
      <c r="D252" s="22" cm="1">
        <f t="array" ref="D252">_xlfn.XLOOKUP(1,
  (pivot!$A$2:$A$1946=endirim!B252) * (pivot!$C$2:$C$1946 = _xlfn.MAXIFS(pivot!$C$2:$C$1946, pivot!$A$2:$A$1946, endirim!B252)),
  pivot!$D$2:$D$1946)</f>
        <v>10</v>
      </c>
      <c r="E252" s="3" t="str" cm="1">
        <f t="array" ref="E252">_xlfn.XLOOKUP(1,
    (pivot!$A$2:$A$1946=endirim!B252) * (pivot!$D$2:$D$1946 = _xlfn.MAXIFS(pivot!$D$2:$D$1946, pivot!$A$2:$A$1946, endirim!B252)),
    pivot!$B$2:$B$1946)</f>
        <v>HandsetWebCapable</v>
      </c>
      <c r="F252" s="22">
        <f>_xlfn.MAXIFS(pivot!$D$2:$D$1946, pivot!$A$2:$A$1946, endirim!B252)</f>
        <v>62</v>
      </c>
      <c r="G252" s="3" t="str">
        <f t="shared" si="3"/>
        <v>HandsetWebCapable Kompaniyasını 20% endirimlə təklif et</v>
      </c>
    </row>
    <row r="253" spans="2:7" x14ac:dyDescent="0.3">
      <c r="B253" t="s">
        <v>307</v>
      </c>
      <c r="C253" s="3" t="str" cm="1">
        <f t="array" ref="C253">_xlfn.XLOOKUP(1,(pivot!$A$2:$A$1946=Table3[[#This Row],[Müştəri adı]])*(pivot!$C$2:$C$1946=_xlfn.MAXIFS(pivot!$C$2:$C$1946,pivot!$A$2:$A$1946,Table3[[#This Row],[Müştəri adı]])),pivot!$B$2:$B$1946)</f>
        <v>HandsetRefurbished</v>
      </c>
      <c r="D253" s="22" cm="1">
        <f t="array" ref="D253">_xlfn.XLOOKUP(1,
  (pivot!$A$2:$A$1946=endirim!B253) * (pivot!$C$2:$C$1946 = _xlfn.MAXIFS(pivot!$C$2:$C$1946, pivot!$A$2:$A$1946, endirim!B253)),
  pivot!$D$2:$D$1946)</f>
        <v>26</v>
      </c>
      <c r="E253" s="3" t="str" cm="1">
        <f t="array" ref="E253">_xlfn.XLOOKUP(1,
    (pivot!$A$2:$A$1946=endirim!B253) * (pivot!$D$2:$D$1946 = _xlfn.MAXIFS(pivot!$D$2:$D$1946, pivot!$A$2:$A$1946, endirim!B253)),
    pivot!$B$2:$B$1946)</f>
        <v>OptOutMailings</v>
      </c>
      <c r="F253" s="22">
        <f>_xlfn.MAXIFS(pivot!$D$2:$D$1946, pivot!$A$2:$A$1946, endirim!B253)</f>
        <v>75</v>
      </c>
      <c r="G253" s="3" t="str">
        <f t="shared" si="3"/>
        <v>OptOutMailings Kompaniyasını 20% endirimlə təklif et</v>
      </c>
    </row>
    <row r="254" spans="2:7" x14ac:dyDescent="0.3">
      <c r="B254" t="s">
        <v>308</v>
      </c>
      <c r="C254" s="3" t="str" cm="1">
        <f t="array" ref="C254">_xlfn.XLOOKUP(1,(pivot!$A$2:$A$1946=Table3[[#This Row],[Müştəri adı]])*(pivot!$C$2:$C$1946=_xlfn.MAXIFS(pivot!$C$2:$C$1946,pivot!$A$2:$A$1946,Table3[[#This Row],[Müştəri adı]])),pivot!$B$2:$B$1946)</f>
        <v>TruckOwner</v>
      </c>
      <c r="D254" s="22" cm="1">
        <f t="array" ref="D254">_xlfn.XLOOKUP(1,
  (pivot!$A$2:$A$1946=endirim!B254) * (pivot!$C$2:$C$1946 = _xlfn.MAXIFS(pivot!$C$2:$C$1946, pivot!$A$2:$A$1946, endirim!B254)),
  pivot!$D$2:$D$1946)</f>
        <v>26</v>
      </c>
      <c r="E254" s="3" t="str" cm="1">
        <f t="array" ref="E254">_xlfn.XLOOKUP(1,
    (pivot!$A$2:$A$1946=endirim!B254) * (pivot!$D$2:$D$1946 = _xlfn.MAXIFS(pivot!$D$2:$D$1946, pivot!$A$2:$A$1946, endirim!B254)),
    pivot!$B$2:$B$1946)</f>
        <v>RespondsToMailOffers</v>
      </c>
      <c r="F254" s="22">
        <f>_xlfn.MAXIFS(pivot!$D$2:$D$1946, pivot!$A$2:$A$1946, endirim!B254)</f>
        <v>27</v>
      </c>
      <c r="G254" s="3" t="str">
        <f t="shared" si="3"/>
        <v>RespondsToMailOffers Kompaniyasını 20% endirimlə təklif et</v>
      </c>
    </row>
    <row r="255" spans="2:7" x14ac:dyDescent="0.3">
      <c r="B255" t="s">
        <v>309</v>
      </c>
      <c r="C255" s="3" t="str" cm="1">
        <f t="array" ref="C255">_xlfn.XLOOKUP(1,(pivot!$A$2:$A$1946=Table3[[#This Row],[Müştəri adı]])*(pivot!$C$2:$C$1946=_xlfn.MAXIFS(pivot!$C$2:$C$1946,pivot!$A$2:$A$1946,Table3[[#This Row],[Müştəri adı]])),pivot!$B$2:$B$1946)</f>
        <v>BuysViaMailOrder</v>
      </c>
      <c r="D255" s="22" cm="1">
        <f t="array" ref="D255">_xlfn.XLOOKUP(1,
  (pivot!$A$2:$A$1946=endirim!B255) * (pivot!$C$2:$C$1946 = _xlfn.MAXIFS(pivot!$C$2:$C$1946, pivot!$A$2:$A$1946, endirim!B255)),
  pivot!$D$2:$D$1946)</f>
        <v>25</v>
      </c>
      <c r="E255" s="3" t="str" cm="1">
        <f t="array" ref="E255">_xlfn.XLOOKUP(1,
    (pivot!$A$2:$A$1946=endirim!B255) * (pivot!$D$2:$D$1946 = _xlfn.MAXIFS(pivot!$D$2:$D$1946, pivot!$A$2:$A$1946, endirim!B255)),
    pivot!$B$2:$B$1946)</f>
        <v>BuysViaMailOrder</v>
      </c>
      <c r="F255" s="22">
        <f>_xlfn.MAXIFS(pivot!$D$2:$D$1946, pivot!$A$2:$A$1946, endirim!B255)</f>
        <v>25</v>
      </c>
      <c r="G255" s="3" t="str">
        <f t="shared" si="3"/>
        <v>Təklif yoxdur</v>
      </c>
    </row>
    <row r="256" spans="2:7" x14ac:dyDescent="0.3">
      <c r="B256" t="s">
        <v>310</v>
      </c>
      <c r="C256" s="3" t="str" cm="1">
        <f t="array" ref="C256">_xlfn.XLOOKUP(1,(pivot!$A$2:$A$1946=Table3[[#This Row],[Müştəri adı]])*(pivot!$C$2:$C$1946=_xlfn.MAXIFS(pivot!$C$2:$C$1946,pivot!$A$2:$A$1946,Table3[[#This Row],[Müştəri adı]])),pivot!$B$2:$B$1946)</f>
        <v>NewCellphoneUser</v>
      </c>
      <c r="D256" s="22" cm="1">
        <f t="array" ref="D256">_xlfn.XLOOKUP(1,
  (pivot!$A$2:$A$1946=endirim!B256) * (pivot!$C$2:$C$1946 = _xlfn.MAXIFS(pivot!$C$2:$C$1946, pivot!$A$2:$A$1946, endirim!B256)),
  pivot!$D$2:$D$1946)</f>
        <v>25</v>
      </c>
      <c r="E256" s="3" t="str" cm="1">
        <f t="array" ref="E256">_xlfn.XLOOKUP(1,
    (pivot!$A$2:$A$1946=endirim!B256) * (pivot!$D$2:$D$1946 = _xlfn.MAXIFS(pivot!$D$2:$D$1946, pivot!$A$2:$A$1946, endirim!B256)),
    pivot!$B$2:$B$1946)</f>
        <v>NewCellphoneUser</v>
      </c>
      <c r="F256" s="22">
        <f>_xlfn.MAXIFS(pivot!$D$2:$D$1946, pivot!$A$2:$A$1946, endirim!B256)</f>
        <v>25</v>
      </c>
      <c r="G256" s="3" t="str">
        <f t="shared" si="3"/>
        <v>Təklif yoxdur</v>
      </c>
    </row>
    <row r="257" spans="2:7" x14ac:dyDescent="0.3">
      <c r="B257" t="s">
        <v>311</v>
      </c>
      <c r="C257" s="3" t="str" cm="1">
        <f t="array" ref="C257">_xlfn.XLOOKUP(1,(pivot!$A$2:$A$1946=Table3[[#This Row],[Müştəri adı]])*(pivot!$C$2:$C$1946=_xlfn.MAXIFS(pivot!$C$2:$C$1946,pivot!$A$2:$A$1946,Table3[[#This Row],[Müştəri adı]])),pivot!$B$2:$B$1946)</f>
        <v>NotNewCellphoneUser</v>
      </c>
      <c r="D257" s="22" cm="1">
        <f t="array" ref="D257">_xlfn.XLOOKUP(1,
  (pivot!$A$2:$A$1946=endirim!B257) * (pivot!$C$2:$C$1946 = _xlfn.MAXIFS(pivot!$C$2:$C$1946, pivot!$A$2:$A$1946, endirim!B257)),
  pivot!$D$2:$D$1946)</f>
        <v>28</v>
      </c>
      <c r="E257" s="3" t="str" cm="1">
        <f t="array" ref="E257">_xlfn.XLOOKUP(1,
    (pivot!$A$2:$A$1946=endirim!B257) * (pivot!$D$2:$D$1946 = _xlfn.MAXIFS(pivot!$D$2:$D$1946, pivot!$A$2:$A$1946, endirim!B257)),
    pivot!$B$2:$B$1946)</f>
        <v>NotNewCellphoneUser</v>
      </c>
      <c r="F257" s="22">
        <f>_xlfn.MAXIFS(pivot!$D$2:$D$1946, pivot!$A$2:$A$1946, endirim!B257)</f>
        <v>28</v>
      </c>
      <c r="G257" s="3" t="str">
        <f t="shared" si="3"/>
        <v>Təklif yoxdur</v>
      </c>
    </row>
    <row r="258" spans="2:7" x14ac:dyDescent="0.3">
      <c r="B258" t="s">
        <v>312</v>
      </c>
      <c r="C258" s="3" t="str" cm="1">
        <f t="array" ref="C258">_xlfn.XLOOKUP(1,(pivot!$A$2:$A$1946=Table3[[#This Row],[Müştəri adı]])*(pivot!$C$2:$C$1946=_xlfn.MAXIFS(pivot!$C$2:$C$1946,pivot!$A$2:$A$1946,Table3[[#This Row],[Müştəri adı]])),pivot!$B$2:$B$1946)</f>
        <v>RVOwner</v>
      </c>
      <c r="D258" s="22" cm="1">
        <f t="array" ref="D258">_xlfn.XLOOKUP(1,
  (pivot!$A$2:$A$1946=endirim!B258) * (pivot!$C$2:$C$1946 = _xlfn.MAXIFS(pivot!$C$2:$C$1946, pivot!$A$2:$A$1946, endirim!B258)),
  pivot!$D$2:$D$1946)</f>
        <v>22</v>
      </c>
      <c r="E258" s="3" t="str" cm="1">
        <f t="array" ref="E258">_xlfn.XLOOKUP(1,
    (pivot!$A$2:$A$1946=endirim!B258) * (pivot!$D$2:$D$1946 = _xlfn.MAXIFS(pivot!$D$2:$D$1946, pivot!$A$2:$A$1946, endirim!B258)),
    pivot!$B$2:$B$1946)</f>
        <v>RespondsToMailOffers</v>
      </c>
      <c r="F258" s="22">
        <f>_xlfn.MAXIFS(pivot!$D$2:$D$1946, pivot!$A$2:$A$1946, endirim!B258)</f>
        <v>27</v>
      </c>
      <c r="G258" s="3" t="str">
        <f t="shared" si="3"/>
        <v>RespondsToMailOffers Kompaniyasını 20% endirimlə təklif et</v>
      </c>
    </row>
    <row r="259" spans="2:7" x14ac:dyDescent="0.3">
      <c r="B259" t="s">
        <v>313</v>
      </c>
      <c r="C259" s="3" t="str" cm="1">
        <f t="array" ref="C259">_xlfn.XLOOKUP(1,(pivot!$A$2:$A$1946=Table3[[#This Row],[Müştəri adı]])*(pivot!$C$2:$C$1946=_xlfn.MAXIFS(pivot!$C$2:$C$1946,pivot!$A$2:$A$1946,Table3[[#This Row],[Müştəri adı]])),pivot!$B$2:$B$1946)</f>
        <v>MaritalStatus</v>
      </c>
      <c r="D259" s="22" cm="1">
        <f t="array" ref="D259">_xlfn.XLOOKUP(1,
  (pivot!$A$2:$A$1946=endirim!B259) * (pivot!$C$2:$C$1946 = _xlfn.MAXIFS(pivot!$C$2:$C$1946, pivot!$A$2:$A$1946, endirim!B259)),
  pivot!$D$2:$D$1946)</f>
        <v>29</v>
      </c>
      <c r="E259" s="3" t="str" cm="1">
        <f t="array" ref="E259">_xlfn.XLOOKUP(1,
    (pivot!$A$2:$A$1946=endirim!B259) * (pivot!$D$2:$D$1946 = _xlfn.MAXIFS(pivot!$D$2:$D$1946, pivot!$A$2:$A$1946, endirim!B259)),
    pivot!$B$2:$B$1946)</f>
        <v>MaritalStatus</v>
      </c>
      <c r="F259" s="22">
        <f>_xlfn.MAXIFS(pivot!$D$2:$D$1946, pivot!$A$2:$A$1946, endirim!B259)</f>
        <v>29</v>
      </c>
      <c r="G259" s="3" t="str">
        <f t="shared" si="3"/>
        <v>Təklif yoxdur</v>
      </c>
    </row>
    <row r="260" spans="2:7" x14ac:dyDescent="0.3">
      <c r="B260" t="s">
        <v>314</v>
      </c>
      <c r="C260" s="3" t="str" cm="1">
        <f t="array" ref="C260">_xlfn.XLOOKUP(1,(pivot!$A$2:$A$1946=Table3[[#This Row],[Müştəri adı]])*(pivot!$C$2:$C$1946=_xlfn.MAXIFS(pivot!$C$2:$C$1946,pivot!$A$2:$A$1946,Table3[[#This Row],[Müştəri adı]])),pivot!$B$2:$B$1946)</f>
        <v>OptOutMailings</v>
      </c>
      <c r="D260" s="22" cm="1">
        <f t="array" ref="D260">_xlfn.XLOOKUP(1,
  (pivot!$A$2:$A$1946=endirim!B260) * (pivot!$C$2:$C$1946 = _xlfn.MAXIFS(pivot!$C$2:$C$1946, pivot!$A$2:$A$1946, endirim!B260)),
  pivot!$D$2:$D$1946)</f>
        <v>75</v>
      </c>
      <c r="E260" s="3" t="str" cm="1">
        <f t="array" ref="E260">_xlfn.XLOOKUP(1,
    (pivot!$A$2:$A$1946=endirim!B260) * (pivot!$D$2:$D$1946 = _xlfn.MAXIFS(pivot!$D$2:$D$1946, pivot!$A$2:$A$1946, endirim!B260)),
    pivot!$B$2:$B$1946)</f>
        <v>OptOutMailings</v>
      </c>
      <c r="F260" s="22">
        <f>_xlfn.MAXIFS(pivot!$D$2:$D$1946, pivot!$A$2:$A$1946, endirim!B260)</f>
        <v>75</v>
      </c>
      <c r="G260" s="3" t="str">
        <f t="shared" ref="G260:G323" si="4">IF(D260=F260, "Təklif yoxdur", E260&amp;" Kompaniyasını 20% endirimlə təklif et")</f>
        <v>Təklif yoxdur</v>
      </c>
    </row>
    <row r="261" spans="2:7" x14ac:dyDescent="0.3">
      <c r="B261" t="s">
        <v>315</v>
      </c>
      <c r="C261" s="3" t="str" cm="1">
        <f t="array" ref="C261">_xlfn.XLOOKUP(1,(pivot!$A$2:$A$1946=Table3[[#This Row],[Müştəri adı]])*(pivot!$C$2:$C$1946=_xlfn.MAXIFS(pivot!$C$2:$C$1946,pivot!$A$2:$A$1946,Table3[[#This Row],[Müştəri adı]])),pivot!$B$2:$B$1946)</f>
        <v>HasCreditCard</v>
      </c>
      <c r="D261" s="22" cm="1">
        <f t="array" ref="D261">_xlfn.XLOOKUP(1,
  (pivot!$A$2:$A$1946=endirim!B261) * (pivot!$C$2:$C$1946 = _xlfn.MAXIFS(pivot!$C$2:$C$1946, pivot!$A$2:$A$1946, endirim!B261)),
  pivot!$D$2:$D$1946)</f>
        <v>65</v>
      </c>
      <c r="E261" s="3" t="str" cm="1">
        <f t="array" ref="E261">_xlfn.XLOOKUP(1,
    (pivot!$A$2:$A$1946=endirim!B261) * (pivot!$D$2:$D$1946 = _xlfn.MAXIFS(pivot!$D$2:$D$1946, pivot!$A$2:$A$1946, endirim!B261)),
    pivot!$B$2:$B$1946)</f>
        <v>HasCreditCard</v>
      </c>
      <c r="F261" s="22">
        <f>_xlfn.MAXIFS(pivot!$D$2:$D$1946, pivot!$A$2:$A$1946, endirim!B261)</f>
        <v>65</v>
      </c>
      <c r="G261" s="3" t="str">
        <f t="shared" si="4"/>
        <v>Təklif yoxdur</v>
      </c>
    </row>
    <row r="262" spans="2:7" x14ac:dyDescent="0.3">
      <c r="B262" t="s">
        <v>316</v>
      </c>
      <c r="C262" s="3" t="str" cm="1">
        <f t="array" ref="C262">_xlfn.XLOOKUP(1,(pivot!$A$2:$A$1946=Table3[[#This Row],[Müştəri adı]])*(pivot!$C$2:$C$1946=_xlfn.MAXIFS(pivot!$C$2:$C$1946,pivot!$A$2:$A$1946,Table3[[#This Row],[Müştəri adı]])),pivot!$B$2:$B$1946)</f>
        <v>OptOutMailings</v>
      </c>
      <c r="D262" s="22" cm="1">
        <f t="array" ref="D262">_xlfn.XLOOKUP(1,
  (pivot!$A$2:$A$1946=endirim!B262) * (pivot!$C$2:$C$1946 = _xlfn.MAXIFS(pivot!$C$2:$C$1946, pivot!$A$2:$A$1946, endirim!B262)),
  pivot!$D$2:$D$1946)</f>
        <v>75</v>
      </c>
      <c r="E262" s="3" t="str" cm="1">
        <f t="array" ref="E262">_xlfn.XLOOKUP(1,
    (pivot!$A$2:$A$1946=endirim!B262) * (pivot!$D$2:$D$1946 = _xlfn.MAXIFS(pivot!$D$2:$D$1946, pivot!$A$2:$A$1946, endirim!B262)),
    pivot!$B$2:$B$1946)</f>
        <v>OptOutMailings</v>
      </c>
      <c r="F262" s="22">
        <f>_xlfn.MAXIFS(pivot!$D$2:$D$1946, pivot!$A$2:$A$1946, endirim!B262)</f>
        <v>75</v>
      </c>
      <c r="G262" s="3" t="str">
        <f t="shared" si="4"/>
        <v>Təklif yoxdur</v>
      </c>
    </row>
    <row r="263" spans="2:7" x14ac:dyDescent="0.3">
      <c r="B263" t="s">
        <v>317</v>
      </c>
      <c r="C263" s="3" t="str" cm="1">
        <f t="array" ref="C263">_xlfn.XLOOKUP(1,(pivot!$A$2:$A$1946=Table3[[#This Row],[Müştəri adı]])*(pivot!$C$2:$C$1946=_xlfn.MAXIFS(pivot!$C$2:$C$1946,pivot!$A$2:$A$1946,Table3[[#This Row],[Müştəri adı]])),pivot!$B$2:$B$1946)</f>
        <v>HasCreditCard</v>
      </c>
      <c r="D263" s="22" cm="1">
        <f t="array" ref="D263">_xlfn.XLOOKUP(1,
  (pivot!$A$2:$A$1946=endirim!B263) * (pivot!$C$2:$C$1946 = _xlfn.MAXIFS(pivot!$C$2:$C$1946, pivot!$A$2:$A$1946, endirim!B263)),
  pivot!$D$2:$D$1946)</f>
        <v>65</v>
      </c>
      <c r="E263" s="3" t="str" cm="1">
        <f t="array" ref="E263">_xlfn.XLOOKUP(1,
    (pivot!$A$2:$A$1946=endirim!B263) * (pivot!$D$2:$D$1946 = _xlfn.MAXIFS(pivot!$D$2:$D$1946, pivot!$A$2:$A$1946, endirim!B263)),
    pivot!$B$2:$B$1946)</f>
        <v>HasCreditCard</v>
      </c>
      <c r="F263" s="22">
        <f>_xlfn.MAXIFS(pivot!$D$2:$D$1946, pivot!$A$2:$A$1946, endirim!B263)</f>
        <v>65</v>
      </c>
      <c r="G263" s="3" t="str">
        <f t="shared" si="4"/>
        <v>Təklif yoxdur</v>
      </c>
    </row>
    <row r="264" spans="2:7" x14ac:dyDescent="0.3">
      <c r="B264" t="s">
        <v>318</v>
      </c>
      <c r="C264" s="3" t="str" cm="1">
        <f t="array" ref="C264">_xlfn.XLOOKUP(1,(pivot!$A$2:$A$1946=Table3[[#This Row],[Müştəri adı]])*(pivot!$C$2:$C$1946=_xlfn.MAXIFS(pivot!$C$2:$C$1946,pivot!$A$2:$A$1946,Table3[[#This Row],[Müştəri adı]])),pivot!$B$2:$B$1946)</f>
        <v>BuysViaMailOrder</v>
      </c>
      <c r="D264" s="22" cm="1">
        <f t="array" ref="D264">_xlfn.XLOOKUP(1,
  (pivot!$A$2:$A$1946=endirim!B264) * (pivot!$C$2:$C$1946 = _xlfn.MAXIFS(pivot!$C$2:$C$1946, pivot!$A$2:$A$1946, endirim!B264)),
  pivot!$D$2:$D$1946)</f>
        <v>25</v>
      </c>
      <c r="E264" s="3" t="str" cm="1">
        <f t="array" ref="E264">_xlfn.XLOOKUP(1,
    (pivot!$A$2:$A$1946=endirim!B264) * (pivot!$D$2:$D$1946 = _xlfn.MAXIFS(pivot!$D$2:$D$1946, pivot!$A$2:$A$1946, endirim!B264)),
    pivot!$B$2:$B$1946)</f>
        <v>BuysViaMailOrder</v>
      </c>
      <c r="F264" s="22">
        <f>_xlfn.MAXIFS(pivot!$D$2:$D$1946, pivot!$A$2:$A$1946, endirim!B264)</f>
        <v>25</v>
      </c>
      <c r="G264" s="3" t="str">
        <f t="shared" si="4"/>
        <v>Təklif yoxdur</v>
      </c>
    </row>
    <row r="265" spans="2:7" x14ac:dyDescent="0.3">
      <c r="B265" t="s">
        <v>319</v>
      </c>
      <c r="C265" s="3" t="str" cm="1">
        <f t="array" ref="C265">_xlfn.XLOOKUP(1,(pivot!$A$2:$A$1946=Table3[[#This Row],[Müştəri adı]])*(pivot!$C$2:$C$1946=_xlfn.MAXIFS(pivot!$C$2:$C$1946,pivot!$A$2:$A$1946,Table3[[#This Row],[Müştəri adı]])),pivot!$B$2:$B$1946)</f>
        <v>RVOwner</v>
      </c>
      <c r="D265" s="22" cm="1">
        <f t="array" ref="D265">_xlfn.XLOOKUP(1,
  (pivot!$A$2:$A$1946=endirim!B265) * (pivot!$C$2:$C$1946 = _xlfn.MAXIFS(pivot!$C$2:$C$1946, pivot!$A$2:$A$1946, endirim!B265)),
  pivot!$D$2:$D$1946)</f>
        <v>22</v>
      </c>
      <c r="E265" s="3" t="str" cm="1">
        <f t="array" ref="E265">_xlfn.XLOOKUP(1,
    (pivot!$A$2:$A$1946=endirim!B265) * (pivot!$D$2:$D$1946 = _xlfn.MAXIFS(pivot!$D$2:$D$1946, pivot!$A$2:$A$1946, endirim!B265)),
    pivot!$B$2:$B$1946)</f>
        <v>BuysViaMailOrder</v>
      </c>
      <c r="F265" s="22">
        <f>_xlfn.MAXIFS(pivot!$D$2:$D$1946, pivot!$A$2:$A$1946, endirim!B265)</f>
        <v>25</v>
      </c>
      <c r="G265" s="3" t="str">
        <f t="shared" si="4"/>
        <v>BuysViaMailOrder Kompaniyasını 20% endirimlə təklif et</v>
      </c>
    </row>
    <row r="266" spans="2:7" x14ac:dyDescent="0.3">
      <c r="B266" t="s">
        <v>320</v>
      </c>
      <c r="C266" s="3" t="str" cm="1">
        <f t="array" ref="C266">_xlfn.XLOOKUP(1,(pivot!$A$2:$A$1946=Table3[[#This Row],[Müştəri adı]])*(pivot!$C$2:$C$1946=_xlfn.MAXIFS(pivot!$C$2:$C$1946,pivot!$A$2:$A$1946,Table3[[#This Row],[Müştəri adı]])),pivot!$B$2:$B$1946)</f>
        <v>BuysViaMailOrder</v>
      </c>
      <c r="D266" s="22" cm="1">
        <f t="array" ref="D266">_xlfn.XLOOKUP(1,
  (pivot!$A$2:$A$1946=endirim!B266) * (pivot!$C$2:$C$1946 = _xlfn.MAXIFS(pivot!$C$2:$C$1946, pivot!$A$2:$A$1946, endirim!B266)),
  pivot!$D$2:$D$1946)</f>
        <v>25</v>
      </c>
      <c r="E266" s="3" t="str" cm="1">
        <f t="array" ref="E266">_xlfn.XLOOKUP(1,
    (pivot!$A$2:$A$1946=endirim!B266) * (pivot!$D$2:$D$1946 = _xlfn.MAXIFS(pivot!$D$2:$D$1946, pivot!$A$2:$A$1946, endirim!B266)),
    pivot!$B$2:$B$1946)</f>
        <v>BuysViaMailOrder</v>
      </c>
      <c r="F266" s="22">
        <f>_xlfn.MAXIFS(pivot!$D$2:$D$1946, pivot!$A$2:$A$1946, endirim!B266)</f>
        <v>25</v>
      </c>
      <c r="G266" s="3" t="str">
        <f t="shared" si="4"/>
        <v>Təklif yoxdur</v>
      </c>
    </row>
    <row r="267" spans="2:7" x14ac:dyDescent="0.3">
      <c r="B267" t="s">
        <v>321</v>
      </c>
      <c r="C267" s="3" t="str" cm="1">
        <f t="array" ref="C267">_xlfn.XLOOKUP(1,(pivot!$A$2:$A$1946=Table3[[#This Row],[Müştəri adı]])*(pivot!$C$2:$C$1946=_xlfn.MAXIFS(pivot!$C$2:$C$1946,pivot!$A$2:$A$1946,Table3[[#This Row],[Müştəri adı]])),pivot!$B$2:$B$1946)</f>
        <v>HandsetRefurbished</v>
      </c>
      <c r="D267" s="22" cm="1">
        <f t="array" ref="D267">_xlfn.XLOOKUP(1,
  (pivot!$A$2:$A$1946=endirim!B267) * (pivot!$C$2:$C$1946 = _xlfn.MAXIFS(pivot!$C$2:$C$1946, pivot!$A$2:$A$1946, endirim!B267)),
  pivot!$D$2:$D$1946)</f>
        <v>26</v>
      </c>
      <c r="E267" s="3" t="str" cm="1">
        <f t="array" ref="E267">_xlfn.XLOOKUP(1,
    (pivot!$A$2:$A$1946=endirim!B267) * (pivot!$D$2:$D$1946 = _xlfn.MAXIFS(pivot!$D$2:$D$1946, pivot!$A$2:$A$1946, endirim!B267)),
    pivot!$B$2:$B$1946)</f>
        <v>HandsetRefurbished</v>
      </c>
      <c r="F267" s="22">
        <f>_xlfn.MAXIFS(pivot!$D$2:$D$1946, pivot!$A$2:$A$1946, endirim!B267)</f>
        <v>26</v>
      </c>
      <c r="G267" s="3" t="str">
        <f t="shared" si="4"/>
        <v>Təklif yoxdur</v>
      </c>
    </row>
    <row r="268" spans="2:7" x14ac:dyDescent="0.3">
      <c r="B268" t="s">
        <v>322</v>
      </c>
      <c r="C268" s="3" t="str" cm="1">
        <f t="array" ref="C268">_xlfn.XLOOKUP(1,(pivot!$A$2:$A$1946=Table3[[#This Row],[Müştəri adı]])*(pivot!$C$2:$C$1946=_xlfn.MAXIFS(pivot!$C$2:$C$1946,pivot!$A$2:$A$1946,Table3[[#This Row],[Müştəri adı]])),pivot!$B$2:$B$1946)</f>
        <v>RespondsToMailOffers</v>
      </c>
      <c r="D268" s="22" cm="1">
        <f t="array" ref="D268">_xlfn.XLOOKUP(1,
  (pivot!$A$2:$A$1946=endirim!B268) * (pivot!$C$2:$C$1946 = _xlfn.MAXIFS(pivot!$C$2:$C$1946, pivot!$A$2:$A$1946, endirim!B268)),
  pivot!$D$2:$D$1946)</f>
        <v>27</v>
      </c>
      <c r="E268" s="3" t="str" cm="1">
        <f t="array" ref="E268">_xlfn.XLOOKUP(1,
    (pivot!$A$2:$A$1946=endirim!B268) * (pivot!$D$2:$D$1946 = _xlfn.MAXIFS(pivot!$D$2:$D$1946, pivot!$A$2:$A$1946, endirim!B268)),
    pivot!$B$2:$B$1946)</f>
        <v>HandsetWebCapable</v>
      </c>
      <c r="F268" s="22">
        <f>_xlfn.MAXIFS(pivot!$D$2:$D$1946, pivot!$A$2:$A$1946, endirim!B268)</f>
        <v>62</v>
      </c>
      <c r="G268" s="3" t="str">
        <f t="shared" si="4"/>
        <v>HandsetWebCapable Kompaniyasını 20% endirimlə təklif et</v>
      </c>
    </row>
    <row r="269" spans="2:7" x14ac:dyDescent="0.3">
      <c r="B269" t="s">
        <v>323</v>
      </c>
      <c r="C269" s="3" t="str" cm="1">
        <f t="array" ref="C269">_xlfn.XLOOKUP(1,(pivot!$A$2:$A$1946=Table3[[#This Row],[Müştəri adı]])*(pivot!$C$2:$C$1946=_xlfn.MAXIFS(pivot!$C$2:$C$1946,pivot!$A$2:$A$1946,Table3[[#This Row],[Müştəri adı]])),pivot!$B$2:$B$1946)</f>
        <v>ChildrenInHH</v>
      </c>
      <c r="D269" s="22" cm="1">
        <f t="array" ref="D269">_xlfn.XLOOKUP(1,
  (pivot!$A$2:$A$1946=endirim!B269) * (pivot!$C$2:$C$1946 = _xlfn.MAXIFS(pivot!$C$2:$C$1946, pivot!$A$2:$A$1946, endirim!B269)),
  pivot!$D$2:$D$1946)</f>
        <v>10</v>
      </c>
      <c r="E269" s="3" t="str" cm="1">
        <f t="array" ref="E269">_xlfn.XLOOKUP(1,
    (pivot!$A$2:$A$1946=endirim!B269) * (pivot!$D$2:$D$1946 = _xlfn.MAXIFS(pivot!$D$2:$D$1946, pivot!$A$2:$A$1946, endirim!B269)),
    pivot!$B$2:$B$1946)</f>
        <v>MadeCallToRetentionTeam</v>
      </c>
      <c r="F269" s="22">
        <f>_xlfn.MAXIFS(pivot!$D$2:$D$1946, pivot!$A$2:$A$1946, endirim!B269)</f>
        <v>16</v>
      </c>
      <c r="G269" s="3" t="str">
        <f t="shared" si="4"/>
        <v>MadeCallToRetentionTeam Kompaniyasını 20% endirimlə təklif et</v>
      </c>
    </row>
    <row r="270" spans="2:7" x14ac:dyDescent="0.3">
      <c r="B270" t="s">
        <v>324</v>
      </c>
      <c r="C270" s="3" t="str" cm="1">
        <f t="array" ref="C270">_xlfn.XLOOKUP(1,(pivot!$A$2:$A$1946=Table3[[#This Row],[Müştəri adı]])*(pivot!$C$2:$C$1946=_xlfn.MAXIFS(pivot!$C$2:$C$1946,pivot!$A$2:$A$1946,Table3[[#This Row],[Müştəri adı]])),pivot!$B$2:$B$1946)</f>
        <v>Homeownership</v>
      </c>
      <c r="D270" s="22" cm="1">
        <f t="array" ref="D270">_xlfn.XLOOKUP(1,
  (pivot!$A$2:$A$1946=endirim!B270) * (pivot!$C$2:$C$1946 = _xlfn.MAXIFS(pivot!$C$2:$C$1946, pivot!$A$2:$A$1946, endirim!B270)),
  pivot!$D$2:$D$1946)</f>
        <v>13</v>
      </c>
      <c r="E270" s="3" t="str" cm="1">
        <f t="array" ref="E270">_xlfn.XLOOKUP(1,
    (pivot!$A$2:$A$1946=endirim!B270) * (pivot!$D$2:$D$1946 = _xlfn.MAXIFS(pivot!$D$2:$D$1946, pivot!$A$2:$A$1946, endirim!B270)),
    pivot!$B$2:$B$1946)</f>
        <v>Homeownership</v>
      </c>
      <c r="F270" s="22">
        <f>_xlfn.MAXIFS(pivot!$D$2:$D$1946, pivot!$A$2:$A$1946, endirim!B270)</f>
        <v>13</v>
      </c>
      <c r="G270" s="3" t="str">
        <f t="shared" si="4"/>
        <v>Təklif yoxdur</v>
      </c>
    </row>
    <row r="271" spans="2:7" x14ac:dyDescent="0.3">
      <c r="B271" t="s">
        <v>325</v>
      </c>
      <c r="C271" s="3" t="str" cm="1">
        <f t="array" ref="C271">_xlfn.XLOOKUP(1,(pivot!$A$2:$A$1946=Table3[[#This Row],[Müştəri adı]])*(pivot!$C$2:$C$1946=_xlfn.MAXIFS(pivot!$C$2:$C$1946,pivot!$A$2:$A$1946,Table3[[#This Row],[Müştəri adı]])),pivot!$B$2:$B$1946)</f>
        <v>OwnsComputer</v>
      </c>
      <c r="D271" s="22" cm="1">
        <f t="array" ref="D271">_xlfn.XLOOKUP(1,
  (pivot!$A$2:$A$1946=endirim!B271) * (pivot!$C$2:$C$1946 = _xlfn.MAXIFS(pivot!$C$2:$C$1946, pivot!$A$2:$A$1946, endirim!B271)),
  pivot!$D$2:$D$1946)</f>
        <v>62</v>
      </c>
      <c r="E271" s="3" t="str" cm="1">
        <f t="array" ref="E271">_xlfn.XLOOKUP(1,
    (pivot!$A$2:$A$1946=endirim!B271) * (pivot!$D$2:$D$1946 = _xlfn.MAXIFS(pivot!$D$2:$D$1946, pivot!$A$2:$A$1946, endirim!B271)),
    pivot!$B$2:$B$1946)</f>
        <v>OwnsComputer</v>
      </c>
      <c r="F271" s="22">
        <f>_xlfn.MAXIFS(pivot!$D$2:$D$1946, pivot!$A$2:$A$1946, endirim!B271)</f>
        <v>62</v>
      </c>
      <c r="G271" s="3" t="str">
        <f t="shared" si="4"/>
        <v>Təklif yoxdur</v>
      </c>
    </row>
    <row r="272" spans="2:7" x14ac:dyDescent="0.3">
      <c r="B272" t="s">
        <v>326</v>
      </c>
      <c r="C272" s="3" t="str" cm="1">
        <f t="array" ref="C272">_xlfn.XLOOKUP(1,(pivot!$A$2:$A$1946=Table3[[#This Row],[Müştəri adı]])*(pivot!$C$2:$C$1946=_xlfn.MAXIFS(pivot!$C$2:$C$1946,pivot!$A$2:$A$1946,Table3[[#This Row],[Müştəri adı]])),pivot!$B$2:$B$1946)</f>
        <v>HasCreditCard</v>
      </c>
      <c r="D272" s="22" cm="1">
        <f t="array" ref="D272">_xlfn.XLOOKUP(1,
  (pivot!$A$2:$A$1946=endirim!B272) * (pivot!$C$2:$C$1946 = _xlfn.MAXIFS(pivot!$C$2:$C$1946, pivot!$A$2:$A$1946, endirim!B272)),
  pivot!$D$2:$D$1946)</f>
        <v>65</v>
      </c>
      <c r="E272" s="3" t="str" cm="1">
        <f t="array" ref="E272">_xlfn.XLOOKUP(1,
    (pivot!$A$2:$A$1946=endirim!B272) * (pivot!$D$2:$D$1946 = _xlfn.MAXIFS(pivot!$D$2:$D$1946, pivot!$A$2:$A$1946, endirim!B272)),
    pivot!$B$2:$B$1946)</f>
        <v>HasCreditCard</v>
      </c>
      <c r="F272" s="22">
        <f>_xlfn.MAXIFS(pivot!$D$2:$D$1946, pivot!$A$2:$A$1946, endirim!B272)</f>
        <v>65</v>
      </c>
      <c r="G272" s="3" t="str">
        <f t="shared" si="4"/>
        <v>Təklif yoxdur</v>
      </c>
    </row>
    <row r="273" spans="2:7" x14ac:dyDescent="0.3">
      <c r="B273" t="s">
        <v>327</v>
      </c>
      <c r="C273" s="3" t="str" cm="1">
        <f t="array" ref="C273">_xlfn.XLOOKUP(1,(pivot!$A$2:$A$1946=Table3[[#This Row],[Müştəri adı]])*(pivot!$C$2:$C$1946=_xlfn.MAXIFS(pivot!$C$2:$C$1946,pivot!$A$2:$A$1946,Table3[[#This Row],[Müştəri adı]])),pivot!$B$2:$B$1946)</f>
        <v>NonUSTravel</v>
      </c>
      <c r="D273" s="22" cm="1">
        <f t="array" ref="D273">_xlfn.XLOOKUP(1,
  (pivot!$A$2:$A$1946=endirim!B273) * (pivot!$C$2:$C$1946 = _xlfn.MAXIFS(pivot!$C$2:$C$1946, pivot!$A$2:$A$1946, endirim!B273)),
  pivot!$D$2:$D$1946)</f>
        <v>66</v>
      </c>
      <c r="E273" s="3" t="str" cm="1">
        <f t="array" ref="E273">_xlfn.XLOOKUP(1,
    (pivot!$A$2:$A$1946=endirim!B273) * (pivot!$D$2:$D$1946 = _xlfn.MAXIFS(pivot!$D$2:$D$1946, pivot!$A$2:$A$1946, endirim!B273)),
    pivot!$B$2:$B$1946)</f>
        <v>NonUSTravel</v>
      </c>
      <c r="F273" s="22">
        <f>_xlfn.MAXIFS(pivot!$D$2:$D$1946, pivot!$A$2:$A$1946, endirim!B273)</f>
        <v>66</v>
      </c>
      <c r="G273" s="3" t="str">
        <f t="shared" si="4"/>
        <v>Təklif yoxdur</v>
      </c>
    </row>
    <row r="274" spans="2:7" x14ac:dyDescent="0.3">
      <c r="B274" t="s">
        <v>328</v>
      </c>
      <c r="C274" s="3" t="str" cm="1">
        <f t="array" ref="C274">_xlfn.XLOOKUP(1,(pivot!$A$2:$A$1946=Table3[[#This Row],[Müştəri adı]])*(pivot!$C$2:$C$1946=_xlfn.MAXIFS(pivot!$C$2:$C$1946,pivot!$A$2:$A$1946,Table3[[#This Row],[Müştəri adı]])),pivot!$B$2:$B$1946)</f>
        <v>ChildrenInHH</v>
      </c>
      <c r="D274" s="22" cm="1">
        <f t="array" ref="D274">_xlfn.XLOOKUP(1,
  (pivot!$A$2:$A$1946=endirim!B274) * (pivot!$C$2:$C$1946 = _xlfn.MAXIFS(pivot!$C$2:$C$1946, pivot!$A$2:$A$1946, endirim!B274)),
  pivot!$D$2:$D$1946)</f>
        <v>10</v>
      </c>
      <c r="E274" s="3" t="str" cm="1">
        <f t="array" ref="E274">_xlfn.XLOOKUP(1,
    (pivot!$A$2:$A$1946=endirim!B274) * (pivot!$D$2:$D$1946 = _xlfn.MAXIFS(pivot!$D$2:$D$1946, pivot!$A$2:$A$1946, endirim!B274)),
    pivot!$B$2:$B$1946)</f>
        <v>NonUSTravel</v>
      </c>
      <c r="F274" s="22">
        <f>_xlfn.MAXIFS(pivot!$D$2:$D$1946, pivot!$A$2:$A$1946, endirim!B274)</f>
        <v>66</v>
      </c>
      <c r="G274" s="3" t="str">
        <f t="shared" si="4"/>
        <v>NonUSTravel Kompaniyasını 20% endirimlə təklif et</v>
      </c>
    </row>
    <row r="275" spans="2:7" x14ac:dyDescent="0.3">
      <c r="B275" t="s">
        <v>329</v>
      </c>
      <c r="C275" s="3" t="str" cm="1">
        <f t="array" ref="C275">_xlfn.XLOOKUP(1,(pivot!$A$2:$A$1946=Table3[[#This Row],[Müştəri adı]])*(pivot!$C$2:$C$1946=_xlfn.MAXIFS(pivot!$C$2:$C$1946,pivot!$A$2:$A$1946,Table3[[#This Row],[Müştəri adı]])),pivot!$B$2:$B$1946)</f>
        <v>NotNewCellphoneUser</v>
      </c>
      <c r="D275" s="22" cm="1">
        <f t="array" ref="D275">_xlfn.XLOOKUP(1,
  (pivot!$A$2:$A$1946=endirim!B275) * (pivot!$C$2:$C$1946 = _xlfn.MAXIFS(pivot!$C$2:$C$1946, pivot!$A$2:$A$1946, endirim!B275)),
  pivot!$D$2:$D$1946)</f>
        <v>28</v>
      </c>
      <c r="E275" s="3" t="str" cm="1">
        <f t="array" ref="E275">_xlfn.XLOOKUP(1,
    (pivot!$A$2:$A$1946=endirim!B275) * (pivot!$D$2:$D$1946 = _xlfn.MAXIFS(pivot!$D$2:$D$1946, pivot!$A$2:$A$1946, endirim!B275)),
    pivot!$B$2:$B$1946)</f>
        <v>OwnsComputer</v>
      </c>
      <c r="F275" s="22">
        <f>_xlfn.MAXIFS(pivot!$D$2:$D$1946, pivot!$A$2:$A$1946, endirim!B275)</f>
        <v>62</v>
      </c>
      <c r="G275" s="3" t="str">
        <f t="shared" si="4"/>
        <v>OwnsComputer Kompaniyasını 20% endirimlə təklif et</v>
      </c>
    </row>
    <row r="276" spans="2:7" x14ac:dyDescent="0.3">
      <c r="B276" t="s">
        <v>330</v>
      </c>
      <c r="C276" s="3" t="str" cm="1">
        <f t="array" ref="C276">_xlfn.XLOOKUP(1,(pivot!$A$2:$A$1946=Table3[[#This Row],[Müştəri adı]])*(pivot!$C$2:$C$1946=_xlfn.MAXIFS(pivot!$C$2:$C$1946,pivot!$A$2:$A$1946,Table3[[#This Row],[Müştəri adı]])),pivot!$B$2:$B$1946)</f>
        <v>ChildrenInHH</v>
      </c>
      <c r="D276" s="22" cm="1">
        <f t="array" ref="D276">_xlfn.XLOOKUP(1,
  (pivot!$A$2:$A$1946=endirim!B276) * (pivot!$C$2:$C$1946 = _xlfn.MAXIFS(pivot!$C$2:$C$1946, pivot!$A$2:$A$1946, endirim!B276)),
  pivot!$D$2:$D$1946)</f>
        <v>10</v>
      </c>
      <c r="E276" s="3" t="str" cm="1">
        <f t="array" ref="E276">_xlfn.XLOOKUP(1,
    (pivot!$A$2:$A$1946=endirim!B276) * (pivot!$D$2:$D$1946 = _xlfn.MAXIFS(pivot!$D$2:$D$1946, pivot!$A$2:$A$1946, endirim!B276)),
    pivot!$B$2:$B$1946)</f>
        <v>ChildrenInHH</v>
      </c>
      <c r="F276" s="22">
        <f>_xlfn.MAXIFS(pivot!$D$2:$D$1946, pivot!$A$2:$A$1946, endirim!B276)</f>
        <v>10</v>
      </c>
      <c r="G276" s="3" t="str">
        <f t="shared" si="4"/>
        <v>Təklif yoxdur</v>
      </c>
    </row>
    <row r="277" spans="2:7" x14ac:dyDescent="0.3">
      <c r="B277" t="s">
        <v>331</v>
      </c>
      <c r="C277" s="3" t="str" cm="1">
        <f t="array" ref="C277">_xlfn.XLOOKUP(1,(pivot!$A$2:$A$1946=Table3[[#This Row],[Müştəri adı]])*(pivot!$C$2:$C$1946=_xlfn.MAXIFS(pivot!$C$2:$C$1946,pivot!$A$2:$A$1946,Table3[[#This Row],[Müştəri adı]])),pivot!$B$2:$B$1946)</f>
        <v>HandsetWebCapable</v>
      </c>
      <c r="D277" s="22" cm="1">
        <f t="array" ref="D277">_xlfn.XLOOKUP(1,
  (pivot!$A$2:$A$1946=endirim!B277) * (pivot!$C$2:$C$1946 = _xlfn.MAXIFS(pivot!$C$2:$C$1946, pivot!$A$2:$A$1946, endirim!B277)),
  pivot!$D$2:$D$1946)</f>
        <v>62</v>
      </c>
      <c r="E277" s="3" t="str" cm="1">
        <f t="array" ref="E277">_xlfn.XLOOKUP(1,
    (pivot!$A$2:$A$1946=endirim!B277) * (pivot!$D$2:$D$1946 = _xlfn.MAXIFS(pivot!$D$2:$D$1946, pivot!$A$2:$A$1946, endirim!B277)),
    pivot!$B$2:$B$1946)</f>
        <v>HandsetWebCapable</v>
      </c>
      <c r="F277" s="22">
        <f>_xlfn.MAXIFS(pivot!$D$2:$D$1946, pivot!$A$2:$A$1946, endirim!B277)</f>
        <v>62</v>
      </c>
      <c r="G277" s="3" t="str">
        <f t="shared" si="4"/>
        <v>Təklif yoxdur</v>
      </c>
    </row>
    <row r="278" spans="2:7" x14ac:dyDescent="0.3">
      <c r="B278" t="s">
        <v>332</v>
      </c>
      <c r="C278" s="3" t="str" cm="1">
        <f t="array" ref="C278">_xlfn.XLOOKUP(1,(pivot!$A$2:$A$1946=Table3[[#This Row],[Müştəri adı]])*(pivot!$C$2:$C$1946=_xlfn.MAXIFS(pivot!$C$2:$C$1946,pivot!$A$2:$A$1946,Table3[[#This Row],[Müştəri adı]])),pivot!$B$2:$B$1946)</f>
        <v>TruckOwner</v>
      </c>
      <c r="D278" s="22" cm="1">
        <f t="array" ref="D278">_xlfn.XLOOKUP(1,
  (pivot!$A$2:$A$1946=endirim!B278) * (pivot!$C$2:$C$1946 = _xlfn.MAXIFS(pivot!$C$2:$C$1946, pivot!$A$2:$A$1946, endirim!B278)),
  pivot!$D$2:$D$1946)</f>
        <v>26</v>
      </c>
      <c r="E278" s="3" t="str" cm="1">
        <f t="array" ref="E278">_xlfn.XLOOKUP(1,
    (pivot!$A$2:$A$1946=endirim!B278) * (pivot!$D$2:$D$1946 = _xlfn.MAXIFS(pivot!$D$2:$D$1946, pivot!$A$2:$A$1946, endirim!B278)),
    pivot!$B$2:$B$1946)</f>
        <v>TruckOwner</v>
      </c>
      <c r="F278" s="22">
        <f>_xlfn.MAXIFS(pivot!$D$2:$D$1946, pivot!$A$2:$A$1946, endirim!B278)</f>
        <v>26</v>
      </c>
      <c r="G278" s="3" t="str">
        <f t="shared" si="4"/>
        <v>Təklif yoxdur</v>
      </c>
    </row>
    <row r="279" spans="2:7" x14ac:dyDescent="0.3">
      <c r="B279" t="s">
        <v>333</v>
      </c>
      <c r="C279" s="3" t="str" cm="1">
        <f t="array" ref="C279">_xlfn.XLOOKUP(1,(pivot!$A$2:$A$1946=Table3[[#This Row],[Müştəri adı]])*(pivot!$C$2:$C$1946=_xlfn.MAXIFS(pivot!$C$2:$C$1946,pivot!$A$2:$A$1946,Table3[[#This Row],[Müştəri adı]])),pivot!$B$2:$B$1946)</f>
        <v>HandsetWebCapable</v>
      </c>
      <c r="D279" s="22" cm="1">
        <f t="array" ref="D279">_xlfn.XLOOKUP(1,
  (pivot!$A$2:$A$1946=endirim!B279) * (pivot!$C$2:$C$1946 = _xlfn.MAXIFS(pivot!$C$2:$C$1946, pivot!$A$2:$A$1946, endirim!B279)),
  pivot!$D$2:$D$1946)</f>
        <v>62</v>
      </c>
      <c r="E279" s="3" t="str" cm="1">
        <f t="array" ref="E279">_xlfn.XLOOKUP(1,
    (pivot!$A$2:$A$1946=endirim!B279) * (pivot!$D$2:$D$1946 = _xlfn.MAXIFS(pivot!$D$2:$D$1946, pivot!$A$2:$A$1946, endirim!B279)),
    pivot!$B$2:$B$1946)</f>
        <v>OwnsComputer</v>
      </c>
      <c r="F279" s="22">
        <f>_xlfn.MAXIFS(pivot!$D$2:$D$1946, pivot!$A$2:$A$1946, endirim!B279)</f>
        <v>62</v>
      </c>
      <c r="G279" s="3" t="str">
        <f t="shared" si="4"/>
        <v>Təklif yoxdur</v>
      </c>
    </row>
    <row r="280" spans="2:7" x14ac:dyDescent="0.3">
      <c r="B280" t="s">
        <v>334</v>
      </c>
      <c r="C280" s="3" t="str" cm="1">
        <f t="array" ref="C280">_xlfn.XLOOKUP(1,(pivot!$A$2:$A$1946=Table3[[#This Row],[Müştəri adı]])*(pivot!$C$2:$C$1946=_xlfn.MAXIFS(pivot!$C$2:$C$1946,pivot!$A$2:$A$1946,Table3[[#This Row],[Müştəri adı]])),pivot!$B$2:$B$1946)</f>
        <v>MadeCallToRetentionTeam</v>
      </c>
      <c r="D280" s="22" cm="1">
        <f t="array" ref="D280">_xlfn.XLOOKUP(1,
  (pivot!$A$2:$A$1946=endirim!B280) * (pivot!$C$2:$C$1946 = _xlfn.MAXIFS(pivot!$C$2:$C$1946, pivot!$A$2:$A$1946, endirim!B280)),
  pivot!$D$2:$D$1946)</f>
        <v>16</v>
      </c>
      <c r="E280" s="3" t="str" cm="1">
        <f t="array" ref="E280">_xlfn.XLOOKUP(1,
    (pivot!$A$2:$A$1946=endirim!B280) * (pivot!$D$2:$D$1946 = _xlfn.MAXIFS(pivot!$D$2:$D$1946, pivot!$A$2:$A$1946, endirim!B280)),
    pivot!$B$2:$B$1946)</f>
        <v>OptOutMailings</v>
      </c>
      <c r="F280" s="22">
        <f>_xlfn.MAXIFS(pivot!$D$2:$D$1946, pivot!$A$2:$A$1946, endirim!B280)</f>
        <v>75</v>
      </c>
      <c r="G280" s="3" t="str">
        <f t="shared" si="4"/>
        <v>OptOutMailings Kompaniyasını 20% endirimlə təklif et</v>
      </c>
    </row>
    <row r="281" spans="2:7" x14ac:dyDescent="0.3">
      <c r="B281" t="s">
        <v>335</v>
      </c>
      <c r="C281" s="3" t="str" cm="1">
        <f t="array" ref="C281">_xlfn.XLOOKUP(1,(pivot!$A$2:$A$1946=Table3[[#This Row],[Müştəri adı]])*(pivot!$C$2:$C$1946=_xlfn.MAXIFS(pivot!$C$2:$C$1946,pivot!$A$2:$A$1946,Table3[[#This Row],[Müştəri adı]])),pivot!$B$2:$B$1946)</f>
        <v>HandsetWebCapable</v>
      </c>
      <c r="D281" s="22" cm="1">
        <f t="array" ref="D281">_xlfn.XLOOKUP(1,
  (pivot!$A$2:$A$1946=endirim!B281) * (pivot!$C$2:$C$1946 = _xlfn.MAXIFS(pivot!$C$2:$C$1946, pivot!$A$2:$A$1946, endirim!B281)),
  pivot!$D$2:$D$1946)</f>
        <v>62</v>
      </c>
      <c r="E281" s="3" t="str" cm="1">
        <f t="array" ref="E281">_xlfn.XLOOKUP(1,
    (pivot!$A$2:$A$1946=endirim!B281) * (pivot!$D$2:$D$1946 = _xlfn.MAXIFS(pivot!$D$2:$D$1946, pivot!$A$2:$A$1946, endirim!B281)),
    pivot!$B$2:$B$1946)</f>
        <v>HandsetWebCapable</v>
      </c>
      <c r="F281" s="22">
        <f>_xlfn.MAXIFS(pivot!$D$2:$D$1946, pivot!$A$2:$A$1946, endirim!B281)</f>
        <v>62</v>
      </c>
      <c r="G281" s="3" t="str">
        <f t="shared" si="4"/>
        <v>Təklif yoxdur</v>
      </c>
    </row>
    <row r="282" spans="2:7" x14ac:dyDescent="0.3">
      <c r="B282" t="s">
        <v>336</v>
      </c>
      <c r="C282" s="3" t="str" cm="1">
        <f t="array" ref="C282">_xlfn.XLOOKUP(1,(pivot!$A$2:$A$1946=Table3[[#This Row],[Müştəri adı]])*(pivot!$C$2:$C$1946=_xlfn.MAXIFS(pivot!$C$2:$C$1946,pivot!$A$2:$A$1946,Table3[[#This Row],[Müştəri adı]])),pivot!$B$2:$B$1946)</f>
        <v>NewCellphoneUser</v>
      </c>
      <c r="D282" s="22" cm="1">
        <f t="array" ref="D282">_xlfn.XLOOKUP(1,
  (pivot!$A$2:$A$1946=endirim!B282) * (pivot!$C$2:$C$1946 = _xlfn.MAXIFS(pivot!$C$2:$C$1946, pivot!$A$2:$A$1946, endirim!B282)),
  pivot!$D$2:$D$1946)</f>
        <v>25</v>
      </c>
      <c r="E282" s="3" t="str" cm="1">
        <f t="array" ref="E282">_xlfn.XLOOKUP(1,
    (pivot!$A$2:$A$1946=endirim!B282) * (pivot!$D$2:$D$1946 = _xlfn.MAXIFS(pivot!$D$2:$D$1946, pivot!$A$2:$A$1946, endirim!B282)),
    pivot!$B$2:$B$1946)</f>
        <v>NewCellphoneUser</v>
      </c>
      <c r="F282" s="22">
        <f>_xlfn.MAXIFS(pivot!$D$2:$D$1946, pivot!$A$2:$A$1946, endirim!B282)</f>
        <v>25</v>
      </c>
      <c r="G282" s="3" t="str">
        <f t="shared" si="4"/>
        <v>Təklif yoxdur</v>
      </c>
    </row>
    <row r="283" spans="2:7" x14ac:dyDescent="0.3">
      <c r="B283" t="s">
        <v>337</v>
      </c>
      <c r="C283" s="3" t="str" cm="1">
        <f t="array" ref="C283">_xlfn.XLOOKUP(1,(pivot!$A$2:$A$1946=Table3[[#This Row],[Müştəri adı]])*(pivot!$C$2:$C$1946=_xlfn.MAXIFS(pivot!$C$2:$C$1946,pivot!$A$2:$A$1946,Table3[[#This Row],[Müştəri adı]])),pivot!$B$2:$B$1946)</f>
        <v>HasCreditCard</v>
      </c>
      <c r="D283" s="22" cm="1">
        <f t="array" ref="D283">_xlfn.XLOOKUP(1,
  (pivot!$A$2:$A$1946=endirim!B283) * (pivot!$C$2:$C$1946 = _xlfn.MAXIFS(pivot!$C$2:$C$1946, pivot!$A$2:$A$1946, endirim!B283)),
  pivot!$D$2:$D$1946)</f>
        <v>65</v>
      </c>
      <c r="E283" s="3" t="str" cm="1">
        <f t="array" ref="E283">_xlfn.XLOOKUP(1,
    (pivot!$A$2:$A$1946=endirim!B283) * (pivot!$D$2:$D$1946 = _xlfn.MAXIFS(pivot!$D$2:$D$1946, pivot!$A$2:$A$1946, endirim!B283)),
    pivot!$B$2:$B$1946)</f>
        <v>HasCreditCard</v>
      </c>
      <c r="F283" s="22">
        <f>_xlfn.MAXIFS(pivot!$D$2:$D$1946, pivot!$A$2:$A$1946, endirim!B283)</f>
        <v>65</v>
      </c>
      <c r="G283" s="3" t="str">
        <f t="shared" si="4"/>
        <v>Təklif yoxdur</v>
      </c>
    </row>
    <row r="284" spans="2:7" x14ac:dyDescent="0.3">
      <c r="B284" t="s">
        <v>338</v>
      </c>
      <c r="C284" s="3" t="str" cm="1">
        <f t="array" ref="C284">_xlfn.XLOOKUP(1,(pivot!$A$2:$A$1946=Table3[[#This Row],[Müştəri adı]])*(pivot!$C$2:$C$1946=_xlfn.MAXIFS(pivot!$C$2:$C$1946,pivot!$A$2:$A$1946,Table3[[#This Row],[Müştəri adı]])),pivot!$B$2:$B$1946)</f>
        <v>MadeCallToRetentionTeam</v>
      </c>
      <c r="D284" s="22" cm="1">
        <f t="array" ref="D284">_xlfn.XLOOKUP(1,
  (pivot!$A$2:$A$1946=endirim!B284) * (pivot!$C$2:$C$1946 = _xlfn.MAXIFS(pivot!$C$2:$C$1946, pivot!$A$2:$A$1946, endirim!B284)),
  pivot!$D$2:$D$1946)</f>
        <v>16</v>
      </c>
      <c r="E284" s="3" t="str" cm="1">
        <f t="array" ref="E284">_xlfn.XLOOKUP(1,
    (pivot!$A$2:$A$1946=endirim!B284) * (pivot!$D$2:$D$1946 = _xlfn.MAXIFS(pivot!$D$2:$D$1946, pivot!$A$2:$A$1946, endirim!B284)),
    pivot!$B$2:$B$1946)</f>
        <v>NonUSTravel</v>
      </c>
      <c r="F284" s="22">
        <f>_xlfn.MAXIFS(pivot!$D$2:$D$1946, pivot!$A$2:$A$1946, endirim!B284)</f>
        <v>66</v>
      </c>
      <c r="G284" s="3" t="str">
        <f t="shared" si="4"/>
        <v>NonUSTravel Kompaniyasını 20% endirimlə təklif et</v>
      </c>
    </row>
    <row r="285" spans="2:7" x14ac:dyDescent="0.3">
      <c r="B285" t="s">
        <v>339</v>
      </c>
      <c r="C285" s="3" t="str" cm="1">
        <f t="array" ref="C285">_xlfn.XLOOKUP(1,(pivot!$A$2:$A$1946=Table3[[#This Row],[Müştəri adı]])*(pivot!$C$2:$C$1946=_xlfn.MAXIFS(pivot!$C$2:$C$1946,pivot!$A$2:$A$1946,Table3[[#This Row],[Müştəri adı]])),pivot!$B$2:$B$1946)</f>
        <v>TruckOwner</v>
      </c>
      <c r="D285" s="22" cm="1">
        <f t="array" ref="D285">_xlfn.XLOOKUP(1,
  (pivot!$A$2:$A$1946=endirim!B285) * (pivot!$C$2:$C$1946 = _xlfn.MAXIFS(pivot!$C$2:$C$1946, pivot!$A$2:$A$1946, endirim!B285)),
  pivot!$D$2:$D$1946)</f>
        <v>26</v>
      </c>
      <c r="E285" s="3" t="str" cm="1">
        <f t="array" ref="E285">_xlfn.XLOOKUP(1,
    (pivot!$A$2:$A$1946=endirim!B285) * (pivot!$D$2:$D$1946 = _xlfn.MAXIFS(pivot!$D$2:$D$1946, pivot!$A$2:$A$1946, endirim!B285)),
    pivot!$B$2:$B$1946)</f>
        <v>TruckOwner</v>
      </c>
      <c r="F285" s="22">
        <f>_xlfn.MAXIFS(pivot!$D$2:$D$1946, pivot!$A$2:$A$1946, endirim!B285)</f>
        <v>26</v>
      </c>
      <c r="G285" s="3" t="str">
        <f t="shared" si="4"/>
        <v>Təklif yoxdur</v>
      </c>
    </row>
    <row r="286" spans="2:7" x14ac:dyDescent="0.3">
      <c r="B286" t="s">
        <v>340</v>
      </c>
      <c r="C286" s="3" t="str" cm="1">
        <f t="array" ref="C286">_xlfn.XLOOKUP(1,(pivot!$A$2:$A$1946=Table3[[#This Row],[Müştəri adı]])*(pivot!$C$2:$C$1946=_xlfn.MAXIFS(pivot!$C$2:$C$1946,pivot!$A$2:$A$1946,Table3[[#This Row],[Müştəri adı]])),pivot!$B$2:$B$1946)</f>
        <v>NewCellphoneUser</v>
      </c>
      <c r="D286" s="22" cm="1">
        <f t="array" ref="D286">_xlfn.XLOOKUP(1,
  (pivot!$A$2:$A$1946=endirim!B286) * (pivot!$C$2:$C$1946 = _xlfn.MAXIFS(pivot!$C$2:$C$1946, pivot!$A$2:$A$1946, endirim!B286)),
  pivot!$D$2:$D$1946)</f>
        <v>25</v>
      </c>
      <c r="E286" s="3" t="str" cm="1">
        <f t="array" ref="E286">_xlfn.XLOOKUP(1,
    (pivot!$A$2:$A$1946=endirim!B286) * (pivot!$D$2:$D$1946 = _xlfn.MAXIFS(pivot!$D$2:$D$1946, pivot!$A$2:$A$1946, endirim!B286)),
    pivot!$B$2:$B$1946)</f>
        <v>NonUSTravel</v>
      </c>
      <c r="F286" s="22">
        <f>_xlfn.MAXIFS(pivot!$D$2:$D$1946, pivot!$A$2:$A$1946, endirim!B286)</f>
        <v>66</v>
      </c>
      <c r="G286" s="3" t="str">
        <f t="shared" si="4"/>
        <v>NonUSTravel Kompaniyasını 20% endirimlə təklif et</v>
      </c>
    </row>
    <row r="287" spans="2:7" x14ac:dyDescent="0.3">
      <c r="B287" t="s">
        <v>341</v>
      </c>
      <c r="C287" s="3" t="str" cm="1">
        <f t="array" ref="C287">_xlfn.XLOOKUP(1,(pivot!$A$2:$A$1946=Table3[[#This Row],[Müştəri adı]])*(pivot!$C$2:$C$1946=_xlfn.MAXIFS(pivot!$C$2:$C$1946,pivot!$A$2:$A$1946,Table3[[#This Row],[Müştəri adı]])),pivot!$B$2:$B$1946)</f>
        <v>NewCellphoneUser</v>
      </c>
      <c r="D287" s="22" cm="1">
        <f t="array" ref="D287">_xlfn.XLOOKUP(1,
  (pivot!$A$2:$A$1946=endirim!B287) * (pivot!$C$2:$C$1946 = _xlfn.MAXIFS(pivot!$C$2:$C$1946, pivot!$A$2:$A$1946, endirim!B287)),
  pivot!$D$2:$D$1946)</f>
        <v>25</v>
      </c>
      <c r="E287" s="3" t="str" cm="1">
        <f t="array" ref="E287">_xlfn.XLOOKUP(1,
    (pivot!$A$2:$A$1946=endirim!B287) * (pivot!$D$2:$D$1946 = _xlfn.MAXIFS(pivot!$D$2:$D$1946, pivot!$A$2:$A$1946, endirim!B287)),
    pivot!$B$2:$B$1946)</f>
        <v>HasCreditCard</v>
      </c>
      <c r="F287" s="22">
        <f>_xlfn.MAXIFS(pivot!$D$2:$D$1946, pivot!$A$2:$A$1946, endirim!B287)</f>
        <v>65</v>
      </c>
      <c r="G287" s="3" t="str">
        <f t="shared" si="4"/>
        <v>HasCreditCard Kompaniyasını 20% endirimlə təklif et</v>
      </c>
    </row>
    <row r="288" spans="2:7" x14ac:dyDescent="0.3">
      <c r="B288" t="s">
        <v>342</v>
      </c>
      <c r="C288" s="3" t="str" cm="1">
        <f t="array" ref="C288">_xlfn.XLOOKUP(1,(pivot!$A$2:$A$1946=Table3[[#This Row],[Müştəri adı]])*(pivot!$C$2:$C$1946=_xlfn.MAXIFS(pivot!$C$2:$C$1946,pivot!$A$2:$A$1946,Table3[[#This Row],[Müştəri adı]])),pivot!$B$2:$B$1946)</f>
        <v>TruckOwner</v>
      </c>
      <c r="D288" s="22" cm="1">
        <f t="array" ref="D288">_xlfn.XLOOKUP(1,
  (pivot!$A$2:$A$1946=endirim!B288) * (pivot!$C$2:$C$1946 = _xlfn.MAXIFS(pivot!$C$2:$C$1946, pivot!$A$2:$A$1946, endirim!B288)),
  pivot!$D$2:$D$1946)</f>
        <v>26</v>
      </c>
      <c r="E288" s="3" t="str" cm="1">
        <f t="array" ref="E288">_xlfn.XLOOKUP(1,
    (pivot!$A$2:$A$1946=endirim!B288) * (pivot!$D$2:$D$1946 = _xlfn.MAXIFS(pivot!$D$2:$D$1946, pivot!$A$2:$A$1946, endirim!B288)),
    pivot!$B$2:$B$1946)</f>
        <v>TruckOwner</v>
      </c>
      <c r="F288" s="22">
        <f>_xlfn.MAXIFS(pivot!$D$2:$D$1946, pivot!$A$2:$A$1946, endirim!B288)</f>
        <v>26</v>
      </c>
      <c r="G288" s="3" t="str">
        <f t="shared" si="4"/>
        <v>Təklif yoxdur</v>
      </c>
    </row>
    <row r="289" spans="2:7" x14ac:dyDescent="0.3">
      <c r="B289" t="s">
        <v>343</v>
      </c>
      <c r="C289" s="3" t="str" cm="1">
        <f t="array" ref="C289">_xlfn.XLOOKUP(1,(pivot!$A$2:$A$1946=Table3[[#This Row],[Müştəri adı]])*(pivot!$C$2:$C$1946=_xlfn.MAXIFS(pivot!$C$2:$C$1946,pivot!$A$2:$A$1946,Table3[[#This Row],[Müştəri adı]])),pivot!$B$2:$B$1946)</f>
        <v>HandsetRefurbished</v>
      </c>
      <c r="D289" s="22" cm="1">
        <f t="array" ref="D289">_xlfn.XLOOKUP(1,
  (pivot!$A$2:$A$1946=endirim!B289) * (pivot!$C$2:$C$1946 = _xlfn.MAXIFS(pivot!$C$2:$C$1946, pivot!$A$2:$A$1946, endirim!B289)),
  pivot!$D$2:$D$1946)</f>
        <v>26</v>
      </c>
      <c r="E289" s="3" t="str" cm="1">
        <f t="array" ref="E289">_xlfn.XLOOKUP(1,
    (pivot!$A$2:$A$1946=endirim!B289) * (pivot!$D$2:$D$1946 = _xlfn.MAXIFS(pivot!$D$2:$D$1946, pivot!$A$2:$A$1946, endirim!B289)),
    pivot!$B$2:$B$1946)</f>
        <v>HandsetRefurbished</v>
      </c>
      <c r="F289" s="22">
        <f>_xlfn.MAXIFS(pivot!$D$2:$D$1946, pivot!$A$2:$A$1946, endirim!B289)</f>
        <v>26</v>
      </c>
      <c r="G289" s="3" t="str">
        <f t="shared" si="4"/>
        <v>Təklif yoxdur</v>
      </c>
    </row>
    <row r="290" spans="2:7" x14ac:dyDescent="0.3">
      <c r="B290" t="s">
        <v>344</v>
      </c>
      <c r="C290" s="3" t="str" cm="1">
        <f t="array" ref="C290">_xlfn.XLOOKUP(1,(pivot!$A$2:$A$1946=Table3[[#This Row],[Müştəri adı]])*(pivot!$C$2:$C$1946=_xlfn.MAXIFS(pivot!$C$2:$C$1946,pivot!$A$2:$A$1946,Table3[[#This Row],[Müştəri adı]])),pivot!$B$2:$B$1946)</f>
        <v>TruckOwner</v>
      </c>
      <c r="D290" s="22" cm="1">
        <f t="array" ref="D290">_xlfn.XLOOKUP(1,
  (pivot!$A$2:$A$1946=endirim!B290) * (pivot!$C$2:$C$1946 = _xlfn.MAXIFS(pivot!$C$2:$C$1946, pivot!$A$2:$A$1946, endirim!B290)),
  pivot!$D$2:$D$1946)</f>
        <v>26</v>
      </c>
      <c r="E290" s="3" t="str" cm="1">
        <f t="array" ref="E290">_xlfn.XLOOKUP(1,
    (pivot!$A$2:$A$1946=endirim!B290) * (pivot!$D$2:$D$1946 = _xlfn.MAXIFS(pivot!$D$2:$D$1946, pivot!$A$2:$A$1946, endirim!B290)),
    pivot!$B$2:$B$1946)</f>
        <v>NonUSTravel</v>
      </c>
      <c r="F290" s="22">
        <f>_xlfn.MAXIFS(pivot!$D$2:$D$1946, pivot!$A$2:$A$1946, endirim!B290)</f>
        <v>66</v>
      </c>
      <c r="G290" s="3" t="str">
        <f t="shared" si="4"/>
        <v>NonUSTravel Kompaniyasını 20% endirimlə təklif et</v>
      </c>
    </row>
    <row r="291" spans="2:7" x14ac:dyDescent="0.3">
      <c r="B291" t="s">
        <v>345</v>
      </c>
      <c r="C291" s="3" t="str" cm="1">
        <f t="array" ref="C291">_xlfn.XLOOKUP(1,(pivot!$A$2:$A$1946=Table3[[#This Row],[Müştəri adı]])*(pivot!$C$2:$C$1946=_xlfn.MAXIFS(pivot!$C$2:$C$1946,pivot!$A$2:$A$1946,Table3[[#This Row],[Müştəri adı]])),pivot!$B$2:$B$1946)</f>
        <v>Homeownership</v>
      </c>
      <c r="D291" s="22" cm="1">
        <f t="array" ref="D291">_xlfn.XLOOKUP(1,
  (pivot!$A$2:$A$1946=endirim!B291) * (pivot!$C$2:$C$1946 = _xlfn.MAXIFS(pivot!$C$2:$C$1946, pivot!$A$2:$A$1946, endirim!B291)),
  pivot!$D$2:$D$1946)</f>
        <v>13</v>
      </c>
      <c r="E291" s="3" t="str" cm="1">
        <f t="array" ref="E291">_xlfn.XLOOKUP(1,
    (pivot!$A$2:$A$1946=endirim!B291) * (pivot!$D$2:$D$1946 = _xlfn.MAXIFS(pivot!$D$2:$D$1946, pivot!$A$2:$A$1946, endirim!B291)),
    pivot!$B$2:$B$1946)</f>
        <v>OwnsMotorcycle</v>
      </c>
      <c r="F291" s="22">
        <f>_xlfn.MAXIFS(pivot!$D$2:$D$1946, pivot!$A$2:$A$1946, endirim!B291)</f>
        <v>14</v>
      </c>
      <c r="G291" s="3" t="str">
        <f t="shared" si="4"/>
        <v>OwnsMotorcycle Kompaniyasını 20% endirimlə təklif et</v>
      </c>
    </row>
    <row r="292" spans="2:7" x14ac:dyDescent="0.3">
      <c r="B292" t="s">
        <v>346</v>
      </c>
      <c r="C292" s="3" t="str" cm="1">
        <f t="array" ref="C292">_xlfn.XLOOKUP(1,(pivot!$A$2:$A$1946=Table3[[#This Row],[Müştəri adı]])*(pivot!$C$2:$C$1946=_xlfn.MAXIFS(pivot!$C$2:$C$1946,pivot!$A$2:$A$1946,Table3[[#This Row],[Müştəri adı]])),pivot!$B$2:$B$1946)</f>
        <v>HandsetWebCapable</v>
      </c>
      <c r="D292" s="22" cm="1">
        <f t="array" ref="D292">_xlfn.XLOOKUP(1,
  (pivot!$A$2:$A$1946=endirim!B292) * (pivot!$C$2:$C$1946 = _xlfn.MAXIFS(pivot!$C$2:$C$1946, pivot!$A$2:$A$1946, endirim!B292)),
  pivot!$D$2:$D$1946)</f>
        <v>62</v>
      </c>
      <c r="E292" s="3" t="str" cm="1">
        <f t="array" ref="E292">_xlfn.XLOOKUP(1,
    (pivot!$A$2:$A$1946=endirim!B292) * (pivot!$D$2:$D$1946 = _xlfn.MAXIFS(pivot!$D$2:$D$1946, pivot!$A$2:$A$1946, endirim!B292)),
    pivot!$B$2:$B$1946)</f>
        <v>HandsetWebCapable</v>
      </c>
      <c r="F292" s="22">
        <f>_xlfn.MAXIFS(pivot!$D$2:$D$1946, pivot!$A$2:$A$1946, endirim!B292)</f>
        <v>62</v>
      </c>
      <c r="G292" s="3" t="str">
        <f t="shared" si="4"/>
        <v>Təklif yoxdur</v>
      </c>
    </row>
    <row r="293" spans="2:7" x14ac:dyDescent="0.3">
      <c r="B293" t="s">
        <v>347</v>
      </c>
      <c r="C293" s="3" t="str" cm="1">
        <f t="array" ref="C293">_xlfn.XLOOKUP(1,(pivot!$A$2:$A$1946=Table3[[#This Row],[Müştəri adı]])*(pivot!$C$2:$C$1946=_xlfn.MAXIFS(pivot!$C$2:$C$1946,pivot!$A$2:$A$1946,Table3[[#This Row],[Müştəri adı]])),pivot!$B$2:$B$1946)</f>
        <v>OwnsComputer</v>
      </c>
      <c r="D293" s="22" cm="1">
        <f t="array" ref="D293">_xlfn.XLOOKUP(1,
  (pivot!$A$2:$A$1946=endirim!B293) * (pivot!$C$2:$C$1946 = _xlfn.MAXIFS(pivot!$C$2:$C$1946, pivot!$A$2:$A$1946, endirim!B293)),
  pivot!$D$2:$D$1946)</f>
        <v>62</v>
      </c>
      <c r="E293" s="3" t="str" cm="1">
        <f t="array" ref="E293">_xlfn.XLOOKUP(1,
    (pivot!$A$2:$A$1946=endirim!B293) * (pivot!$D$2:$D$1946 = _xlfn.MAXIFS(pivot!$D$2:$D$1946, pivot!$A$2:$A$1946, endirim!B293)),
    pivot!$B$2:$B$1946)</f>
        <v>OwnsComputer</v>
      </c>
      <c r="F293" s="22">
        <f>_xlfn.MAXIFS(pivot!$D$2:$D$1946, pivot!$A$2:$A$1946, endirim!B293)</f>
        <v>62</v>
      </c>
      <c r="G293" s="3" t="str">
        <f t="shared" si="4"/>
        <v>Təklif yoxdur</v>
      </c>
    </row>
    <row r="294" spans="2:7" x14ac:dyDescent="0.3">
      <c r="B294" t="s">
        <v>348</v>
      </c>
      <c r="C294" s="3" t="str" cm="1">
        <f t="array" ref="C294">_xlfn.XLOOKUP(1,(pivot!$A$2:$A$1946=Table3[[#This Row],[Müştəri adı]])*(pivot!$C$2:$C$1946=_xlfn.MAXIFS(pivot!$C$2:$C$1946,pivot!$A$2:$A$1946,Table3[[#This Row],[Müştəri adı]])),pivot!$B$2:$B$1946)</f>
        <v>NonUSTravel</v>
      </c>
      <c r="D294" s="22" cm="1">
        <f t="array" ref="D294">_xlfn.XLOOKUP(1,
  (pivot!$A$2:$A$1946=endirim!B294) * (pivot!$C$2:$C$1946 = _xlfn.MAXIFS(pivot!$C$2:$C$1946, pivot!$A$2:$A$1946, endirim!B294)),
  pivot!$D$2:$D$1946)</f>
        <v>66</v>
      </c>
      <c r="E294" s="3" t="str" cm="1">
        <f t="array" ref="E294">_xlfn.XLOOKUP(1,
    (pivot!$A$2:$A$1946=endirim!B294) * (pivot!$D$2:$D$1946 = _xlfn.MAXIFS(pivot!$D$2:$D$1946, pivot!$A$2:$A$1946, endirim!B294)),
    pivot!$B$2:$B$1946)</f>
        <v>NonUSTravel</v>
      </c>
      <c r="F294" s="22">
        <f>_xlfn.MAXIFS(pivot!$D$2:$D$1946, pivot!$A$2:$A$1946, endirim!B294)</f>
        <v>66</v>
      </c>
      <c r="G294" s="3" t="str">
        <f t="shared" si="4"/>
        <v>Təklif yoxdur</v>
      </c>
    </row>
    <row r="295" spans="2:7" x14ac:dyDescent="0.3">
      <c r="B295" t="s">
        <v>349</v>
      </c>
      <c r="C295" s="3" t="str" cm="1">
        <f t="array" ref="C295">_xlfn.XLOOKUP(1,(pivot!$A$2:$A$1946=Table3[[#This Row],[Müştəri adı]])*(pivot!$C$2:$C$1946=_xlfn.MAXIFS(pivot!$C$2:$C$1946,pivot!$A$2:$A$1946,Table3[[#This Row],[Müştəri adı]])),pivot!$B$2:$B$1946)</f>
        <v>RespondsToMailOffers</v>
      </c>
      <c r="D295" s="22" cm="1">
        <f t="array" ref="D295">_xlfn.XLOOKUP(1,
  (pivot!$A$2:$A$1946=endirim!B295) * (pivot!$C$2:$C$1946 = _xlfn.MAXIFS(pivot!$C$2:$C$1946, pivot!$A$2:$A$1946, endirim!B295)),
  pivot!$D$2:$D$1946)</f>
        <v>27</v>
      </c>
      <c r="E295" s="3" t="str" cm="1">
        <f t="array" ref="E295">_xlfn.XLOOKUP(1,
    (pivot!$A$2:$A$1946=endirim!B295) * (pivot!$D$2:$D$1946 = _xlfn.MAXIFS(pivot!$D$2:$D$1946, pivot!$A$2:$A$1946, endirim!B295)),
    pivot!$B$2:$B$1946)</f>
        <v>RespondsToMailOffers</v>
      </c>
      <c r="F295" s="22">
        <f>_xlfn.MAXIFS(pivot!$D$2:$D$1946, pivot!$A$2:$A$1946, endirim!B295)</f>
        <v>27</v>
      </c>
      <c r="G295" s="3" t="str">
        <f t="shared" si="4"/>
        <v>Təklif yoxdur</v>
      </c>
    </row>
    <row r="296" spans="2:7" x14ac:dyDescent="0.3">
      <c r="B296" t="s">
        <v>350</v>
      </c>
      <c r="C296" s="3" t="str" cm="1">
        <f t="array" ref="C296">_xlfn.XLOOKUP(1,(pivot!$A$2:$A$1946=Table3[[#This Row],[Müştəri adı]])*(pivot!$C$2:$C$1946=_xlfn.MAXIFS(pivot!$C$2:$C$1946,pivot!$A$2:$A$1946,Table3[[#This Row],[Müştəri adı]])),pivot!$B$2:$B$1946)</f>
        <v>NewCellphoneUser</v>
      </c>
      <c r="D296" s="22" cm="1">
        <f t="array" ref="D296">_xlfn.XLOOKUP(1,
  (pivot!$A$2:$A$1946=endirim!B296) * (pivot!$C$2:$C$1946 = _xlfn.MAXIFS(pivot!$C$2:$C$1946, pivot!$A$2:$A$1946, endirim!B296)),
  pivot!$D$2:$D$1946)</f>
        <v>25</v>
      </c>
      <c r="E296" s="3" t="str" cm="1">
        <f t="array" ref="E296">_xlfn.XLOOKUP(1,
    (pivot!$A$2:$A$1946=endirim!B296) * (pivot!$D$2:$D$1946 = _xlfn.MAXIFS(pivot!$D$2:$D$1946, pivot!$A$2:$A$1946, endirim!B296)),
    pivot!$B$2:$B$1946)</f>
        <v>HandsetWebCapable</v>
      </c>
      <c r="F296" s="22">
        <f>_xlfn.MAXIFS(pivot!$D$2:$D$1946, pivot!$A$2:$A$1946, endirim!B296)</f>
        <v>62</v>
      </c>
      <c r="G296" s="3" t="str">
        <f t="shared" si="4"/>
        <v>HandsetWebCapable Kompaniyasını 20% endirimlə təklif et</v>
      </c>
    </row>
    <row r="297" spans="2:7" x14ac:dyDescent="0.3">
      <c r="B297" t="s">
        <v>351</v>
      </c>
      <c r="C297" s="3" t="str" cm="1">
        <f t="array" ref="C297">_xlfn.XLOOKUP(1,(pivot!$A$2:$A$1946=Table3[[#This Row],[Müştəri adı]])*(pivot!$C$2:$C$1946=_xlfn.MAXIFS(pivot!$C$2:$C$1946,pivot!$A$2:$A$1946,Table3[[#This Row],[Müştəri adı]])),pivot!$B$2:$B$1946)</f>
        <v>HasCreditCard</v>
      </c>
      <c r="D297" s="22" cm="1">
        <f t="array" ref="D297">_xlfn.XLOOKUP(1,
  (pivot!$A$2:$A$1946=endirim!B297) * (pivot!$C$2:$C$1946 = _xlfn.MAXIFS(pivot!$C$2:$C$1946, pivot!$A$2:$A$1946, endirim!B297)),
  pivot!$D$2:$D$1946)</f>
        <v>65</v>
      </c>
      <c r="E297" s="3" t="str" cm="1">
        <f t="array" ref="E297">_xlfn.XLOOKUP(1,
    (pivot!$A$2:$A$1946=endirim!B297) * (pivot!$D$2:$D$1946 = _xlfn.MAXIFS(pivot!$D$2:$D$1946, pivot!$A$2:$A$1946, endirim!B297)),
    pivot!$B$2:$B$1946)</f>
        <v>HasCreditCard</v>
      </c>
      <c r="F297" s="22">
        <f>_xlfn.MAXIFS(pivot!$D$2:$D$1946, pivot!$A$2:$A$1946, endirim!B297)</f>
        <v>65</v>
      </c>
      <c r="G297" s="3" t="str">
        <f t="shared" si="4"/>
        <v>Təklif yoxdur</v>
      </c>
    </row>
    <row r="298" spans="2:7" x14ac:dyDescent="0.3">
      <c r="B298" t="s">
        <v>352</v>
      </c>
      <c r="C298" s="3" t="str" cm="1">
        <f t="array" ref="C298">_xlfn.XLOOKUP(1,(pivot!$A$2:$A$1946=Table3[[#This Row],[Müştəri adı]])*(pivot!$C$2:$C$1946=_xlfn.MAXIFS(pivot!$C$2:$C$1946,pivot!$A$2:$A$1946,Table3[[#This Row],[Müştəri adı]])),pivot!$B$2:$B$1946)</f>
        <v>MadeCallToRetentionTeam</v>
      </c>
      <c r="D298" s="22" cm="1">
        <f t="array" ref="D298">_xlfn.XLOOKUP(1,
  (pivot!$A$2:$A$1946=endirim!B298) * (pivot!$C$2:$C$1946 = _xlfn.MAXIFS(pivot!$C$2:$C$1946, pivot!$A$2:$A$1946, endirim!B298)),
  pivot!$D$2:$D$1946)</f>
        <v>16</v>
      </c>
      <c r="E298" s="3" t="str" cm="1">
        <f t="array" ref="E298">_xlfn.XLOOKUP(1,
    (pivot!$A$2:$A$1946=endirim!B298) * (pivot!$D$2:$D$1946 = _xlfn.MAXIFS(pivot!$D$2:$D$1946, pivot!$A$2:$A$1946, endirim!B298)),
    pivot!$B$2:$B$1946)</f>
        <v>OptOutMailings</v>
      </c>
      <c r="F298" s="22">
        <f>_xlfn.MAXIFS(pivot!$D$2:$D$1946, pivot!$A$2:$A$1946, endirim!B298)</f>
        <v>75</v>
      </c>
      <c r="G298" s="3" t="str">
        <f t="shared" si="4"/>
        <v>OptOutMailings Kompaniyasını 20% endirimlə təklif et</v>
      </c>
    </row>
    <row r="299" spans="2:7" x14ac:dyDescent="0.3">
      <c r="B299" t="s">
        <v>353</v>
      </c>
      <c r="C299" s="3" t="str" cm="1">
        <f t="array" ref="C299">_xlfn.XLOOKUP(1,(pivot!$A$2:$A$1946=Table3[[#This Row],[Müştəri adı]])*(pivot!$C$2:$C$1946=_xlfn.MAXIFS(pivot!$C$2:$C$1946,pivot!$A$2:$A$1946,Table3[[#This Row],[Müştəri adı]])),pivot!$B$2:$B$1946)</f>
        <v>RVOwner</v>
      </c>
      <c r="D299" s="22" cm="1">
        <f t="array" ref="D299">_xlfn.XLOOKUP(1,
  (pivot!$A$2:$A$1946=endirim!B299) * (pivot!$C$2:$C$1946 = _xlfn.MAXIFS(pivot!$C$2:$C$1946, pivot!$A$2:$A$1946, endirim!B299)),
  pivot!$D$2:$D$1946)</f>
        <v>22</v>
      </c>
      <c r="E299" s="3" t="str" cm="1">
        <f t="array" ref="E299">_xlfn.XLOOKUP(1,
    (pivot!$A$2:$A$1946=endirim!B299) * (pivot!$D$2:$D$1946 = _xlfn.MAXIFS(pivot!$D$2:$D$1946, pivot!$A$2:$A$1946, endirim!B299)),
    pivot!$B$2:$B$1946)</f>
        <v>NewCellphoneUser</v>
      </c>
      <c r="F299" s="22">
        <f>_xlfn.MAXIFS(pivot!$D$2:$D$1946, pivot!$A$2:$A$1946, endirim!B299)</f>
        <v>25</v>
      </c>
      <c r="G299" s="3" t="str">
        <f t="shared" si="4"/>
        <v>NewCellphoneUser Kompaniyasını 20% endirimlə təklif et</v>
      </c>
    </row>
    <row r="300" spans="2:7" x14ac:dyDescent="0.3">
      <c r="B300" t="s">
        <v>354</v>
      </c>
      <c r="C300" s="3" t="str" cm="1">
        <f t="array" ref="C300">_xlfn.XLOOKUP(1,(pivot!$A$2:$A$1946=Table3[[#This Row],[Müştəri adı]])*(pivot!$C$2:$C$1946=_xlfn.MAXIFS(pivot!$C$2:$C$1946,pivot!$A$2:$A$1946,Table3[[#This Row],[Müştəri adı]])),pivot!$B$2:$B$1946)</f>
        <v>BuysViaMailOrder</v>
      </c>
      <c r="D300" s="22" cm="1">
        <f t="array" ref="D300">_xlfn.XLOOKUP(1,
  (pivot!$A$2:$A$1946=endirim!B300) * (pivot!$C$2:$C$1946 = _xlfn.MAXIFS(pivot!$C$2:$C$1946, pivot!$A$2:$A$1946, endirim!B300)),
  pivot!$D$2:$D$1946)</f>
        <v>25</v>
      </c>
      <c r="E300" s="3" t="str" cm="1">
        <f t="array" ref="E300">_xlfn.XLOOKUP(1,
    (pivot!$A$2:$A$1946=endirim!B300) * (pivot!$D$2:$D$1946 = _xlfn.MAXIFS(pivot!$D$2:$D$1946, pivot!$A$2:$A$1946, endirim!B300)),
    pivot!$B$2:$B$1946)</f>
        <v>BuysViaMailOrder</v>
      </c>
      <c r="F300" s="22">
        <f>_xlfn.MAXIFS(pivot!$D$2:$D$1946, pivot!$A$2:$A$1946, endirim!B300)</f>
        <v>25</v>
      </c>
      <c r="G300" s="3" t="str">
        <f t="shared" si="4"/>
        <v>Təklif yoxdur</v>
      </c>
    </row>
    <row r="301" spans="2:7" x14ac:dyDescent="0.3">
      <c r="B301" t="s">
        <v>355</v>
      </c>
      <c r="C301" s="3" t="str" cm="1">
        <f t="array" ref="C301">_xlfn.XLOOKUP(1,(pivot!$A$2:$A$1946=Table3[[#This Row],[Müştəri adı]])*(pivot!$C$2:$C$1946=_xlfn.MAXIFS(pivot!$C$2:$C$1946,pivot!$A$2:$A$1946,Table3[[#This Row],[Müştəri adı]])),pivot!$B$2:$B$1946)</f>
        <v>HasCreditCard</v>
      </c>
      <c r="D301" s="22" cm="1">
        <f t="array" ref="D301">_xlfn.XLOOKUP(1,
  (pivot!$A$2:$A$1946=endirim!B301) * (pivot!$C$2:$C$1946 = _xlfn.MAXIFS(pivot!$C$2:$C$1946, pivot!$A$2:$A$1946, endirim!B301)),
  pivot!$D$2:$D$1946)</f>
        <v>65</v>
      </c>
      <c r="E301" s="3" t="str" cm="1">
        <f t="array" ref="E301">_xlfn.XLOOKUP(1,
    (pivot!$A$2:$A$1946=endirim!B301) * (pivot!$D$2:$D$1946 = _xlfn.MAXIFS(pivot!$D$2:$D$1946, pivot!$A$2:$A$1946, endirim!B301)),
    pivot!$B$2:$B$1946)</f>
        <v>HasCreditCard</v>
      </c>
      <c r="F301" s="22">
        <f>_xlfn.MAXIFS(pivot!$D$2:$D$1946, pivot!$A$2:$A$1946, endirim!B301)</f>
        <v>65</v>
      </c>
      <c r="G301" s="3" t="str">
        <f t="shared" si="4"/>
        <v>Təklif yoxdur</v>
      </c>
    </row>
    <row r="302" spans="2:7" x14ac:dyDescent="0.3">
      <c r="B302" t="s">
        <v>356</v>
      </c>
      <c r="C302" s="3" t="str" cm="1">
        <f t="array" ref="C302">_xlfn.XLOOKUP(1,(pivot!$A$2:$A$1946=Table3[[#This Row],[Müştəri adı]])*(pivot!$C$2:$C$1946=_xlfn.MAXIFS(pivot!$C$2:$C$1946,pivot!$A$2:$A$1946,Table3[[#This Row],[Müştəri adı]])),pivot!$B$2:$B$1946)</f>
        <v>OwnsMotorcycle</v>
      </c>
      <c r="D302" s="22" cm="1">
        <f t="array" ref="D302">_xlfn.XLOOKUP(1,
  (pivot!$A$2:$A$1946=endirim!B302) * (pivot!$C$2:$C$1946 = _xlfn.MAXIFS(pivot!$C$2:$C$1946, pivot!$A$2:$A$1946, endirim!B302)),
  pivot!$D$2:$D$1946)</f>
        <v>14</v>
      </c>
      <c r="E302" s="3" t="str" cm="1">
        <f t="array" ref="E302">_xlfn.XLOOKUP(1,
    (pivot!$A$2:$A$1946=endirim!B302) * (pivot!$D$2:$D$1946 = _xlfn.MAXIFS(pivot!$D$2:$D$1946, pivot!$A$2:$A$1946, endirim!B302)),
    pivot!$B$2:$B$1946)</f>
        <v>HandsetWebCapable</v>
      </c>
      <c r="F302" s="22">
        <f>_xlfn.MAXIFS(pivot!$D$2:$D$1946, pivot!$A$2:$A$1946, endirim!B302)</f>
        <v>62</v>
      </c>
      <c r="G302" s="3" t="str">
        <f t="shared" si="4"/>
        <v>HandsetWebCapable Kompaniyasını 20% endirimlə təklif et</v>
      </c>
    </row>
    <row r="303" spans="2:7" x14ac:dyDescent="0.3">
      <c r="B303" t="s">
        <v>357</v>
      </c>
      <c r="C303" s="3" t="str" cm="1">
        <f t="array" ref="C303">_xlfn.XLOOKUP(1,(pivot!$A$2:$A$1946=Table3[[#This Row],[Müştəri adı]])*(pivot!$C$2:$C$1946=_xlfn.MAXIFS(pivot!$C$2:$C$1946,pivot!$A$2:$A$1946,Table3[[#This Row],[Müştəri adı]])),pivot!$B$2:$B$1946)</f>
        <v>OptOutMailings</v>
      </c>
      <c r="D303" s="22" cm="1">
        <f t="array" ref="D303">_xlfn.XLOOKUP(1,
  (pivot!$A$2:$A$1946=endirim!B303) * (pivot!$C$2:$C$1946 = _xlfn.MAXIFS(pivot!$C$2:$C$1946, pivot!$A$2:$A$1946, endirim!B303)),
  pivot!$D$2:$D$1946)</f>
        <v>75</v>
      </c>
      <c r="E303" s="3" t="str" cm="1">
        <f t="array" ref="E303">_xlfn.XLOOKUP(1,
    (pivot!$A$2:$A$1946=endirim!B303) * (pivot!$D$2:$D$1946 = _xlfn.MAXIFS(pivot!$D$2:$D$1946, pivot!$A$2:$A$1946, endirim!B303)),
    pivot!$B$2:$B$1946)</f>
        <v>OptOutMailings</v>
      </c>
      <c r="F303" s="22">
        <f>_xlfn.MAXIFS(pivot!$D$2:$D$1946, pivot!$A$2:$A$1946, endirim!B303)</f>
        <v>75</v>
      </c>
      <c r="G303" s="3" t="str">
        <f t="shared" si="4"/>
        <v>Təklif yoxdur</v>
      </c>
    </row>
    <row r="304" spans="2:7" x14ac:dyDescent="0.3">
      <c r="B304" t="s">
        <v>358</v>
      </c>
      <c r="C304" s="3" t="str" cm="1">
        <f t="array" ref="C304">_xlfn.XLOOKUP(1,(pivot!$A$2:$A$1946=Table3[[#This Row],[Müştəri adı]])*(pivot!$C$2:$C$1946=_xlfn.MAXIFS(pivot!$C$2:$C$1946,pivot!$A$2:$A$1946,Table3[[#This Row],[Müştəri adı]])),pivot!$B$2:$B$1946)</f>
        <v>RespondsToMailOffers</v>
      </c>
      <c r="D304" s="22" cm="1">
        <f t="array" ref="D304">_xlfn.XLOOKUP(1,
  (pivot!$A$2:$A$1946=endirim!B304) * (pivot!$C$2:$C$1946 = _xlfn.MAXIFS(pivot!$C$2:$C$1946, pivot!$A$2:$A$1946, endirim!B304)),
  pivot!$D$2:$D$1946)</f>
        <v>27</v>
      </c>
      <c r="E304" s="3" t="str" cm="1">
        <f t="array" ref="E304">_xlfn.XLOOKUP(1,
    (pivot!$A$2:$A$1946=endirim!B304) * (pivot!$D$2:$D$1946 = _xlfn.MAXIFS(pivot!$D$2:$D$1946, pivot!$A$2:$A$1946, endirim!B304)),
    pivot!$B$2:$B$1946)</f>
        <v>RespondsToMailOffers</v>
      </c>
      <c r="F304" s="22">
        <f>_xlfn.MAXIFS(pivot!$D$2:$D$1946, pivot!$A$2:$A$1946, endirim!B304)</f>
        <v>27</v>
      </c>
      <c r="G304" s="3" t="str">
        <f t="shared" si="4"/>
        <v>Təklif yoxdur</v>
      </c>
    </row>
    <row r="305" spans="2:7" x14ac:dyDescent="0.3">
      <c r="B305" t="s">
        <v>359</v>
      </c>
      <c r="C305" s="3" t="str" cm="1">
        <f t="array" ref="C305">_xlfn.XLOOKUP(1,(pivot!$A$2:$A$1946=Table3[[#This Row],[Müştəri adı]])*(pivot!$C$2:$C$1946=_xlfn.MAXIFS(pivot!$C$2:$C$1946,pivot!$A$2:$A$1946,Table3[[#This Row],[Müştəri adı]])),pivot!$B$2:$B$1946)</f>
        <v>HandsetRefurbished</v>
      </c>
      <c r="D305" s="22" cm="1">
        <f t="array" ref="D305">_xlfn.XLOOKUP(1,
  (pivot!$A$2:$A$1946=endirim!B305) * (pivot!$C$2:$C$1946 = _xlfn.MAXIFS(pivot!$C$2:$C$1946, pivot!$A$2:$A$1946, endirim!B305)),
  pivot!$D$2:$D$1946)</f>
        <v>26</v>
      </c>
      <c r="E305" s="3" t="str" cm="1">
        <f t="array" ref="E305">_xlfn.XLOOKUP(1,
    (pivot!$A$2:$A$1946=endirim!B305) * (pivot!$D$2:$D$1946 = _xlfn.MAXIFS(pivot!$D$2:$D$1946, pivot!$A$2:$A$1946, endirim!B305)),
    pivot!$B$2:$B$1946)</f>
        <v>NonUSTravel</v>
      </c>
      <c r="F305" s="22">
        <f>_xlfn.MAXIFS(pivot!$D$2:$D$1946, pivot!$A$2:$A$1946, endirim!B305)</f>
        <v>66</v>
      </c>
      <c r="G305" s="3" t="str">
        <f t="shared" si="4"/>
        <v>NonUSTravel Kompaniyasını 20% endirimlə təklif et</v>
      </c>
    </row>
    <row r="306" spans="2:7" x14ac:dyDescent="0.3">
      <c r="B306" t="s">
        <v>360</v>
      </c>
      <c r="C306" s="3" t="str" cm="1">
        <f t="array" ref="C306">_xlfn.XLOOKUP(1,(pivot!$A$2:$A$1946=Table3[[#This Row],[Müştəri adı]])*(pivot!$C$2:$C$1946=_xlfn.MAXIFS(pivot!$C$2:$C$1946,pivot!$A$2:$A$1946,Table3[[#This Row],[Müştəri adı]])),pivot!$B$2:$B$1946)</f>
        <v>HasCreditCard</v>
      </c>
      <c r="D306" s="22" cm="1">
        <f t="array" ref="D306">_xlfn.XLOOKUP(1,
  (pivot!$A$2:$A$1946=endirim!B306) * (pivot!$C$2:$C$1946 = _xlfn.MAXIFS(pivot!$C$2:$C$1946, pivot!$A$2:$A$1946, endirim!B306)),
  pivot!$D$2:$D$1946)</f>
        <v>65</v>
      </c>
      <c r="E306" s="3" t="str" cm="1">
        <f t="array" ref="E306">_xlfn.XLOOKUP(1,
    (pivot!$A$2:$A$1946=endirim!B306) * (pivot!$D$2:$D$1946 = _xlfn.MAXIFS(pivot!$D$2:$D$1946, pivot!$A$2:$A$1946, endirim!B306)),
    pivot!$B$2:$B$1946)</f>
        <v>HasCreditCard</v>
      </c>
      <c r="F306" s="22">
        <f>_xlfn.MAXIFS(pivot!$D$2:$D$1946, pivot!$A$2:$A$1946, endirim!B306)</f>
        <v>65</v>
      </c>
      <c r="G306" s="3" t="str">
        <f t="shared" si="4"/>
        <v>Təklif yoxdur</v>
      </c>
    </row>
    <row r="307" spans="2:7" x14ac:dyDescent="0.3">
      <c r="B307" t="s">
        <v>361</v>
      </c>
      <c r="C307" s="3" t="str" cm="1">
        <f t="array" ref="C307">_xlfn.XLOOKUP(1,(pivot!$A$2:$A$1946=Table3[[#This Row],[Müştəri adı]])*(pivot!$C$2:$C$1946=_xlfn.MAXIFS(pivot!$C$2:$C$1946,pivot!$A$2:$A$1946,Table3[[#This Row],[Müştəri adı]])),pivot!$B$2:$B$1946)</f>
        <v>MaritalStatus</v>
      </c>
      <c r="D307" s="22" cm="1">
        <f t="array" ref="D307">_xlfn.XLOOKUP(1,
  (pivot!$A$2:$A$1946=endirim!B307) * (pivot!$C$2:$C$1946 = _xlfn.MAXIFS(pivot!$C$2:$C$1946, pivot!$A$2:$A$1946, endirim!B307)),
  pivot!$D$2:$D$1946)</f>
        <v>29</v>
      </c>
      <c r="E307" s="3" t="str" cm="1">
        <f t="array" ref="E307">_xlfn.XLOOKUP(1,
    (pivot!$A$2:$A$1946=endirim!B307) * (pivot!$D$2:$D$1946 = _xlfn.MAXIFS(pivot!$D$2:$D$1946, pivot!$A$2:$A$1946, endirim!B307)),
    pivot!$B$2:$B$1946)</f>
        <v>MaritalStatus</v>
      </c>
      <c r="F307" s="22">
        <f>_xlfn.MAXIFS(pivot!$D$2:$D$1946, pivot!$A$2:$A$1946, endirim!B307)</f>
        <v>29</v>
      </c>
      <c r="G307" s="3" t="str">
        <f t="shared" si="4"/>
        <v>Təklif yoxdur</v>
      </c>
    </row>
    <row r="308" spans="2:7" x14ac:dyDescent="0.3">
      <c r="B308" t="s">
        <v>362</v>
      </c>
      <c r="C308" s="3" t="str" cm="1">
        <f t="array" ref="C308">_xlfn.XLOOKUP(1,(pivot!$A$2:$A$1946=Table3[[#This Row],[Müştəri adı]])*(pivot!$C$2:$C$1946=_xlfn.MAXIFS(pivot!$C$2:$C$1946,pivot!$A$2:$A$1946,Table3[[#This Row],[Müştəri adı]])),pivot!$B$2:$B$1946)</f>
        <v>NewCellphoneUser</v>
      </c>
      <c r="D308" s="22" cm="1">
        <f t="array" ref="D308">_xlfn.XLOOKUP(1,
  (pivot!$A$2:$A$1946=endirim!B308) * (pivot!$C$2:$C$1946 = _xlfn.MAXIFS(pivot!$C$2:$C$1946, pivot!$A$2:$A$1946, endirim!B308)),
  pivot!$D$2:$D$1946)</f>
        <v>25</v>
      </c>
      <c r="E308" s="3" t="str" cm="1">
        <f t="array" ref="E308">_xlfn.XLOOKUP(1,
    (pivot!$A$2:$A$1946=endirim!B308) * (pivot!$D$2:$D$1946 = _xlfn.MAXIFS(pivot!$D$2:$D$1946, pivot!$A$2:$A$1946, endirim!B308)),
    pivot!$B$2:$B$1946)</f>
        <v>HandsetWebCapable</v>
      </c>
      <c r="F308" s="22">
        <f>_xlfn.MAXIFS(pivot!$D$2:$D$1946, pivot!$A$2:$A$1946, endirim!B308)</f>
        <v>62</v>
      </c>
      <c r="G308" s="3" t="str">
        <f t="shared" si="4"/>
        <v>HandsetWebCapable Kompaniyasını 20% endirimlə təklif et</v>
      </c>
    </row>
    <row r="309" spans="2:7" x14ac:dyDescent="0.3">
      <c r="B309" t="s">
        <v>363</v>
      </c>
      <c r="C309" s="3" t="str" cm="1">
        <f t="array" ref="C309">_xlfn.XLOOKUP(1,(pivot!$A$2:$A$1946=Table3[[#This Row],[Müştəri adı]])*(pivot!$C$2:$C$1946=_xlfn.MAXIFS(pivot!$C$2:$C$1946,pivot!$A$2:$A$1946,Table3[[#This Row],[Müştəri adı]])),pivot!$B$2:$B$1946)</f>
        <v>MadeCallToRetentionTeam</v>
      </c>
      <c r="D309" s="22" cm="1">
        <f t="array" ref="D309">_xlfn.XLOOKUP(1,
  (pivot!$A$2:$A$1946=endirim!B309) * (pivot!$C$2:$C$1946 = _xlfn.MAXIFS(pivot!$C$2:$C$1946, pivot!$A$2:$A$1946, endirim!B309)),
  pivot!$D$2:$D$1946)</f>
        <v>16</v>
      </c>
      <c r="E309" s="3" t="str" cm="1">
        <f t="array" ref="E309">_xlfn.XLOOKUP(1,
    (pivot!$A$2:$A$1946=endirim!B309) * (pivot!$D$2:$D$1946 = _xlfn.MAXIFS(pivot!$D$2:$D$1946, pivot!$A$2:$A$1946, endirim!B309)),
    pivot!$B$2:$B$1946)</f>
        <v>NewCellphoneUser</v>
      </c>
      <c r="F309" s="22">
        <f>_xlfn.MAXIFS(pivot!$D$2:$D$1946, pivot!$A$2:$A$1946, endirim!B309)</f>
        <v>25</v>
      </c>
      <c r="G309" s="3" t="str">
        <f t="shared" si="4"/>
        <v>NewCellphoneUser Kompaniyasını 20% endirimlə təklif et</v>
      </c>
    </row>
    <row r="310" spans="2:7" x14ac:dyDescent="0.3">
      <c r="B310" t="s">
        <v>364</v>
      </c>
      <c r="C310" s="3" t="str" cm="1">
        <f t="array" ref="C310">_xlfn.XLOOKUP(1,(pivot!$A$2:$A$1946=Table3[[#This Row],[Müştəri adı]])*(pivot!$C$2:$C$1946=_xlfn.MAXIFS(pivot!$C$2:$C$1946,pivot!$A$2:$A$1946,Table3[[#This Row],[Müştəri adı]])),pivot!$B$2:$B$1946)</f>
        <v>NotNewCellphoneUser</v>
      </c>
      <c r="D310" s="22" cm="1">
        <f t="array" ref="D310">_xlfn.XLOOKUP(1,
  (pivot!$A$2:$A$1946=endirim!B310) * (pivot!$C$2:$C$1946 = _xlfn.MAXIFS(pivot!$C$2:$C$1946, pivot!$A$2:$A$1946, endirim!B310)),
  pivot!$D$2:$D$1946)</f>
        <v>28</v>
      </c>
      <c r="E310" s="3" t="str" cm="1">
        <f t="array" ref="E310">_xlfn.XLOOKUP(1,
    (pivot!$A$2:$A$1946=endirim!B310) * (pivot!$D$2:$D$1946 = _xlfn.MAXIFS(pivot!$D$2:$D$1946, pivot!$A$2:$A$1946, endirim!B310)),
    pivot!$B$2:$B$1946)</f>
        <v>NonUSTravel</v>
      </c>
      <c r="F310" s="22">
        <f>_xlfn.MAXIFS(pivot!$D$2:$D$1946, pivot!$A$2:$A$1946, endirim!B310)</f>
        <v>66</v>
      </c>
      <c r="G310" s="3" t="str">
        <f t="shared" si="4"/>
        <v>NonUSTravel Kompaniyasını 20% endirimlə təklif et</v>
      </c>
    </row>
    <row r="311" spans="2:7" x14ac:dyDescent="0.3">
      <c r="B311" t="s">
        <v>365</v>
      </c>
      <c r="C311" s="3" t="str" cm="1">
        <f t="array" ref="C311">_xlfn.XLOOKUP(1,(pivot!$A$2:$A$1946=Table3[[#This Row],[Müştəri adı]])*(pivot!$C$2:$C$1946=_xlfn.MAXIFS(pivot!$C$2:$C$1946,pivot!$A$2:$A$1946,Table3[[#This Row],[Müştəri adı]])),pivot!$B$2:$B$1946)</f>
        <v>OwnsComputer</v>
      </c>
      <c r="D311" s="22" cm="1">
        <f t="array" ref="D311">_xlfn.XLOOKUP(1,
  (pivot!$A$2:$A$1946=endirim!B311) * (pivot!$C$2:$C$1946 = _xlfn.MAXIFS(pivot!$C$2:$C$1946, pivot!$A$2:$A$1946, endirim!B311)),
  pivot!$D$2:$D$1946)</f>
        <v>62</v>
      </c>
      <c r="E311" s="3" t="str" cm="1">
        <f t="array" ref="E311">_xlfn.XLOOKUP(1,
    (pivot!$A$2:$A$1946=endirim!B311) * (pivot!$D$2:$D$1946 = _xlfn.MAXIFS(pivot!$D$2:$D$1946, pivot!$A$2:$A$1946, endirim!B311)),
    pivot!$B$2:$B$1946)</f>
        <v>OwnsComputer</v>
      </c>
      <c r="F311" s="22">
        <f>_xlfn.MAXIFS(pivot!$D$2:$D$1946, pivot!$A$2:$A$1946, endirim!B311)</f>
        <v>62</v>
      </c>
      <c r="G311" s="3" t="str">
        <f t="shared" si="4"/>
        <v>Təklif yoxdur</v>
      </c>
    </row>
    <row r="312" spans="2:7" x14ac:dyDescent="0.3">
      <c r="B312" t="s">
        <v>366</v>
      </c>
      <c r="C312" s="3" t="str" cm="1">
        <f t="array" ref="C312">_xlfn.XLOOKUP(1,(pivot!$A$2:$A$1946=Table3[[#This Row],[Müştəri adı]])*(pivot!$C$2:$C$1946=_xlfn.MAXIFS(pivot!$C$2:$C$1946,pivot!$A$2:$A$1946,Table3[[#This Row],[Müştəri adı]])),pivot!$B$2:$B$1946)</f>
        <v>OwnsMotorcycle</v>
      </c>
      <c r="D312" s="22" cm="1">
        <f t="array" ref="D312">_xlfn.XLOOKUP(1,
  (pivot!$A$2:$A$1946=endirim!B312) * (pivot!$C$2:$C$1946 = _xlfn.MAXIFS(pivot!$C$2:$C$1946, pivot!$A$2:$A$1946, endirim!B312)),
  pivot!$D$2:$D$1946)</f>
        <v>14</v>
      </c>
      <c r="E312" s="3" t="str" cm="1">
        <f t="array" ref="E312">_xlfn.XLOOKUP(1,
    (pivot!$A$2:$A$1946=endirim!B312) * (pivot!$D$2:$D$1946 = _xlfn.MAXIFS(pivot!$D$2:$D$1946, pivot!$A$2:$A$1946, endirim!B312)),
    pivot!$B$2:$B$1946)</f>
        <v>NewCellphoneUser</v>
      </c>
      <c r="F312" s="22">
        <f>_xlfn.MAXIFS(pivot!$D$2:$D$1946, pivot!$A$2:$A$1946, endirim!B312)</f>
        <v>25</v>
      </c>
      <c r="G312" s="3" t="str">
        <f t="shared" si="4"/>
        <v>NewCellphoneUser Kompaniyasını 20% endirimlə təklif et</v>
      </c>
    </row>
    <row r="313" spans="2:7" x14ac:dyDescent="0.3">
      <c r="B313" t="s">
        <v>367</v>
      </c>
      <c r="C313" s="3" t="str" cm="1">
        <f t="array" ref="C313">_xlfn.XLOOKUP(1,(pivot!$A$2:$A$1946=Table3[[#This Row],[Müştəri adı]])*(pivot!$C$2:$C$1946=_xlfn.MAXIFS(pivot!$C$2:$C$1946,pivot!$A$2:$A$1946,Table3[[#This Row],[Müştəri adı]])),pivot!$B$2:$B$1946)</f>
        <v>NotNewCellphoneUser</v>
      </c>
      <c r="D313" s="22" cm="1">
        <f t="array" ref="D313">_xlfn.XLOOKUP(1,
  (pivot!$A$2:$A$1946=endirim!B313) * (pivot!$C$2:$C$1946 = _xlfn.MAXIFS(pivot!$C$2:$C$1946, pivot!$A$2:$A$1946, endirim!B313)),
  pivot!$D$2:$D$1946)</f>
        <v>28</v>
      </c>
      <c r="E313" s="3" t="str" cm="1">
        <f t="array" ref="E313">_xlfn.XLOOKUP(1,
    (pivot!$A$2:$A$1946=endirim!B313) * (pivot!$D$2:$D$1946 = _xlfn.MAXIFS(pivot!$D$2:$D$1946, pivot!$A$2:$A$1946, endirim!B313)),
    pivot!$B$2:$B$1946)</f>
        <v>NotNewCellphoneUser</v>
      </c>
      <c r="F313" s="22">
        <f>_xlfn.MAXIFS(pivot!$D$2:$D$1946, pivot!$A$2:$A$1946, endirim!B313)</f>
        <v>28</v>
      </c>
      <c r="G313" s="3" t="str">
        <f t="shared" si="4"/>
        <v>Təklif yoxdur</v>
      </c>
    </row>
    <row r="314" spans="2:7" x14ac:dyDescent="0.3">
      <c r="B314" t="s">
        <v>368</v>
      </c>
      <c r="C314" s="3" t="str" cm="1">
        <f t="array" ref="C314">_xlfn.XLOOKUP(1,(pivot!$A$2:$A$1946=Table3[[#This Row],[Müştəri adı]])*(pivot!$C$2:$C$1946=_xlfn.MAXIFS(pivot!$C$2:$C$1946,pivot!$A$2:$A$1946,Table3[[#This Row],[Müştəri adı]])),pivot!$B$2:$B$1946)</f>
        <v>OwnsMotorcycle</v>
      </c>
      <c r="D314" s="22" cm="1">
        <f t="array" ref="D314">_xlfn.XLOOKUP(1,
  (pivot!$A$2:$A$1946=endirim!B314) * (pivot!$C$2:$C$1946 = _xlfn.MAXIFS(pivot!$C$2:$C$1946, pivot!$A$2:$A$1946, endirim!B314)),
  pivot!$D$2:$D$1946)</f>
        <v>14</v>
      </c>
      <c r="E314" s="3" t="str" cm="1">
        <f t="array" ref="E314">_xlfn.XLOOKUP(1,
    (pivot!$A$2:$A$1946=endirim!B314) * (pivot!$D$2:$D$1946 = _xlfn.MAXIFS(pivot!$D$2:$D$1946, pivot!$A$2:$A$1946, endirim!B314)),
    pivot!$B$2:$B$1946)</f>
        <v>TruckOwner</v>
      </c>
      <c r="F314" s="22">
        <f>_xlfn.MAXIFS(pivot!$D$2:$D$1946, pivot!$A$2:$A$1946, endirim!B314)</f>
        <v>26</v>
      </c>
      <c r="G314" s="3" t="str">
        <f t="shared" si="4"/>
        <v>TruckOwner Kompaniyasını 20% endirimlə təklif et</v>
      </c>
    </row>
    <row r="315" spans="2:7" x14ac:dyDescent="0.3">
      <c r="B315" t="s">
        <v>369</v>
      </c>
      <c r="C315" s="3" t="str" cm="1">
        <f t="array" ref="C315">_xlfn.XLOOKUP(1,(pivot!$A$2:$A$1946=Table3[[#This Row],[Müştəri adı]])*(pivot!$C$2:$C$1946=_xlfn.MAXIFS(pivot!$C$2:$C$1946,pivot!$A$2:$A$1946,Table3[[#This Row],[Müştəri adı]])),pivot!$B$2:$B$1946)</f>
        <v>OwnsMotorcycle</v>
      </c>
      <c r="D315" s="22" cm="1">
        <f t="array" ref="D315">_xlfn.XLOOKUP(1,
  (pivot!$A$2:$A$1946=endirim!B315) * (pivot!$C$2:$C$1946 = _xlfn.MAXIFS(pivot!$C$2:$C$1946, pivot!$A$2:$A$1946, endirim!B315)),
  pivot!$D$2:$D$1946)</f>
        <v>14</v>
      </c>
      <c r="E315" s="3" t="str" cm="1">
        <f t="array" ref="E315">_xlfn.XLOOKUP(1,
    (pivot!$A$2:$A$1946=endirim!B315) * (pivot!$D$2:$D$1946 = _xlfn.MAXIFS(pivot!$D$2:$D$1946, pivot!$A$2:$A$1946, endirim!B315)),
    pivot!$B$2:$B$1946)</f>
        <v>NotNewCellphoneUser</v>
      </c>
      <c r="F315" s="22">
        <f>_xlfn.MAXIFS(pivot!$D$2:$D$1946, pivot!$A$2:$A$1946, endirim!B315)</f>
        <v>28</v>
      </c>
      <c r="G315" s="3" t="str">
        <f t="shared" si="4"/>
        <v>NotNewCellphoneUser Kompaniyasını 20% endirimlə təklif et</v>
      </c>
    </row>
    <row r="316" spans="2:7" x14ac:dyDescent="0.3">
      <c r="B316" t="s">
        <v>370</v>
      </c>
      <c r="C316" s="3" t="str" cm="1">
        <f t="array" ref="C316">_xlfn.XLOOKUP(1,(pivot!$A$2:$A$1946=Table3[[#This Row],[Müştəri adı]])*(pivot!$C$2:$C$1946=_xlfn.MAXIFS(pivot!$C$2:$C$1946,pivot!$A$2:$A$1946,Table3[[#This Row],[Müştəri adı]])),pivot!$B$2:$B$1946)</f>
        <v>HandsetWebCapable</v>
      </c>
      <c r="D316" s="22" cm="1">
        <f t="array" ref="D316">_xlfn.XLOOKUP(1,
  (pivot!$A$2:$A$1946=endirim!B316) * (pivot!$C$2:$C$1946 = _xlfn.MAXIFS(pivot!$C$2:$C$1946, pivot!$A$2:$A$1946, endirim!B316)),
  pivot!$D$2:$D$1946)</f>
        <v>62</v>
      </c>
      <c r="E316" s="3" t="str" cm="1">
        <f t="array" ref="E316">_xlfn.XLOOKUP(1,
    (pivot!$A$2:$A$1946=endirim!B316) * (pivot!$D$2:$D$1946 = _xlfn.MAXIFS(pivot!$D$2:$D$1946, pivot!$A$2:$A$1946, endirim!B316)),
    pivot!$B$2:$B$1946)</f>
        <v>HandsetWebCapable</v>
      </c>
      <c r="F316" s="22">
        <f>_xlfn.MAXIFS(pivot!$D$2:$D$1946, pivot!$A$2:$A$1946, endirim!B316)</f>
        <v>62</v>
      </c>
      <c r="G316" s="3" t="str">
        <f t="shared" si="4"/>
        <v>Təklif yoxdur</v>
      </c>
    </row>
    <row r="317" spans="2:7" x14ac:dyDescent="0.3">
      <c r="B317" t="s">
        <v>371</v>
      </c>
      <c r="C317" s="3" t="str" cm="1">
        <f t="array" ref="C317">_xlfn.XLOOKUP(1,(pivot!$A$2:$A$1946=Table3[[#This Row],[Müştəri adı]])*(pivot!$C$2:$C$1946=_xlfn.MAXIFS(pivot!$C$2:$C$1946,pivot!$A$2:$A$1946,Table3[[#This Row],[Müştəri adı]])),pivot!$B$2:$B$1946)</f>
        <v>RespondsToMailOffers</v>
      </c>
      <c r="D317" s="22" cm="1">
        <f t="array" ref="D317">_xlfn.XLOOKUP(1,
  (pivot!$A$2:$A$1946=endirim!B317) * (pivot!$C$2:$C$1946 = _xlfn.MAXIFS(pivot!$C$2:$C$1946, pivot!$A$2:$A$1946, endirim!B317)),
  pivot!$D$2:$D$1946)</f>
        <v>27</v>
      </c>
      <c r="E317" s="3" t="str" cm="1">
        <f t="array" ref="E317">_xlfn.XLOOKUP(1,
    (pivot!$A$2:$A$1946=endirim!B317) * (pivot!$D$2:$D$1946 = _xlfn.MAXIFS(pivot!$D$2:$D$1946, pivot!$A$2:$A$1946, endirim!B317)),
    pivot!$B$2:$B$1946)</f>
        <v>RespondsToMailOffers</v>
      </c>
      <c r="F317" s="22">
        <f>_xlfn.MAXIFS(pivot!$D$2:$D$1946, pivot!$A$2:$A$1946, endirim!B317)</f>
        <v>27</v>
      </c>
      <c r="G317" s="3" t="str">
        <f t="shared" si="4"/>
        <v>Təklif yoxdur</v>
      </c>
    </row>
    <row r="318" spans="2:7" x14ac:dyDescent="0.3">
      <c r="B318" t="s">
        <v>372</v>
      </c>
      <c r="C318" s="3" t="str" cm="1">
        <f t="array" ref="C318">_xlfn.XLOOKUP(1,(pivot!$A$2:$A$1946=Table3[[#This Row],[Müştəri adı]])*(pivot!$C$2:$C$1946=_xlfn.MAXIFS(pivot!$C$2:$C$1946,pivot!$A$2:$A$1946,Table3[[#This Row],[Müştəri adı]])),pivot!$B$2:$B$1946)</f>
        <v>BuysViaMailOrder</v>
      </c>
      <c r="D318" s="22" cm="1">
        <f t="array" ref="D318">_xlfn.XLOOKUP(1,
  (pivot!$A$2:$A$1946=endirim!B318) * (pivot!$C$2:$C$1946 = _xlfn.MAXIFS(pivot!$C$2:$C$1946, pivot!$A$2:$A$1946, endirim!B318)),
  pivot!$D$2:$D$1946)</f>
        <v>25</v>
      </c>
      <c r="E318" s="3" t="str" cm="1">
        <f t="array" ref="E318">_xlfn.XLOOKUP(1,
    (pivot!$A$2:$A$1946=endirim!B318) * (pivot!$D$2:$D$1946 = _xlfn.MAXIFS(pivot!$D$2:$D$1946, pivot!$A$2:$A$1946, endirim!B318)),
    pivot!$B$2:$B$1946)</f>
        <v>OptOutMailings</v>
      </c>
      <c r="F318" s="22">
        <f>_xlfn.MAXIFS(pivot!$D$2:$D$1946, pivot!$A$2:$A$1946, endirim!B318)</f>
        <v>75</v>
      </c>
      <c r="G318" s="3" t="str">
        <f t="shared" si="4"/>
        <v>OptOutMailings Kompaniyasını 20% endirimlə təklif et</v>
      </c>
    </row>
    <row r="319" spans="2:7" x14ac:dyDescent="0.3">
      <c r="B319" t="s">
        <v>373</v>
      </c>
      <c r="C319" s="3" t="str" cm="1">
        <f t="array" ref="C319">_xlfn.XLOOKUP(1,(pivot!$A$2:$A$1946=Table3[[#This Row],[Müştəri adı]])*(pivot!$C$2:$C$1946=_xlfn.MAXIFS(pivot!$C$2:$C$1946,pivot!$A$2:$A$1946,Table3[[#This Row],[Müştəri adı]])),pivot!$B$2:$B$1946)</f>
        <v>HandsetRefurbished</v>
      </c>
      <c r="D319" s="22" cm="1">
        <f t="array" ref="D319">_xlfn.XLOOKUP(1,
  (pivot!$A$2:$A$1946=endirim!B319) * (pivot!$C$2:$C$1946 = _xlfn.MAXIFS(pivot!$C$2:$C$1946, pivot!$A$2:$A$1946, endirim!B319)),
  pivot!$D$2:$D$1946)</f>
        <v>26</v>
      </c>
      <c r="E319" s="3" t="str" cm="1">
        <f t="array" ref="E319">_xlfn.XLOOKUP(1,
    (pivot!$A$2:$A$1946=endirim!B319) * (pivot!$D$2:$D$1946 = _xlfn.MAXIFS(pivot!$D$2:$D$1946, pivot!$A$2:$A$1946, endirim!B319)),
    pivot!$B$2:$B$1946)</f>
        <v>HandsetRefurbished</v>
      </c>
      <c r="F319" s="22">
        <f>_xlfn.MAXIFS(pivot!$D$2:$D$1946, pivot!$A$2:$A$1946, endirim!B319)</f>
        <v>26</v>
      </c>
      <c r="G319" s="3" t="str">
        <f t="shared" si="4"/>
        <v>Təklif yoxdur</v>
      </c>
    </row>
    <row r="320" spans="2:7" x14ac:dyDescent="0.3">
      <c r="B320" t="s">
        <v>374</v>
      </c>
      <c r="C320" s="3" t="str" cm="1">
        <f t="array" ref="C320">_xlfn.XLOOKUP(1,(pivot!$A$2:$A$1946=Table3[[#This Row],[Müştəri adı]])*(pivot!$C$2:$C$1946=_xlfn.MAXIFS(pivot!$C$2:$C$1946,pivot!$A$2:$A$1946,Table3[[#This Row],[Müştəri adı]])),pivot!$B$2:$B$1946)</f>
        <v>Homeownership</v>
      </c>
      <c r="D320" s="22" cm="1">
        <f t="array" ref="D320">_xlfn.XLOOKUP(1,
  (pivot!$A$2:$A$1946=endirim!B320) * (pivot!$C$2:$C$1946 = _xlfn.MAXIFS(pivot!$C$2:$C$1946, pivot!$A$2:$A$1946, endirim!B320)),
  pivot!$D$2:$D$1946)</f>
        <v>13</v>
      </c>
      <c r="E320" s="3" t="str" cm="1">
        <f t="array" ref="E320">_xlfn.XLOOKUP(1,
    (pivot!$A$2:$A$1946=endirim!B320) * (pivot!$D$2:$D$1946 = _xlfn.MAXIFS(pivot!$D$2:$D$1946, pivot!$A$2:$A$1946, endirim!B320)),
    pivot!$B$2:$B$1946)</f>
        <v>NotNewCellphoneUser</v>
      </c>
      <c r="F320" s="22">
        <f>_xlfn.MAXIFS(pivot!$D$2:$D$1946, pivot!$A$2:$A$1946, endirim!B320)</f>
        <v>28</v>
      </c>
      <c r="G320" s="3" t="str">
        <f t="shared" si="4"/>
        <v>NotNewCellphoneUser Kompaniyasını 20% endirimlə təklif et</v>
      </c>
    </row>
    <row r="321" spans="2:7" x14ac:dyDescent="0.3">
      <c r="B321" t="s">
        <v>375</v>
      </c>
      <c r="C321" s="3" t="str" cm="1">
        <f t="array" ref="C321">_xlfn.XLOOKUP(1,(pivot!$A$2:$A$1946=Table3[[#This Row],[Müştəri adı]])*(pivot!$C$2:$C$1946=_xlfn.MAXIFS(pivot!$C$2:$C$1946,pivot!$A$2:$A$1946,Table3[[#This Row],[Müştəri adı]])),pivot!$B$2:$B$1946)</f>
        <v>OwnsMotorcycle</v>
      </c>
      <c r="D321" s="22" cm="1">
        <f t="array" ref="D321">_xlfn.XLOOKUP(1,
  (pivot!$A$2:$A$1946=endirim!B321) * (pivot!$C$2:$C$1946 = _xlfn.MAXIFS(pivot!$C$2:$C$1946, pivot!$A$2:$A$1946, endirim!B321)),
  pivot!$D$2:$D$1946)</f>
        <v>14</v>
      </c>
      <c r="E321" s="3" t="str" cm="1">
        <f t="array" ref="E321">_xlfn.XLOOKUP(1,
    (pivot!$A$2:$A$1946=endirim!B321) * (pivot!$D$2:$D$1946 = _xlfn.MAXIFS(pivot!$D$2:$D$1946, pivot!$A$2:$A$1946, endirim!B321)),
    pivot!$B$2:$B$1946)</f>
        <v>NonUSTravel</v>
      </c>
      <c r="F321" s="22">
        <f>_xlfn.MAXIFS(pivot!$D$2:$D$1946, pivot!$A$2:$A$1946, endirim!B321)</f>
        <v>66</v>
      </c>
      <c r="G321" s="3" t="str">
        <f t="shared" si="4"/>
        <v>NonUSTravel Kompaniyasını 20% endirimlə təklif et</v>
      </c>
    </row>
    <row r="322" spans="2:7" x14ac:dyDescent="0.3">
      <c r="B322" t="s">
        <v>376</v>
      </c>
      <c r="C322" s="3" t="str" cm="1">
        <f t="array" ref="C322">_xlfn.XLOOKUP(1,(pivot!$A$2:$A$1946=Table3[[#This Row],[Müştəri adı]])*(pivot!$C$2:$C$1946=_xlfn.MAXIFS(pivot!$C$2:$C$1946,pivot!$A$2:$A$1946,Table3[[#This Row],[Müştəri adı]])),pivot!$B$2:$B$1946)</f>
        <v>TruckOwner</v>
      </c>
      <c r="D322" s="22" cm="1">
        <f t="array" ref="D322">_xlfn.XLOOKUP(1,
  (pivot!$A$2:$A$1946=endirim!B322) * (pivot!$C$2:$C$1946 = _xlfn.MAXIFS(pivot!$C$2:$C$1946, pivot!$A$2:$A$1946, endirim!B322)),
  pivot!$D$2:$D$1946)</f>
        <v>26</v>
      </c>
      <c r="E322" s="3" t="str" cm="1">
        <f t="array" ref="E322">_xlfn.XLOOKUP(1,
    (pivot!$A$2:$A$1946=endirim!B322) * (pivot!$D$2:$D$1946 = _xlfn.MAXIFS(pivot!$D$2:$D$1946, pivot!$A$2:$A$1946, endirim!B322)),
    pivot!$B$2:$B$1946)</f>
        <v>HasCreditCard</v>
      </c>
      <c r="F322" s="22">
        <f>_xlfn.MAXIFS(pivot!$D$2:$D$1946, pivot!$A$2:$A$1946, endirim!B322)</f>
        <v>65</v>
      </c>
      <c r="G322" s="3" t="str">
        <f t="shared" si="4"/>
        <v>HasCreditCard Kompaniyasını 20% endirimlə təklif et</v>
      </c>
    </row>
    <row r="323" spans="2:7" x14ac:dyDescent="0.3">
      <c r="B323" t="s">
        <v>377</v>
      </c>
      <c r="C323" s="3" t="str" cm="1">
        <f t="array" ref="C323">_xlfn.XLOOKUP(1,(pivot!$A$2:$A$1946=Table3[[#This Row],[Müştəri adı]])*(pivot!$C$2:$C$1946=_xlfn.MAXIFS(pivot!$C$2:$C$1946,pivot!$A$2:$A$1946,Table3[[#This Row],[Müştəri adı]])),pivot!$B$2:$B$1946)</f>
        <v>OptOutMailings</v>
      </c>
      <c r="D323" s="22" cm="1">
        <f t="array" ref="D323">_xlfn.XLOOKUP(1,
  (pivot!$A$2:$A$1946=endirim!B323) * (pivot!$C$2:$C$1946 = _xlfn.MAXIFS(pivot!$C$2:$C$1946, pivot!$A$2:$A$1946, endirim!B323)),
  pivot!$D$2:$D$1946)</f>
        <v>75</v>
      </c>
      <c r="E323" s="3" t="str" cm="1">
        <f t="array" ref="E323">_xlfn.XLOOKUP(1,
    (pivot!$A$2:$A$1946=endirim!B323) * (pivot!$D$2:$D$1946 = _xlfn.MAXIFS(pivot!$D$2:$D$1946, pivot!$A$2:$A$1946, endirim!B323)),
    pivot!$B$2:$B$1946)</f>
        <v>OptOutMailings</v>
      </c>
      <c r="F323" s="22">
        <f>_xlfn.MAXIFS(pivot!$D$2:$D$1946, pivot!$A$2:$A$1946, endirim!B323)</f>
        <v>75</v>
      </c>
      <c r="G323" s="3" t="str">
        <f t="shared" si="4"/>
        <v>Təklif yoxdur</v>
      </c>
    </row>
    <row r="324" spans="2:7" x14ac:dyDescent="0.3">
      <c r="B324" t="s">
        <v>378</v>
      </c>
      <c r="C324" s="3" t="str" cm="1">
        <f t="array" ref="C324">_xlfn.XLOOKUP(1,(pivot!$A$2:$A$1946=Table3[[#This Row],[Müştəri adı]])*(pivot!$C$2:$C$1946=_xlfn.MAXIFS(pivot!$C$2:$C$1946,pivot!$A$2:$A$1946,Table3[[#This Row],[Müştəri adı]])),pivot!$B$2:$B$1946)</f>
        <v>OptOutMailings</v>
      </c>
      <c r="D324" s="22" cm="1">
        <f t="array" ref="D324">_xlfn.XLOOKUP(1,
  (pivot!$A$2:$A$1946=endirim!B324) * (pivot!$C$2:$C$1946 = _xlfn.MAXIFS(pivot!$C$2:$C$1946, pivot!$A$2:$A$1946, endirim!B324)),
  pivot!$D$2:$D$1946)</f>
        <v>75</v>
      </c>
      <c r="E324" s="3" t="str" cm="1">
        <f t="array" ref="E324">_xlfn.XLOOKUP(1,
    (pivot!$A$2:$A$1946=endirim!B324) * (pivot!$D$2:$D$1946 = _xlfn.MAXIFS(pivot!$D$2:$D$1946, pivot!$A$2:$A$1946, endirim!B324)),
    pivot!$B$2:$B$1946)</f>
        <v>OptOutMailings</v>
      </c>
      <c r="F324" s="22">
        <f>_xlfn.MAXIFS(pivot!$D$2:$D$1946, pivot!$A$2:$A$1946, endirim!B324)</f>
        <v>75</v>
      </c>
      <c r="G324" s="3" t="str">
        <f t="shared" ref="G324:G387" si="5">IF(D324=F324, "Təklif yoxdur", E324&amp;" Kompaniyasını 20% endirimlə təklif et")</f>
        <v>Təklif yoxdur</v>
      </c>
    </row>
    <row r="325" spans="2:7" x14ac:dyDescent="0.3">
      <c r="B325" t="s">
        <v>379</v>
      </c>
      <c r="C325" s="3" t="str" cm="1">
        <f t="array" ref="C325">_xlfn.XLOOKUP(1,(pivot!$A$2:$A$1946=Table3[[#This Row],[Müştəri adı]])*(pivot!$C$2:$C$1946=_xlfn.MAXIFS(pivot!$C$2:$C$1946,pivot!$A$2:$A$1946,Table3[[#This Row],[Müştəri adı]])),pivot!$B$2:$B$1946)</f>
        <v>NotNewCellphoneUser</v>
      </c>
      <c r="D325" s="22" cm="1">
        <f t="array" ref="D325">_xlfn.XLOOKUP(1,
  (pivot!$A$2:$A$1946=endirim!B325) * (pivot!$C$2:$C$1946 = _xlfn.MAXIFS(pivot!$C$2:$C$1946, pivot!$A$2:$A$1946, endirim!B325)),
  pivot!$D$2:$D$1946)</f>
        <v>28</v>
      </c>
      <c r="E325" s="3" t="str" cm="1">
        <f t="array" ref="E325">_xlfn.XLOOKUP(1,
    (pivot!$A$2:$A$1946=endirim!B325) * (pivot!$D$2:$D$1946 = _xlfn.MAXIFS(pivot!$D$2:$D$1946, pivot!$A$2:$A$1946, endirim!B325)),
    pivot!$B$2:$B$1946)</f>
        <v>HandsetWebCapable</v>
      </c>
      <c r="F325" s="22">
        <f>_xlfn.MAXIFS(pivot!$D$2:$D$1946, pivot!$A$2:$A$1946, endirim!B325)</f>
        <v>62</v>
      </c>
      <c r="G325" s="3" t="str">
        <f t="shared" si="5"/>
        <v>HandsetWebCapable Kompaniyasını 20% endirimlə təklif et</v>
      </c>
    </row>
    <row r="326" spans="2:7" x14ac:dyDescent="0.3">
      <c r="B326" t="s">
        <v>380</v>
      </c>
      <c r="C326" s="3" t="str" cm="1">
        <f t="array" ref="C326">_xlfn.XLOOKUP(1,(pivot!$A$2:$A$1946=Table3[[#This Row],[Müştəri adı]])*(pivot!$C$2:$C$1946=_xlfn.MAXIFS(pivot!$C$2:$C$1946,pivot!$A$2:$A$1946,Table3[[#This Row],[Müştəri adı]])),pivot!$B$2:$B$1946)</f>
        <v>MadeCallToRetentionTeam</v>
      </c>
      <c r="D326" s="22" cm="1">
        <f t="array" ref="D326">_xlfn.XLOOKUP(1,
  (pivot!$A$2:$A$1946=endirim!B326) * (pivot!$C$2:$C$1946 = _xlfn.MAXIFS(pivot!$C$2:$C$1946, pivot!$A$2:$A$1946, endirim!B326)),
  pivot!$D$2:$D$1946)</f>
        <v>16</v>
      </c>
      <c r="E326" s="3" t="str" cm="1">
        <f t="array" ref="E326">_xlfn.XLOOKUP(1,
    (pivot!$A$2:$A$1946=endirim!B326) * (pivot!$D$2:$D$1946 = _xlfn.MAXIFS(pivot!$D$2:$D$1946, pivot!$A$2:$A$1946, endirim!B326)),
    pivot!$B$2:$B$1946)</f>
        <v>HasCreditCard</v>
      </c>
      <c r="F326" s="22">
        <f>_xlfn.MAXIFS(pivot!$D$2:$D$1946, pivot!$A$2:$A$1946, endirim!B326)</f>
        <v>65</v>
      </c>
      <c r="G326" s="3" t="str">
        <f t="shared" si="5"/>
        <v>HasCreditCard Kompaniyasını 20% endirimlə təklif et</v>
      </c>
    </row>
    <row r="327" spans="2:7" x14ac:dyDescent="0.3">
      <c r="B327" t="s">
        <v>381</v>
      </c>
      <c r="C327" s="3" t="str" cm="1">
        <f t="array" ref="C327">_xlfn.XLOOKUP(1,(pivot!$A$2:$A$1946=Table3[[#This Row],[Müştəri adı]])*(pivot!$C$2:$C$1946=_xlfn.MAXIFS(pivot!$C$2:$C$1946,pivot!$A$2:$A$1946,Table3[[#This Row],[Müştəri adı]])),pivot!$B$2:$B$1946)</f>
        <v>OptOutMailings</v>
      </c>
      <c r="D327" s="22" cm="1">
        <f t="array" ref="D327">_xlfn.XLOOKUP(1,
  (pivot!$A$2:$A$1946=endirim!B327) * (pivot!$C$2:$C$1946 = _xlfn.MAXIFS(pivot!$C$2:$C$1946, pivot!$A$2:$A$1946, endirim!B327)),
  pivot!$D$2:$D$1946)</f>
        <v>75</v>
      </c>
      <c r="E327" s="3" t="str" cm="1">
        <f t="array" ref="E327">_xlfn.XLOOKUP(1,
    (pivot!$A$2:$A$1946=endirim!B327) * (pivot!$D$2:$D$1946 = _xlfn.MAXIFS(pivot!$D$2:$D$1946, pivot!$A$2:$A$1946, endirim!B327)),
    pivot!$B$2:$B$1946)</f>
        <v>OptOutMailings</v>
      </c>
      <c r="F327" s="22">
        <f>_xlfn.MAXIFS(pivot!$D$2:$D$1946, pivot!$A$2:$A$1946, endirim!B327)</f>
        <v>75</v>
      </c>
      <c r="G327" s="3" t="str">
        <f t="shared" si="5"/>
        <v>Təklif yoxdur</v>
      </c>
    </row>
    <row r="328" spans="2:7" x14ac:dyDescent="0.3">
      <c r="B328" t="s">
        <v>382</v>
      </c>
      <c r="C328" s="3" t="str" cm="1">
        <f t="array" ref="C328">_xlfn.XLOOKUP(1,(pivot!$A$2:$A$1946=Table3[[#This Row],[Müştəri adı]])*(pivot!$C$2:$C$1946=_xlfn.MAXIFS(pivot!$C$2:$C$1946,pivot!$A$2:$A$1946,Table3[[#This Row],[Müştəri adı]])),pivot!$B$2:$B$1946)</f>
        <v>OwnsMotorcycle</v>
      </c>
      <c r="D328" s="22" cm="1">
        <f t="array" ref="D328">_xlfn.XLOOKUP(1,
  (pivot!$A$2:$A$1946=endirim!B328) * (pivot!$C$2:$C$1946 = _xlfn.MAXIFS(pivot!$C$2:$C$1946, pivot!$A$2:$A$1946, endirim!B328)),
  pivot!$D$2:$D$1946)</f>
        <v>14</v>
      </c>
      <c r="E328" s="3" t="str" cm="1">
        <f t="array" ref="E328">_xlfn.XLOOKUP(1,
    (pivot!$A$2:$A$1946=endirim!B328) * (pivot!$D$2:$D$1946 = _xlfn.MAXIFS(pivot!$D$2:$D$1946, pivot!$A$2:$A$1946, endirim!B328)),
    pivot!$B$2:$B$1946)</f>
        <v>OwnsMotorcycle</v>
      </c>
      <c r="F328" s="22">
        <f>_xlfn.MAXIFS(pivot!$D$2:$D$1946, pivot!$A$2:$A$1946, endirim!B328)</f>
        <v>14</v>
      </c>
      <c r="G328" s="3" t="str">
        <f t="shared" si="5"/>
        <v>Təklif yoxdur</v>
      </c>
    </row>
    <row r="329" spans="2:7" x14ac:dyDescent="0.3">
      <c r="B329" t="s">
        <v>383</v>
      </c>
      <c r="C329" s="3" t="str" cm="1">
        <f t="array" ref="C329">_xlfn.XLOOKUP(1,(pivot!$A$2:$A$1946=Table3[[#This Row],[Müştəri adı]])*(pivot!$C$2:$C$1946=_xlfn.MAXIFS(pivot!$C$2:$C$1946,pivot!$A$2:$A$1946,Table3[[#This Row],[Müştəri adı]])),pivot!$B$2:$B$1946)</f>
        <v>Homeownership</v>
      </c>
      <c r="D329" s="22" cm="1">
        <f t="array" ref="D329">_xlfn.XLOOKUP(1,
  (pivot!$A$2:$A$1946=endirim!B329) * (pivot!$C$2:$C$1946 = _xlfn.MAXIFS(pivot!$C$2:$C$1946, pivot!$A$2:$A$1946, endirim!B329)),
  pivot!$D$2:$D$1946)</f>
        <v>13</v>
      </c>
      <c r="E329" s="3" t="str" cm="1">
        <f t="array" ref="E329">_xlfn.XLOOKUP(1,
    (pivot!$A$2:$A$1946=endirim!B329) * (pivot!$D$2:$D$1946 = _xlfn.MAXIFS(pivot!$D$2:$D$1946, pivot!$A$2:$A$1946, endirim!B329)),
    pivot!$B$2:$B$1946)</f>
        <v>BuysViaMailOrder</v>
      </c>
      <c r="F329" s="22">
        <f>_xlfn.MAXIFS(pivot!$D$2:$D$1946, pivot!$A$2:$A$1946, endirim!B329)</f>
        <v>25</v>
      </c>
      <c r="G329" s="3" t="str">
        <f t="shared" si="5"/>
        <v>BuysViaMailOrder Kompaniyasını 20% endirimlə təklif et</v>
      </c>
    </row>
    <row r="330" spans="2:7" x14ac:dyDescent="0.3">
      <c r="B330" t="s">
        <v>384</v>
      </c>
      <c r="C330" s="3" t="str" cm="1">
        <f t="array" ref="C330">_xlfn.XLOOKUP(1,(pivot!$A$2:$A$1946=Table3[[#This Row],[Müştəri adı]])*(pivot!$C$2:$C$1946=_xlfn.MAXIFS(pivot!$C$2:$C$1946,pivot!$A$2:$A$1946,Table3[[#This Row],[Müştəri adı]])),pivot!$B$2:$B$1946)</f>
        <v>NonUSTravel</v>
      </c>
      <c r="D330" s="22" cm="1">
        <f t="array" ref="D330">_xlfn.XLOOKUP(1,
  (pivot!$A$2:$A$1946=endirim!B330) * (pivot!$C$2:$C$1946 = _xlfn.MAXIFS(pivot!$C$2:$C$1946, pivot!$A$2:$A$1946, endirim!B330)),
  pivot!$D$2:$D$1946)</f>
        <v>66</v>
      </c>
      <c r="E330" s="3" t="str" cm="1">
        <f t="array" ref="E330">_xlfn.XLOOKUP(1,
    (pivot!$A$2:$A$1946=endirim!B330) * (pivot!$D$2:$D$1946 = _xlfn.MAXIFS(pivot!$D$2:$D$1946, pivot!$A$2:$A$1946, endirim!B330)),
    pivot!$B$2:$B$1946)</f>
        <v>NonUSTravel</v>
      </c>
      <c r="F330" s="22">
        <f>_xlfn.MAXIFS(pivot!$D$2:$D$1946, pivot!$A$2:$A$1946, endirim!B330)</f>
        <v>66</v>
      </c>
      <c r="G330" s="3" t="str">
        <f t="shared" si="5"/>
        <v>Təklif yoxdur</v>
      </c>
    </row>
    <row r="331" spans="2:7" x14ac:dyDescent="0.3">
      <c r="B331" t="s">
        <v>385</v>
      </c>
      <c r="C331" s="3" t="str" cm="1">
        <f t="array" ref="C331">_xlfn.XLOOKUP(1,(pivot!$A$2:$A$1946=Table3[[#This Row],[Müştəri adı]])*(pivot!$C$2:$C$1946=_xlfn.MAXIFS(pivot!$C$2:$C$1946,pivot!$A$2:$A$1946,Table3[[#This Row],[Müştəri adı]])),pivot!$B$2:$B$1946)</f>
        <v>Homeownership</v>
      </c>
      <c r="D331" s="22" cm="1">
        <f t="array" ref="D331">_xlfn.XLOOKUP(1,
  (pivot!$A$2:$A$1946=endirim!B331) * (pivot!$C$2:$C$1946 = _xlfn.MAXIFS(pivot!$C$2:$C$1946, pivot!$A$2:$A$1946, endirim!B331)),
  pivot!$D$2:$D$1946)</f>
        <v>13</v>
      </c>
      <c r="E331" s="3" t="str" cm="1">
        <f t="array" ref="E331">_xlfn.XLOOKUP(1,
    (pivot!$A$2:$A$1946=endirim!B331) * (pivot!$D$2:$D$1946 = _xlfn.MAXIFS(pivot!$D$2:$D$1946, pivot!$A$2:$A$1946, endirim!B331)),
    pivot!$B$2:$B$1946)</f>
        <v>NotNewCellphoneUser</v>
      </c>
      <c r="F331" s="22">
        <f>_xlfn.MAXIFS(pivot!$D$2:$D$1946, pivot!$A$2:$A$1946, endirim!B331)</f>
        <v>28</v>
      </c>
      <c r="G331" s="3" t="str">
        <f t="shared" si="5"/>
        <v>NotNewCellphoneUser Kompaniyasını 20% endirimlə təklif et</v>
      </c>
    </row>
    <row r="332" spans="2:7" x14ac:dyDescent="0.3">
      <c r="B332" t="s">
        <v>386</v>
      </c>
      <c r="C332" s="3" t="str" cm="1">
        <f t="array" ref="C332">_xlfn.XLOOKUP(1,(pivot!$A$2:$A$1946=Table3[[#This Row],[Müştəri adı]])*(pivot!$C$2:$C$1946=_xlfn.MAXIFS(pivot!$C$2:$C$1946,pivot!$A$2:$A$1946,Table3[[#This Row],[Müştəri adı]])),pivot!$B$2:$B$1946)</f>
        <v>HasCreditCard</v>
      </c>
      <c r="D332" s="22" cm="1">
        <f t="array" ref="D332">_xlfn.XLOOKUP(1,
  (pivot!$A$2:$A$1946=endirim!B332) * (pivot!$C$2:$C$1946 = _xlfn.MAXIFS(pivot!$C$2:$C$1946, pivot!$A$2:$A$1946, endirim!B332)),
  pivot!$D$2:$D$1946)</f>
        <v>65</v>
      </c>
      <c r="E332" s="3" t="str" cm="1">
        <f t="array" ref="E332">_xlfn.XLOOKUP(1,
    (pivot!$A$2:$A$1946=endirim!B332) * (pivot!$D$2:$D$1946 = _xlfn.MAXIFS(pivot!$D$2:$D$1946, pivot!$A$2:$A$1946, endirim!B332)),
    pivot!$B$2:$B$1946)</f>
        <v>HasCreditCard</v>
      </c>
      <c r="F332" s="22">
        <f>_xlfn.MAXIFS(pivot!$D$2:$D$1946, pivot!$A$2:$A$1946, endirim!B332)</f>
        <v>65</v>
      </c>
      <c r="G332" s="3" t="str">
        <f t="shared" si="5"/>
        <v>Təklif yoxdur</v>
      </c>
    </row>
    <row r="333" spans="2:7" x14ac:dyDescent="0.3">
      <c r="B333" t="s">
        <v>387</v>
      </c>
      <c r="C333" s="3" t="str" cm="1">
        <f t="array" ref="C333">_xlfn.XLOOKUP(1,(pivot!$A$2:$A$1946=Table3[[#This Row],[Müştəri adı]])*(pivot!$C$2:$C$1946=_xlfn.MAXIFS(pivot!$C$2:$C$1946,pivot!$A$2:$A$1946,Table3[[#This Row],[Müştəri adı]])),pivot!$B$2:$B$1946)</f>
        <v>OwnsComputer</v>
      </c>
      <c r="D333" s="22" cm="1">
        <f t="array" ref="D333">_xlfn.XLOOKUP(1,
  (pivot!$A$2:$A$1946=endirim!B333) * (pivot!$C$2:$C$1946 = _xlfn.MAXIFS(pivot!$C$2:$C$1946, pivot!$A$2:$A$1946, endirim!B333)),
  pivot!$D$2:$D$1946)</f>
        <v>62</v>
      </c>
      <c r="E333" s="3" t="str" cm="1">
        <f t="array" ref="E333">_xlfn.XLOOKUP(1,
    (pivot!$A$2:$A$1946=endirim!B333) * (pivot!$D$2:$D$1946 = _xlfn.MAXIFS(pivot!$D$2:$D$1946, pivot!$A$2:$A$1946, endirim!B333)),
    pivot!$B$2:$B$1946)</f>
        <v>OwnsComputer</v>
      </c>
      <c r="F333" s="22">
        <f>_xlfn.MAXIFS(pivot!$D$2:$D$1946, pivot!$A$2:$A$1946, endirim!B333)</f>
        <v>62</v>
      </c>
      <c r="G333" s="3" t="str">
        <f t="shared" si="5"/>
        <v>Təklif yoxdur</v>
      </c>
    </row>
    <row r="334" spans="2:7" x14ac:dyDescent="0.3">
      <c r="B334" t="s">
        <v>388</v>
      </c>
      <c r="C334" s="3" t="str" cm="1">
        <f t="array" ref="C334">_xlfn.XLOOKUP(1,(pivot!$A$2:$A$1946=Table3[[#This Row],[Müştəri adı]])*(pivot!$C$2:$C$1946=_xlfn.MAXIFS(pivot!$C$2:$C$1946,pivot!$A$2:$A$1946,Table3[[#This Row],[Müştəri adı]])),pivot!$B$2:$B$1946)</f>
        <v>NotNewCellphoneUser</v>
      </c>
      <c r="D334" s="22" cm="1">
        <f t="array" ref="D334">_xlfn.XLOOKUP(1,
  (pivot!$A$2:$A$1946=endirim!B334) * (pivot!$C$2:$C$1946 = _xlfn.MAXIFS(pivot!$C$2:$C$1946, pivot!$A$2:$A$1946, endirim!B334)),
  pivot!$D$2:$D$1946)</f>
        <v>28</v>
      </c>
      <c r="E334" s="3" t="str" cm="1">
        <f t="array" ref="E334">_xlfn.XLOOKUP(1,
    (pivot!$A$2:$A$1946=endirim!B334) * (pivot!$D$2:$D$1946 = _xlfn.MAXIFS(pivot!$D$2:$D$1946, pivot!$A$2:$A$1946, endirim!B334)),
    pivot!$B$2:$B$1946)</f>
        <v>NotNewCellphoneUser</v>
      </c>
      <c r="F334" s="22">
        <f>_xlfn.MAXIFS(pivot!$D$2:$D$1946, pivot!$A$2:$A$1946, endirim!B334)</f>
        <v>28</v>
      </c>
      <c r="G334" s="3" t="str">
        <f t="shared" si="5"/>
        <v>Təklif yoxdur</v>
      </c>
    </row>
    <row r="335" spans="2:7" x14ac:dyDescent="0.3">
      <c r="B335" t="s">
        <v>389</v>
      </c>
      <c r="C335" s="3" t="str" cm="1">
        <f t="array" ref="C335">_xlfn.XLOOKUP(1,(pivot!$A$2:$A$1946=Table3[[#This Row],[Müştəri adı]])*(pivot!$C$2:$C$1946=_xlfn.MAXIFS(pivot!$C$2:$C$1946,pivot!$A$2:$A$1946,Table3[[#This Row],[Müştəri adı]])),pivot!$B$2:$B$1946)</f>
        <v>OwnsComputer</v>
      </c>
      <c r="D335" s="22" cm="1">
        <f t="array" ref="D335">_xlfn.XLOOKUP(1,
  (pivot!$A$2:$A$1946=endirim!B335) * (pivot!$C$2:$C$1946 = _xlfn.MAXIFS(pivot!$C$2:$C$1946, pivot!$A$2:$A$1946, endirim!B335)),
  pivot!$D$2:$D$1946)</f>
        <v>62</v>
      </c>
      <c r="E335" s="3" t="str" cm="1">
        <f t="array" ref="E335">_xlfn.XLOOKUP(1,
    (pivot!$A$2:$A$1946=endirim!B335) * (pivot!$D$2:$D$1946 = _xlfn.MAXIFS(pivot!$D$2:$D$1946, pivot!$A$2:$A$1946, endirim!B335)),
    pivot!$B$2:$B$1946)</f>
        <v>OwnsComputer</v>
      </c>
      <c r="F335" s="22">
        <f>_xlfn.MAXIFS(pivot!$D$2:$D$1946, pivot!$A$2:$A$1946, endirim!B335)</f>
        <v>62</v>
      </c>
      <c r="G335" s="3" t="str">
        <f t="shared" si="5"/>
        <v>Təklif yoxdur</v>
      </c>
    </row>
    <row r="336" spans="2:7" x14ac:dyDescent="0.3">
      <c r="B336" t="s">
        <v>390</v>
      </c>
      <c r="C336" s="3" t="str" cm="1">
        <f t="array" ref="C336">_xlfn.XLOOKUP(1,(pivot!$A$2:$A$1946=Table3[[#This Row],[Müştəri adı]])*(pivot!$C$2:$C$1946=_xlfn.MAXIFS(pivot!$C$2:$C$1946,pivot!$A$2:$A$1946,Table3[[#This Row],[Müştəri adı]])),pivot!$B$2:$B$1946)</f>
        <v>OwnsMotorcycle</v>
      </c>
      <c r="D336" s="22" cm="1">
        <f t="array" ref="D336">_xlfn.XLOOKUP(1,
  (pivot!$A$2:$A$1946=endirim!B336) * (pivot!$C$2:$C$1946 = _xlfn.MAXIFS(pivot!$C$2:$C$1946, pivot!$A$2:$A$1946, endirim!B336)),
  pivot!$D$2:$D$1946)</f>
        <v>14</v>
      </c>
      <c r="E336" s="3" t="str" cm="1">
        <f t="array" ref="E336">_xlfn.XLOOKUP(1,
    (pivot!$A$2:$A$1946=endirim!B336) * (pivot!$D$2:$D$1946 = _xlfn.MAXIFS(pivot!$D$2:$D$1946, pivot!$A$2:$A$1946, endirim!B336)),
    pivot!$B$2:$B$1946)</f>
        <v>MadeCallToRetentionTeam</v>
      </c>
      <c r="F336" s="22">
        <f>_xlfn.MAXIFS(pivot!$D$2:$D$1946, pivot!$A$2:$A$1946, endirim!B336)</f>
        <v>16</v>
      </c>
      <c r="G336" s="3" t="str">
        <f t="shared" si="5"/>
        <v>MadeCallToRetentionTeam Kompaniyasını 20% endirimlə təklif et</v>
      </c>
    </row>
    <row r="337" spans="2:7" x14ac:dyDescent="0.3">
      <c r="B337" t="s">
        <v>391</v>
      </c>
      <c r="C337" s="3" t="str" cm="1">
        <f t="array" ref="C337">_xlfn.XLOOKUP(1,(pivot!$A$2:$A$1946=Table3[[#This Row],[Müştəri adı]])*(pivot!$C$2:$C$1946=_xlfn.MAXIFS(pivot!$C$2:$C$1946,pivot!$A$2:$A$1946,Table3[[#This Row],[Müştəri adı]])),pivot!$B$2:$B$1946)</f>
        <v>OwnsComputer</v>
      </c>
      <c r="D337" s="22" cm="1">
        <f t="array" ref="D337">_xlfn.XLOOKUP(1,
  (pivot!$A$2:$A$1946=endirim!B337) * (pivot!$C$2:$C$1946 = _xlfn.MAXIFS(pivot!$C$2:$C$1946, pivot!$A$2:$A$1946, endirim!B337)),
  pivot!$D$2:$D$1946)</f>
        <v>62</v>
      </c>
      <c r="E337" s="3" t="str" cm="1">
        <f t="array" ref="E337">_xlfn.XLOOKUP(1,
    (pivot!$A$2:$A$1946=endirim!B337) * (pivot!$D$2:$D$1946 = _xlfn.MAXIFS(pivot!$D$2:$D$1946, pivot!$A$2:$A$1946, endirim!B337)),
    pivot!$B$2:$B$1946)</f>
        <v>OwnsComputer</v>
      </c>
      <c r="F337" s="22">
        <f>_xlfn.MAXIFS(pivot!$D$2:$D$1946, pivot!$A$2:$A$1946, endirim!B337)</f>
        <v>62</v>
      </c>
      <c r="G337" s="3" t="str">
        <f t="shared" si="5"/>
        <v>Təklif yoxdur</v>
      </c>
    </row>
    <row r="338" spans="2:7" x14ac:dyDescent="0.3">
      <c r="B338" t="s">
        <v>392</v>
      </c>
      <c r="C338" s="3" t="str" cm="1">
        <f t="array" ref="C338">_xlfn.XLOOKUP(1,(pivot!$A$2:$A$1946=Table3[[#This Row],[Müştəri adı]])*(pivot!$C$2:$C$1946=_xlfn.MAXIFS(pivot!$C$2:$C$1946,pivot!$A$2:$A$1946,Table3[[#This Row],[Müştəri adı]])),pivot!$B$2:$B$1946)</f>
        <v>Homeownership</v>
      </c>
      <c r="D338" s="22" cm="1">
        <f t="array" ref="D338">_xlfn.XLOOKUP(1,
  (pivot!$A$2:$A$1946=endirim!B338) * (pivot!$C$2:$C$1946 = _xlfn.MAXIFS(pivot!$C$2:$C$1946, pivot!$A$2:$A$1946, endirim!B338)),
  pivot!$D$2:$D$1946)</f>
        <v>13</v>
      </c>
      <c r="E338" s="3" t="str" cm="1">
        <f t="array" ref="E338">_xlfn.XLOOKUP(1,
    (pivot!$A$2:$A$1946=endirim!B338) * (pivot!$D$2:$D$1946 = _xlfn.MAXIFS(pivot!$D$2:$D$1946, pivot!$A$2:$A$1946, endirim!B338)),
    pivot!$B$2:$B$1946)</f>
        <v>Homeownership</v>
      </c>
      <c r="F338" s="22">
        <f>_xlfn.MAXIFS(pivot!$D$2:$D$1946, pivot!$A$2:$A$1946, endirim!B338)</f>
        <v>13</v>
      </c>
      <c r="G338" s="3" t="str">
        <f t="shared" si="5"/>
        <v>Təklif yoxdur</v>
      </c>
    </row>
    <row r="339" spans="2:7" x14ac:dyDescent="0.3">
      <c r="B339" t="s">
        <v>393</v>
      </c>
      <c r="C339" s="3" t="str" cm="1">
        <f t="array" ref="C339">_xlfn.XLOOKUP(1,(pivot!$A$2:$A$1946=Table3[[#This Row],[Müştəri adı]])*(pivot!$C$2:$C$1946=_xlfn.MAXIFS(pivot!$C$2:$C$1946,pivot!$A$2:$A$1946,Table3[[#This Row],[Müştəri adı]])),pivot!$B$2:$B$1946)</f>
        <v>OwnsComputer</v>
      </c>
      <c r="D339" s="22" cm="1">
        <f t="array" ref="D339">_xlfn.XLOOKUP(1,
  (pivot!$A$2:$A$1946=endirim!B339) * (pivot!$C$2:$C$1946 = _xlfn.MAXIFS(pivot!$C$2:$C$1946, pivot!$A$2:$A$1946, endirim!B339)),
  pivot!$D$2:$D$1946)</f>
        <v>62</v>
      </c>
      <c r="E339" s="3" t="str" cm="1">
        <f t="array" ref="E339">_xlfn.XLOOKUP(1,
    (pivot!$A$2:$A$1946=endirim!B339) * (pivot!$D$2:$D$1946 = _xlfn.MAXIFS(pivot!$D$2:$D$1946, pivot!$A$2:$A$1946, endirim!B339)),
    pivot!$B$2:$B$1946)</f>
        <v>OwnsComputer</v>
      </c>
      <c r="F339" s="22">
        <f>_xlfn.MAXIFS(pivot!$D$2:$D$1946, pivot!$A$2:$A$1946, endirim!B339)</f>
        <v>62</v>
      </c>
      <c r="G339" s="3" t="str">
        <f t="shared" si="5"/>
        <v>Təklif yoxdur</v>
      </c>
    </row>
    <row r="340" spans="2:7" x14ac:dyDescent="0.3">
      <c r="B340" t="s">
        <v>394</v>
      </c>
      <c r="C340" s="3" t="str" cm="1">
        <f t="array" ref="C340">_xlfn.XLOOKUP(1,(pivot!$A$2:$A$1946=Table3[[#This Row],[Müştəri adı]])*(pivot!$C$2:$C$1946=_xlfn.MAXIFS(pivot!$C$2:$C$1946,pivot!$A$2:$A$1946,Table3[[#This Row],[Müştəri adı]])),pivot!$B$2:$B$1946)</f>
        <v>OwnsComputer</v>
      </c>
      <c r="D340" s="22" cm="1">
        <f t="array" ref="D340">_xlfn.XLOOKUP(1,
  (pivot!$A$2:$A$1946=endirim!B340) * (pivot!$C$2:$C$1946 = _xlfn.MAXIFS(pivot!$C$2:$C$1946, pivot!$A$2:$A$1946, endirim!B340)),
  pivot!$D$2:$D$1946)</f>
        <v>62</v>
      </c>
      <c r="E340" s="3" t="str" cm="1">
        <f t="array" ref="E340">_xlfn.XLOOKUP(1,
    (pivot!$A$2:$A$1946=endirim!B340) * (pivot!$D$2:$D$1946 = _xlfn.MAXIFS(pivot!$D$2:$D$1946, pivot!$A$2:$A$1946, endirim!B340)),
    pivot!$B$2:$B$1946)</f>
        <v>OwnsComputer</v>
      </c>
      <c r="F340" s="22">
        <f>_xlfn.MAXIFS(pivot!$D$2:$D$1946, pivot!$A$2:$A$1946, endirim!B340)</f>
        <v>62</v>
      </c>
      <c r="G340" s="3" t="str">
        <f t="shared" si="5"/>
        <v>Təklif yoxdur</v>
      </c>
    </row>
    <row r="341" spans="2:7" x14ac:dyDescent="0.3">
      <c r="B341" t="s">
        <v>395</v>
      </c>
      <c r="C341" s="3" t="str" cm="1">
        <f t="array" ref="C341">_xlfn.XLOOKUP(1,(pivot!$A$2:$A$1946=Table3[[#This Row],[Müştəri adı]])*(pivot!$C$2:$C$1946=_xlfn.MAXIFS(pivot!$C$2:$C$1946,pivot!$A$2:$A$1946,Table3[[#This Row],[Müştəri adı]])),pivot!$B$2:$B$1946)</f>
        <v>OptOutMailings</v>
      </c>
      <c r="D341" s="22" cm="1">
        <f t="array" ref="D341">_xlfn.XLOOKUP(1,
  (pivot!$A$2:$A$1946=endirim!B341) * (pivot!$C$2:$C$1946 = _xlfn.MAXIFS(pivot!$C$2:$C$1946, pivot!$A$2:$A$1946, endirim!B341)),
  pivot!$D$2:$D$1946)</f>
        <v>75</v>
      </c>
      <c r="E341" s="3" t="str" cm="1">
        <f t="array" ref="E341">_xlfn.XLOOKUP(1,
    (pivot!$A$2:$A$1946=endirim!B341) * (pivot!$D$2:$D$1946 = _xlfn.MAXIFS(pivot!$D$2:$D$1946, pivot!$A$2:$A$1946, endirim!B341)),
    pivot!$B$2:$B$1946)</f>
        <v>OptOutMailings</v>
      </c>
      <c r="F341" s="22">
        <f>_xlfn.MAXIFS(pivot!$D$2:$D$1946, pivot!$A$2:$A$1946, endirim!B341)</f>
        <v>75</v>
      </c>
      <c r="G341" s="3" t="str">
        <f t="shared" si="5"/>
        <v>Təklif yoxdur</v>
      </c>
    </row>
    <row r="342" spans="2:7" x14ac:dyDescent="0.3">
      <c r="B342" t="s">
        <v>396</v>
      </c>
      <c r="C342" s="3" t="str" cm="1">
        <f t="array" ref="C342">_xlfn.XLOOKUP(1,(pivot!$A$2:$A$1946=Table3[[#This Row],[Müştəri adı]])*(pivot!$C$2:$C$1946=_xlfn.MAXIFS(pivot!$C$2:$C$1946,pivot!$A$2:$A$1946,Table3[[#This Row],[Müştəri adı]])),pivot!$B$2:$B$1946)</f>
        <v>MaritalStatus</v>
      </c>
      <c r="D342" s="22" cm="1">
        <f t="array" ref="D342">_xlfn.XLOOKUP(1,
  (pivot!$A$2:$A$1946=endirim!B342) * (pivot!$C$2:$C$1946 = _xlfn.MAXIFS(pivot!$C$2:$C$1946, pivot!$A$2:$A$1946, endirim!B342)),
  pivot!$D$2:$D$1946)</f>
        <v>29</v>
      </c>
      <c r="E342" s="3" t="str" cm="1">
        <f t="array" ref="E342">_xlfn.XLOOKUP(1,
    (pivot!$A$2:$A$1946=endirim!B342) * (pivot!$D$2:$D$1946 = _xlfn.MAXIFS(pivot!$D$2:$D$1946, pivot!$A$2:$A$1946, endirim!B342)),
    pivot!$B$2:$B$1946)</f>
        <v>MaritalStatus</v>
      </c>
      <c r="F342" s="22">
        <f>_xlfn.MAXIFS(pivot!$D$2:$D$1946, pivot!$A$2:$A$1946, endirim!B342)</f>
        <v>29</v>
      </c>
      <c r="G342" s="3" t="str">
        <f t="shared" si="5"/>
        <v>Təklif yoxdur</v>
      </c>
    </row>
    <row r="343" spans="2:7" x14ac:dyDescent="0.3">
      <c r="B343" t="s">
        <v>397</v>
      </c>
      <c r="C343" s="3" t="str" cm="1">
        <f t="array" ref="C343">_xlfn.XLOOKUP(1,(pivot!$A$2:$A$1946=Table3[[#This Row],[Müştəri adı]])*(pivot!$C$2:$C$1946=_xlfn.MAXIFS(pivot!$C$2:$C$1946,pivot!$A$2:$A$1946,Table3[[#This Row],[Müştəri adı]])),pivot!$B$2:$B$1946)</f>
        <v>MaritalStatus</v>
      </c>
      <c r="D343" s="22" cm="1">
        <f t="array" ref="D343">_xlfn.XLOOKUP(1,
  (pivot!$A$2:$A$1946=endirim!B343) * (pivot!$C$2:$C$1946 = _xlfn.MAXIFS(pivot!$C$2:$C$1946, pivot!$A$2:$A$1946, endirim!B343)),
  pivot!$D$2:$D$1946)</f>
        <v>29</v>
      </c>
      <c r="E343" s="3" t="str" cm="1">
        <f t="array" ref="E343">_xlfn.XLOOKUP(1,
    (pivot!$A$2:$A$1946=endirim!B343) * (pivot!$D$2:$D$1946 = _xlfn.MAXIFS(pivot!$D$2:$D$1946, pivot!$A$2:$A$1946, endirim!B343)),
    pivot!$B$2:$B$1946)</f>
        <v>MaritalStatus</v>
      </c>
      <c r="F343" s="22">
        <f>_xlfn.MAXIFS(pivot!$D$2:$D$1946, pivot!$A$2:$A$1946, endirim!B343)</f>
        <v>29</v>
      </c>
      <c r="G343" s="3" t="str">
        <f t="shared" si="5"/>
        <v>Təklif yoxdur</v>
      </c>
    </row>
    <row r="344" spans="2:7" x14ac:dyDescent="0.3">
      <c r="B344" t="s">
        <v>398</v>
      </c>
      <c r="C344" s="3" t="str" cm="1">
        <f t="array" ref="C344">_xlfn.XLOOKUP(1,(pivot!$A$2:$A$1946=Table3[[#This Row],[Müştəri adı]])*(pivot!$C$2:$C$1946=_xlfn.MAXIFS(pivot!$C$2:$C$1946,pivot!$A$2:$A$1946,Table3[[#This Row],[Müştəri adı]])),pivot!$B$2:$B$1946)</f>
        <v>NonUSTravel</v>
      </c>
      <c r="D344" s="22" cm="1">
        <f t="array" ref="D344">_xlfn.XLOOKUP(1,
  (pivot!$A$2:$A$1946=endirim!B344) * (pivot!$C$2:$C$1946 = _xlfn.MAXIFS(pivot!$C$2:$C$1946, pivot!$A$2:$A$1946, endirim!B344)),
  pivot!$D$2:$D$1946)</f>
        <v>66</v>
      </c>
      <c r="E344" s="3" t="str" cm="1">
        <f t="array" ref="E344">_xlfn.XLOOKUP(1,
    (pivot!$A$2:$A$1946=endirim!B344) * (pivot!$D$2:$D$1946 = _xlfn.MAXIFS(pivot!$D$2:$D$1946, pivot!$A$2:$A$1946, endirim!B344)),
    pivot!$B$2:$B$1946)</f>
        <v>NonUSTravel</v>
      </c>
      <c r="F344" s="22">
        <f>_xlfn.MAXIFS(pivot!$D$2:$D$1946, pivot!$A$2:$A$1946, endirim!B344)</f>
        <v>66</v>
      </c>
      <c r="G344" s="3" t="str">
        <f t="shared" si="5"/>
        <v>Təklif yoxdur</v>
      </c>
    </row>
    <row r="345" spans="2:7" x14ac:dyDescent="0.3">
      <c r="B345" t="s">
        <v>399</v>
      </c>
      <c r="C345" s="3" t="str" cm="1">
        <f t="array" ref="C345">_xlfn.XLOOKUP(1,(pivot!$A$2:$A$1946=Table3[[#This Row],[Müştəri adı]])*(pivot!$C$2:$C$1946=_xlfn.MAXIFS(pivot!$C$2:$C$1946,pivot!$A$2:$A$1946,Table3[[#This Row],[Müştəri adı]])),pivot!$B$2:$B$1946)</f>
        <v>NotNewCellphoneUser</v>
      </c>
      <c r="D345" s="22" cm="1">
        <f t="array" ref="D345">_xlfn.XLOOKUP(1,
  (pivot!$A$2:$A$1946=endirim!B345) * (pivot!$C$2:$C$1946 = _xlfn.MAXIFS(pivot!$C$2:$C$1946, pivot!$A$2:$A$1946, endirim!B345)),
  pivot!$D$2:$D$1946)</f>
        <v>28</v>
      </c>
      <c r="E345" s="3" t="str" cm="1">
        <f t="array" ref="E345">_xlfn.XLOOKUP(1,
    (pivot!$A$2:$A$1946=endirim!B345) * (pivot!$D$2:$D$1946 = _xlfn.MAXIFS(pivot!$D$2:$D$1946, pivot!$A$2:$A$1946, endirim!B345)),
    pivot!$B$2:$B$1946)</f>
        <v>HasCreditCard</v>
      </c>
      <c r="F345" s="22">
        <f>_xlfn.MAXIFS(pivot!$D$2:$D$1946, pivot!$A$2:$A$1946, endirim!B345)</f>
        <v>65</v>
      </c>
      <c r="G345" s="3" t="str">
        <f t="shared" si="5"/>
        <v>HasCreditCard Kompaniyasını 20% endirimlə təklif et</v>
      </c>
    </row>
    <row r="346" spans="2:7" x14ac:dyDescent="0.3">
      <c r="B346" t="s">
        <v>400</v>
      </c>
      <c r="C346" s="3" t="str" cm="1">
        <f t="array" ref="C346">_xlfn.XLOOKUP(1,(pivot!$A$2:$A$1946=Table3[[#This Row],[Müştəri adı]])*(pivot!$C$2:$C$1946=_xlfn.MAXIFS(pivot!$C$2:$C$1946,pivot!$A$2:$A$1946,Table3[[#This Row],[Müştəri adı]])),pivot!$B$2:$B$1946)</f>
        <v>OptOutMailings</v>
      </c>
      <c r="D346" s="22" cm="1">
        <f t="array" ref="D346">_xlfn.XLOOKUP(1,
  (pivot!$A$2:$A$1946=endirim!B346) * (pivot!$C$2:$C$1946 = _xlfn.MAXIFS(pivot!$C$2:$C$1946, pivot!$A$2:$A$1946, endirim!B346)),
  pivot!$D$2:$D$1946)</f>
        <v>75</v>
      </c>
      <c r="E346" s="3" t="str" cm="1">
        <f t="array" ref="E346">_xlfn.XLOOKUP(1,
    (pivot!$A$2:$A$1946=endirim!B346) * (pivot!$D$2:$D$1946 = _xlfn.MAXIFS(pivot!$D$2:$D$1946, pivot!$A$2:$A$1946, endirim!B346)),
    pivot!$B$2:$B$1946)</f>
        <v>OptOutMailings</v>
      </c>
      <c r="F346" s="22">
        <f>_xlfn.MAXIFS(pivot!$D$2:$D$1946, pivot!$A$2:$A$1946, endirim!B346)</f>
        <v>75</v>
      </c>
      <c r="G346" s="3" t="str">
        <f t="shared" si="5"/>
        <v>Təklif yoxdur</v>
      </c>
    </row>
    <row r="347" spans="2:7" x14ac:dyDescent="0.3">
      <c r="B347" t="s">
        <v>401</v>
      </c>
      <c r="C347" s="3" t="str" cm="1">
        <f t="array" ref="C347">_xlfn.XLOOKUP(1,(pivot!$A$2:$A$1946=Table3[[#This Row],[Müştəri adı]])*(pivot!$C$2:$C$1946=_xlfn.MAXIFS(pivot!$C$2:$C$1946,pivot!$A$2:$A$1946,Table3[[#This Row],[Müştəri adı]])),pivot!$B$2:$B$1946)</f>
        <v>OwnsComputer</v>
      </c>
      <c r="D347" s="22" cm="1">
        <f t="array" ref="D347">_xlfn.XLOOKUP(1,
  (pivot!$A$2:$A$1946=endirim!B347) * (pivot!$C$2:$C$1946 = _xlfn.MAXIFS(pivot!$C$2:$C$1946, pivot!$A$2:$A$1946, endirim!B347)),
  pivot!$D$2:$D$1946)</f>
        <v>62</v>
      </c>
      <c r="E347" s="3" t="str" cm="1">
        <f t="array" ref="E347">_xlfn.XLOOKUP(1,
    (pivot!$A$2:$A$1946=endirim!B347) * (pivot!$D$2:$D$1946 = _xlfn.MAXIFS(pivot!$D$2:$D$1946, pivot!$A$2:$A$1946, endirim!B347)),
    pivot!$B$2:$B$1946)</f>
        <v>OwnsComputer</v>
      </c>
      <c r="F347" s="22">
        <f>_xlfn.MAXIFS(pivot!$D$2:$D$1946, pivot!$A$2:$A$1946, endirim!B347)</f>
        <v>62</v>
      </c>
      <c r="G347" s="3" t="str">
        <f t="shared" si="5"/>
        <v>Təklif yoxdur</v>
      </c>
    </row>
    <row r="348" spans="2:7" x14ac:dyDescent="0.3">
      <c r="B348" t="s">
        <v>402</v>
      </c>
      <c r="C348" s="3" t="str" cm="1">
        <f t="array" ref="C348">_xlfn.XLOOKUP(1,(pivot!$A$2:$A$1946=Table3[[#This Row],[Müştəri adı]])*(pivot!$C$2:$C$1946=_xlfn.MAXIFS(pivot!$C$2:$C$1946,pivot!$A$2:$A$1946,Table3[[#This Row],[Müştəri adı]])),pivot!$B$2:$B$1946)</f>
        <v>HasCreditCard</v>
      </c>
      <c r="D348" s="22" cm="1">
        <f t="array" ref="D348">_xlfn.XLOOKUP(1,
  (pivot!$A$2:$A$1946=endirim!B348) * (pivot!$C$2:$C$1946 = _xlfn.MAXIFS(pivot!$C$2:$C$1946, pivot!$A$2:$A$1946, endirim!B348)),
  pivot!$D$2:$D$1946)</f>
        <v>65</v>
      </c>
      <c r="E348" s="3" t="str" cm="1">
        <f t="array" ref="E348">_xlfn.XLOOKUP(1,
    (pivot!$A$2:$A$1946=endirim!B348) * (pivot!$D$2:$D$1946 = _xlfn.MAXIFS(pivot!$D$2:$D$1946, pivot!$A$2:$A$1946, endirim!B348)),
    pivot!$B$2:$B$1946)</f>
        <v>HasCreditCard</v>
      </c>
      <c r="F348" s="22">
        <f>_xlfn.MAXIFS(pivot!$D$2:$D$1946, pivot!$A$2:$A$1946, endirim!B348)</f>
        <v>65</v>
      </c>
      <c r="G348" s="3" t="str">
        <f t="shared" si="5"/>
        <v>Təklif yoxdur</v>
      </c>
    </row>
    <row r="349" spans="2:7" x14ac:dyDescent="0.3">
      <c r="B349" t="s">
        <v>403</v>
      </c>
      <c r="C349" s="3" t="str" cm="1">
        <f t="array" ref="C349">_xlfn.XLOOKUP(1,(pivot!$A$2:$A$1946=Table3[[#This Row],[Müştəri adı]])*(pivot!$C$2:$C$1946=_xlfn.MAXIFS(pivot!$C$2:$C$1946,pivot!$A$2:$A$1946,Table3[[#This Row],[Müştəri adı]])),pivot!$B$2:$B$1946)</f>
        <v>MadeCallToRetentionTeam</v>
      </c>
      <c r="D349" s="22" cm="1">
        <f t="array" ref="D349">_xlfn.XLOOKUP(1,
  (pivot!$A$2:$A$1946=endirim!B349) * (pivot!$C$2:$C$1946 = _xlfn.MAXIFS(pivot!$C$2:$C$1946, pivot!$A$2:$A$1946, endirim!B349)),
  pivot!$D$2:$D$1946)</f>
        <v>16</v>
      </c>
      <c r="E349" s="3" t="str" cm="1">
        <f t="array" ref="E349">_xlfn.XLOOKUP(1,
    (pivot!$A$2:$A$1946=endirim!B349) * (pivot!$D$2:$D$1946 = _xlfn.MAXIFS(pivot!$D$2:$D$1946, pivot!$A$2:$A$1946, endirim!B349)),
    pivot!$B$2:$B$1946)</f>
        <v>MadeCallToRetentionTeam</v>
      </c>
      <c r="F349" s="22">
        <f>_xlfn.MAXIFS(pivot!$D$2:$D$1946, pivot!$A$2:$A$1946, endirim!B349)</f>
        <v>16</v>
      </c>
      <c r="G349" s="3" t="str">
        <f t="shared" si="5"/>
        <v>Təklif yoxdur</v>
      </c>
    </row>
    <row r="350" spans="2:7" x14ac:dyDescent="0.3">
      <c r="B350" t="s">
        <v>404</v>
      </c>
      <c r="C350" s="3" t="str" cm="1">
        <f t="array" ref="C350">_xlfn.XLOOKUP(1,(pivot!$A$2:$A$1946=Table3[[#This Row],[Müştəri adı]])*(pivot!$C$2:$C$1946=_xlfn.MAXIFS(pivot!$C$2:$C$1946,pivot!$A$2:$A$1946,Table3[[#This Row],[Müştəri adı]])),pivot!$B$2:$B$1946)</f>
        <v>NotNewCellphoneUser</v>
      </c>
      <c r="D350" s="22" cm="1">
        <f t="array" ref="D350">_xlfn.XLOOKUP(1,
  (pivot!$A$2:$A$1946=endirim!B350) * (pivot!$C$2:$C$1946 = _xlfn.MAXIFS(pivot!$C$2:$C$1946, pivot!$A$2:$A$1946, endirim!B350)),
  pivot!$D$2:$D$1946)</f>
        <v>28</v>
      </c>
      <c r="E350" s="3" t="str" cm="1">
        <f t="array" ref="E350">_xlfn.XLOOKUP(1,
    (pivot!$A$2:$A$1946=endirim!B350) * (pivot!$D$2:$D$1946 = _xlfn.MAXIFS(pivot!$D$2:$D$1946, pivot!$A$2:$A$1946, endirim!B350)),
    pivot!$B$2:$B$1946)</f>
        <v>OptOutMailings</v>
      </c>
      <c r="F350" s="22">
        <f>_xlfn.MAXIFS(pivot!$D$2:$D$1946, pivot!$A$2:$A$1946, endirim!B350)</f>
        <v>75</v>
      </c>
      <c r="G350" s="3" t="str">
        <f t="shared" si="5"/>
        <v>OptOutMailings Kompaniyasını 20% endirimlə təklif et</v>
      </c>
    </row>
    <row r="351" spans="2:7" x14ac:dyDescent="0.3">
      <c r="B351" t="s">
        <v>405</v>
      </c>
      <c r="C351" s="3" t="str" cm="1">
        <f t="array" ref="C351">_xlfn.XLOOKUP(1,(pivot!$A$2:$A$1946=Table3[[#This Row],[Müştəri adı]])*(pivot!$C$2:$C$1946=_xlfn.MAXIFS(pivot!$C$2:$C$1946,pivot!$A$2:$A$1946,Table3[[#This Row],[Müştəri adı]])),pivot!$B$2:$B$1946)</f>
        <v>TruckOwner</v>
      </c>
      <c r="D351" s="22" cm="1">
        <f t="array" ref="D351">_xlfn.XLOOKUP(1,
  (pivot!$A$2:$A$1946=endirim!B351) * (pivot!$C$2:$C$1946 = _xlfn.MAXIFS(pivot!$C$2:$C$1946, pivot!$A$2:$A$1946, endirim!B351)),
  pivot!$D$2:$D$1946)</f>
        <v>26</v>
      </c>
      <c r="E351" s="3" t="str" cm="1">
        <f t="array" ref="E351">_xlfn.XLOOKUP(1,
    (pivot!$A$2:$A$1946=endirim!B351) * (pivot!$D$2:$D$1946 = _xlfn.MAXIFS(pivot!$D$2:$D$1946, pivot!$A$2:$A$1946, endirim!B351)),
    pivot!$B$2:$B$1946)</f>
        <v>TruckOwner</v>
      </c>
      <c r="F351" s="22">
        <f>_xlfn.MAXIFS(pivot!$D$2:$D$1946, pivot!$A$2:$A$1946, endirim!B351)</f>
        <v>26</v>
      </c>
      <c r="G351" s="3" t="str">
        <f t="shared" si="5"/>
        <v>Təklif yoxdur</v>
      </c>
    </row>
    <row r="352" spans="2:7" x14ac:dyDescent="0.3">
      <c r="B352" t="s">
        <v>406</v>
      </c>
      <c r="C352" s="3" t="str" cm="1">
        <f t="array" ref="C352">_xlfn.XLOOKUP(1,(pivot!$A$2:$A$1946=Table3[[#This Row],[Müştəri adı]])*(pivot!$C$2:$C$1946=_xlfn.MAXIFS(pivot!$C$2:$C$1946,pivot!$A$2:$A$1946,Table3[[#This Row],[Müştəri adı]])),pivot!$B$2:$B$1946)</f>
        <v>NotNewCellphoneUser</v>
      </c>
      <c r="D352" s="22" cm="1">
        <f t="array" ref="D352">_xlfn.XLOOKUP(1,
  (pivot!$A$2:$A$1946=endirim!B352) * (pivot!$C$2:$C$1946 = _xlfn.MAXIFS(pivot!$C$2:$C$1946, pivot!$A$2:$A$1946, endirim!B352)),
  pivot!$D$2:$D$1946)</f>
        <v>28</v>
      </c>
      <c r="E352" s="3" t="str" cm="1">
        <f t="array" ref="E352">_xlfn.XLOOKUP(1,
    (pivot!$A$2:$A$1946=endirim!B352) * (pivot!$D$2:$D$1946 = _xlfn.MAXIFS(pivot!$D$2:$D$1946, pivot!$A$2:$A$1946, endirim!B352)),
    pivot!$B$2:$B$1946)</f>
        <v>NotNewCellphoneUser</v>
      </c>
      <c r="F352" s="22">
        <f>_xlfn.MAXIFS(pivot!$D$2:$D$1946, pivot!$A$2:$A$1946, endirim!B352)</f>
        <v>28</v>
      </c>
      <c r="G352" s="3" t="str">
        <f t="shared" si="5"/>
        <v>Təklif yoxdur</v>
      </c>
    </row>
    <row r="353" spans="2:7" x14ac:dyDescent="0.3">
      <c r="B353" t="s">
        <v>407</v>
      </c>
      <c r="C353" s="3" t="str" cm="1">
        <f t="array" ref="C353">_xlfn.XLOOKUP(1,(pivot!$A$2:$A$1946=Table3[[#This Row],[Müştəri adı]])*(pivot!$C$2:$C$1946=_xlfn.MAXIFS(pivot!$C$2:$C$1946,pivot!$A$2:$A$1946,Table3[[#This Row],[Müştəri adı]])),pivot!$B$2:$B$1946)</f>
        <v>TruckOwner</v>
      </c>
      <c r="D353" s="22" cm="1">
        <f t="array" ref="D353">_xlfn.XLOOKUP(1,
  (pivot!$A$2:$A$1946=endirim!B353) * (pivot!$C$2:$C$1946 = _xlfn.MAXIFS(pivot!$C$2:$C$1946, pivot!$A$2:$A$1946, endirim!B353)),
  pivot!$D$2:$D$1946)</f>
        <v>26</v>
      </c>
      <c r="E353" s="3" t="str" cm="1">
        <f t="array" ref="E353">_xlfn.XLOOKUP(1,
    (pivot!$A$2:$A$1946=endirim!B353) * (pivot!$D$2:$D$1946 = _xlfn.MAXIFS(pivot!$D$2:$D$1946, pivot!$A$2:$A$1946, endirim!B353)),
    pivot!$B$2:$B$1946)</f>
        <v>TruckOwner</v>
      </c>
      <c r="F353" s="22">
        <f>_xlfn.MAXIFS(pivot!$D$2:$D$1946, pivot!$A$2:$A$1946, endirim!B353)</f>
        <v>26</v>
      </c>
      <c r="G353" s="3" t="str">
        <f t="shared" si="5"/>
        <v>Təklif yoxdur</v>
      </c>
    </row>
    <row r="354" spans="2:7" x14ac:dyDescent="0.3">
      <c r="B354" t="s">
        <v>408</v>
      </c>
      <c r="C354" s="3" t="str" cm="1">
        <f t="array" ref="C354">_xlfn.XLOOKUP(1,(pivot!$A$2:$A$1946=Table3[[#This Row],[Müştəri adı]])*(pivot!$C$2:$C$1946=_xlfn.MAXIFS(pivot!$C$2:$C$1946,pivot!$A$2:$A$1946,Table3[[#This Row],[Müştəri adı]])),pivot!$B$2:$B$1946)</f>
        <v>NotNewCellphoneUser</v>
      </c>
      <c r="D354" s="22" cm="1">
        <f t="array" ref="D354">_xlfn.XLOOKUP(1,
  (pivot!$A$2:$A$1946=endirim!B354) * (pivot!$C$2:$C$1946 = _xlfn.MAXIFS(pivot!$C$2:$C$1946, pivot!$A$2:$A$1946, endirim!B354)),
  pivot!$D$2:$D$1946)</f>
        <v>28</v>
      </c>
      <c r="E354" s="3" t="str" cm="1">
        <f t="array" ref="E354">_xlfn.XLOOKUP(1,
    (pivot!$A$2:$A$1946=endirim!B354) * (pivot!$D$2:$D$1946 = _xlfn.MAXIFS(pivot!$D$2:$D$1946, pivot!$A$2:$A$1946, endirim!B354)),
    pivot!$B$2:$B$1946)</f>
        <v>NotNewCellphoneUser</v>
      </c>
      <c r="F354" s="22">
        <f>_xlfn.MAXIFS(pivot!$D$2:$D$1946, pivot!$A$2:$A$1946, endirim!B354)</f>
        <v>28</v>
      </c>
      <c r="G354" s="3" t="str">
        <f t="shared" si="5"/>
        <v>Təklif yoxdur</v>
      </c>
    </row>
    <row r="355" spans="2:7" x14ac:dyDescent="0.3">
      <c r="B355" t="s">
        <v>409</v>
      </c>
      <c r="C355" s="3" t="str" cm="1">
        <f t="array" ref="C355">_xlfn.XLOOKUP(1,(pivot!$A$2:$A$1946=Table3[[#This Row],[Müştəri adı]])*(pivot!$C$2:$C$1946=_xlfn.MAXIFS(pivot!$C$2:$C$1946,pivot!$A$2:$A$1946,Table3[[#This Row],[Müştəri adı]])),pivot!$B$2:$B$1946)</f>
        <v>OptOutMailings</v>
      </c>
      <c r="D355" s="22" cm="1">
        <f t="array" ref="D355">_xlfn.XLOOKUP(1,
  (pivot!$A$2:$A$1946=endirim!B355) * (pivot!$C$2:$C$1946 = _xlfn.MAXIFS(pivot!$C$2:$C$1946, pivot!$A$2:$A$1946, endirim!B355)),
  pivot!$D$2:$D$1946)</f>
        <v>75</v>
      </c>
      <c r="E355" s="3" t="str" cm="1">
        <f t="array" ref="E355">_xlfn.XLOOKUP(1,
    (pivot!$A$2:$A$1946=endirim!B355) * (pivot!$D$2:$D$1946 = _xlfn.MAXIFS(pivot!$D$2:$D$1946, pivot!$A$2:$A$1946, endirim!B355)),
    pivot!$B$2:$B$1946)</f>
        <v>OptOutMailings</v>
      </c>
      <c r="F355" s="22">
        <f>_xlfn.MAXIFS(pivot!$D$2:$D$1946, pivot!$A$2:$A$1946, endirim!B355)</f>
        <v>75</v>
      </c>
      <c r="G355" s="3" t="str">
        <f t="shared" si="5"/>
        <v>Təklif yoxdur</v>
      </c>
    </row>
    <row r="356" spans="2:7" x14ac:dyDescent="0.3">
      <c r="B356" t="s">
        <v>410</v>
      </c>
      <c r="C356" s="3" t="str" cm="1">
        <f t="array" ref="C356">_xlfn.XLOOKUP(1,(pivot!$A$2:$A$1946=Table3[[#This Row],[Müştəri adı]])*(pivot!$C$2:$C$1946=_xlfn.MAXIFS(pivot!$C$2:$C$1946,pivot!$A$2:$A$1946,Table3[[#This Row],[Müştəri adı]])),pivot!$B$2:$B$1946)</f>
        <v>RespondsToMailOffers</v>
      </c>
      <c r="D356" s="22" cm="1">
        <f t="array" ref="D356">_xlfn.XLOOKUP(1,
  (pivot!$A$2:$A$1946=endirim!B356) * (pivot!$C$2:$C$1946 = _xlfn.MAXIFS(pivot!$C$2:$C$1946, pivot!$A$2:$A$1946, endirim!B356)),
  pivot!$D$2:$D$1946)</f>
        <v>27</v>
      </c>
      <c r="E356" s="3" t="str" cm="1">
        <f t="array" ref="E356">_xlfn.XLOOKUP(1,
    (pivot!$A$2:$A$1946=endirim!B356) * (pivot!$D$2:$D$1946 = _xlfn.MAXIFS(pivot!$D$2:$D$1946, pivot!$A$2:$A$1946, endirim!B356)),
    pivot!$B$2:$B$1946)</f>
        <v>RespondsToMailOffers</v>
      </c>
      <c r="F356" s="22">
        <f>_xlfn.MAXIFS(pivot!$D$2:$D$1946, pivot!$A$2:$A$1946, endirim!B356)</f>
        <v>27</v>
      </c>
      <c r="G356" s="3" t="str">
        <f t="shared" si="5"/>
        <v>Təklif yoxdur</v>
      </c>
    </row>
    <row r="357" spans="2:7" x14ac:dyDescent="0.3">
      <c r="B357" t="s">
        <v>411</v>
      </c>
      <c r="C357" s="3" t="str" cm="1">
        <f t="array" ref="C357">_xlfn.XLOOKUP(1,(pivot!$A$2:$A$1946=Table3[[#This Row],[Müştəri adı]])*(pivot!$C$2:$C$1946=_xlfn.MAXIFS(pivot!$C$2:$C$1946,pivot!$A$2:$A$1946,Table3[[#This Row],[Müştəri adı]])),pivot!$B$2:$B$1946)</f>
        <v>HandsetWebCapable</v>
      </c>
      <c r="D357" s="22" cm="1">
        <f t="array" ref="D357">_xlfn.XLOOKUP(1,
  (pivot!$A$2:$A$1946=endirim!B357) * (pivot!$C$2:$C$1946 = _xlfn.MAXIFS(pivot!$C$2:$C$1946, pivot!$A$2:$A$1946, endirim!B357)),
  pivot!$D$2:$D$1946)</f>
        <v>62</v>
      </c>
      <c r="E357" s="3" t="str" cm="1">
        <f t="array" ref="E357">_xlfn.XLOOKUP(1,
    (pivot!$A$2:$A$1946=endirim!B357) * (pivot!$D$2:$D$1946 = _xlfn.MAXIFS(pivot!$D$2:$D$1946, pivot!$A$2:$A$1946, endirim!B357)),
    pivot!$B$2:$B$1946)</f>
        <v>HandsetWebCapable</v>
      </c>
      <c r="F357" s="22">
        <f>_xlfn.MAXIFS(pivot!$D$2:$D$1946, pivot!$A$2:$A$1946, endirim!B357)</f>
        <v>62</v>
      </c>
      <c r="G357" s="3" t="str">
        <f t="shared" si="5"/>
        <v>Təklif yoxdur</v>
      </c>
    </row>
    <row r="358" spans="2:7" x14ac:dyDescent="0.3">
      <c r="B358" t="s">
        <v>412</v>
      </c>
      <c r="C358" s="3" t="str" cm="1">
        <f t="array" ref="C358">_xlfn.XLOOKUP(1,(pivot!$A$2:$A$1946=Table3[[#This Row],[Müştəri adı]])*(pivot!$C$2:$C$1946=_xlfn.MAXIFS(pivot!$C$2:$C$1946,pivot!$A$2:$A$1946,Table3[[#This Row],[Müştəri adı]])),pivot!$B$2:$B$1946)</f>
        <v>ChildrenInHH</v>
      </c>
      <c r="D358" s="22" cm="1">
        <f t="array" ref="D358">_xlfn.XLOOKUP(1,
  (pivot!$A$2:$A$1946=endirim!B358) * (pivot!$C$2:$C$1946 = _xlfn.MAXIFS(pivot!$C$2:$C$1946, pivot!$A$2:$A$1946, endirim!B358)),
  pivot!$D$2:$D$1946)</f>
        <v>10</v>
      </c>
      <c r="E358" s="3" t="str" cm="1">
        <f t="array" ref="E358">_xlfn.XLOOKUP(1,
    (pivot!$A$2:$A$1946=endirim!B358) * (pivot!$D$2:$D$1946 = _xlfn.MAXIFS(pivot!$D$2:$D$1946, pivot!$A$2:$A$1946, endirim!B358)),
    pivot!$B$2:$B$1946)</f>
        <v>NotNewCellphoneUser</v>
      </c>
      <c r="F358" s="22">
        <f>_xlfn.MAXIFS(pivot!$D$2:$D$1946, pivot!$A$2:$A$1946, endirim!B358)</f>
        <v>28</v>
      </c>
      <c r="G358" s="3" t="str">
        <f t="shared" si="5"/>
        <v>NotNewCellphoneUser Kompaniyasını 20% endirimlə təklif et</v>
      </c>
    </row>
    <row r="359" spans="2:7" x14ac:dyDescent="0.3">
      <c r="B359" t="s">
        <v>413</v>
      </c>
      <c r="C359" s="3" t="str" cm="1">
        <f t="array" ref="C359">_xlfn.XLOOKUP(1,(pivot!$A$2:$A$1946=Table3[[#This Row],[Müştəri adı]])*(pivot!$C$2:$C$1946=_xlfn.MAXIFS(pivot!$C$2:$C$1946,pivot!$A$2:$A$1946,Table3[[#This Row],[Müştəri adı]])),pivot!$B$2:$B$1946)</f>
        <v>Homeownership</v>
      </c>
      <c r="D359" s="22" cm="1">
        <f t="array" ref="D359">_xlfn.XLOOKUP(1,
  (pivot!$A$2:$A$1946=endirim!B359) * (pivot!$C$2:$C$1946 = _xlfn.MAXIFS(pivot!$C$2:$C$1946, pivot!$A$2:$A$1946, endirim!B359)),
  pivot!$D$2:$D$1946)</f>
        <v>13</v>
      </c>
      <c r="E359" s="3" t="str" cm="1">
        <f t="array" ref="E359">_xlfn.XLOOKUP(1,
    (pivot!$A$2:$A$1946=endirim!B359) * (pivot!$D$2:$D$1946 = _xlfn.MAXIFS(pivot!$D$2:$D$1946, pivot!$A$2:$A$1946, endirim!B359)),
    pivot!$B$2:$B$1946)</f>
        <v>OwnsMotorcycle</v>
      </c>
      <c r="F359" s="22">
        <f>_xlfn.MAXIFS(pivot!$D$2:$D$1946, pivot!$A$2:$A$1946, endirim!B359)</f>
        <v>14</v>
      </c>
      <c r="G359" s="3" t="str">
        <f t="shared" si="5"/>
        <v>OwnsMotorcycle Kompaniyasını 20% endirimlə təklif et</v>
      </c>
    </row>
    <row r="360" spans="2:7" x14ac:dyDescent="0.3">
      <c r="B360" t="s">
        <v>414</v>
      </c>
      <c r="C360" s="3" t="str" cm="1">
        <f t="array" ref="C360">_xlfn.XLOOKUP(1,(pivot!$A$2:$A$1946=Table3[[#This Row],[Müştəri adı]])*(pivot!$C$2:$C$1946=_xlfn.MAXIFS(pivot!$C$2:$C$1946,pivot!$A$2:$A$1946,Table3[[#This Row],[Müştəri adı]])),pivot!$B$2:$B$1946)</f>
        <v>NotNewCellphoneUser</v>
      </c>
      <c r="D360" s="22" cm="1">
        <f t="array" ref="D360">_xlfn.XLOOKUP(1,
  (pivot!$A$2:$A$1946=endirim!B360) * (pivot!$C$2:$C$1946 = _xlfn.MAXIFS(pivot!$C$2:$C$1946, pivot!$A$2:$A$1946, endirim!B360)),
  pivot!$D$2:$D$1946)</f>
        <v>28</v>
      </c>
      <c r="E360" s="3" t="str" cm="1">
        <f t="array" ref="E360">_xlfn.XLOOKUP(1,
    (pivot!$A$2:$A$1946=endirim!B360) * (pivot!$D$2:$D$1946 = _xlfn.MAXIFS(pivot!$D$2:$D$1946, pivot!$A$2:$A$1946, endirim!B360)),
    pivot!$B$2:$B$1946)</f>
        <v>NonUSTravel</v>
      </c>
      <c r="F360" s="22">
        <f>_xlfn.MAXIFS(pivot!$D$2:$D$1946, pivot!$A$2:$A$1946, endirim!B360)</f>
        <v>66</v>
      </c>
      <c r="G360" s="3" t="str">
        <f t="shared" si="5"/>
        <v>NonUSTravel Kompaniyasını 20% endirimlə təklif et</v>
      </c>
    </row>
    <row r="361" spans="2:7" x14ac:dyDescent="0.3">
      <c r="B361" t="s">
        <v>415</v>
      </c>
      <c r="C361" s="3" t="str" cm="1">
        <f t="array" ref="C361">_xlfn.XLOOKUP(1,(pivot!$A$2:$A$1946=Table3[[#This Row],[Müştəri adı]])*(pivot!$C$2:$C$1946=_xlfn.MAXIFS(pivot!$C$2:$C$1946,pivot!$A$2:$A$1946,Table3[[#This Row],[Müştəri adı]])),pivot!$B$2:$B$1946)</f>
        <v>TruckOwner</v>
      </c>
      <c r="D361" s="22" cm="1">
        <f t="array" ref="D361">_xlfn.XLOOKUP(1,
  (pivot!$A$2:$A$1946=endirim!B361) * (pivot!$C$2:$C$1946 = _xlfn.MAXIFS(pivot!$C$2:$C$1946, pivot!$A$2:$A$1946, endirim!B361)),
  pivot!$D$2:$D$1946)</f>
        <v>26</v>
      </c>
      <c r="E361" s="3" t="str" cm="1">
        <f t="array" ref="E361">_xlfn.XLOOKUP(1,
    (pivot!$A$2:$A$1946=endirim!B361) * (pivot!$D$2:$D$1946 = _xlfn.MAXIFS(pivot!$D$2:$D$1946, pivot!$A$2:$A$1946, endirim!B361)),
    pivot!$B$2:$B$1946)</f>
        <v>TruckOwner</v>
      </c>
      <c r="F361" s="22">
        <f>_xlfn.MAXIFS(pivot!$D$2:$D$1946, pivot!$A$2:$A$1946, endirim!B361)</f>
        <v>26</v>
      </c>
      <c r="G361" s="3" t="str">
        <f t="shared" si="5"/>
        <v>Təklif yoxdur</v>
      </c>
    </row>
    <row r="362" spans="2:7" x14ac:dyDescent="0.3">
      <c r="B362" t="s">
        <v>416</v>
      </c>
      <c r="C362" s="3" t="str" cm="1">
        <f t="array" ref="C362">_xlfn.XLOOKUP(1,(pivot!$A$2:$A$1946=Table3[[#This Row],[Müştəri adı]])*(pivot!$C$2:$C$1946=_xlfn.MAXIFS(pivot!$C$2:$C$1946,pivot!$A$2:$A$1946,Table3[[#This Row],[Müştəri adı]])),pivot!$B$2:$B$1946)</f>
        <v>Homeownership</v>
      </c>
      <c r="D362" s="22" cm="1">
        <f t="array" ref="D362">_xlfn.XLOOKUP(1,
  (pivot!$A$2:$A$1946=endirim!B362) * (pivot!$C$2:$C$1946 = _xlfn.MAXIFS(pivot!$C$2:$C$1946, pivot!$A$2:$A$1946, endirim!B362)),
  pivot!$D$2:$D$1946)</f>
        <v>13</v>
      </c>
      <c r="E362" s="3" t="str" cm="1">
        <f t="array" ref="E362">_xlfn.XLOOKUP(1,
    (pivot!$A$2:$A$1946=endirim!B362) * (pivot!$D$2:$D$1946 = _xlfn.MAXIFS(pivot!$D$2:$D$1946, pivot!$A$2:$A$1946, endirim!B362)),
    pivot!$B$2:$B$1946)</f>
        <v>MaritalStatus</v>
      </c>
      <c r="F362" s="22">
        <f>_xlfn.MAXIFS(pivot!$D$2:$D$1946, pivot!$A$2:$A$1946, endirim!B362)</f>
        <v>29</v>
      </c>
      <c r="G362" s="3" t="str">
        <f t="shared" si="5"/>
        <v>MaritalStatus Kompaniyasını 20% endirimlə təklif et</v>
      </c>
    </row>
    <row r="363" spans="2:7" x14ac:dyDescent="0.3">
      <c r="B363" t="s">
        <v>417</v>
      </c>
      <c r="C363" s="3" t="str" cm="1">
        <f t="array" ref="C363">_xlfn.XLOOKUP(1,(pivot!$A$2:$A$1946=Table3[[#This Row],[Müştəri adı]])*(pivot!$C$2:$C$1946=_xlfn.MAXIFS(pivot!$C$2:$C$1946,pivot!$A$2:$A$1946,Table3[[#This Row],[Müştəri adı]])),pivot!$B$2:$B$1946)</f>
        <v>NonUSTravel</v>
      </c>
      <c r="D363" s="22" cm="1">
        <f t="array" ref="D363">_xlfn.XLOOKUP(1,
  (pivot!$A$2:$A$1946=endirim!B363) * (pivot!$C$2:$C$1946 = _xlfn.MAXIFS(pivot!$C$2:$C$1946, pivot!$A$2:$A$1946, endirim!B363)),
  pivot!$D$2:$D$1946)</f>
        <v>66</v>
      </c>
      <c r="E363" s="3" t="str" cm="1">
        <f t="array" ref="E363">_xlfn.XLOOKUP(1,
    (pivot!$A$2:$A$1946=endirim!B363) * (pivot!$D$2:$D$1946 = _xlfn.MAXIFS(pivot!$D$2:$D$1946, pivot!$A$2:$A$1946, endirim!B363)),
    pivot!$B$2:$B$1946)</f>
        <v>NonUSTravel</v>
      </c>
      <c r="F363" s="22">
        <f>_xlfn.MAXIFS(pivot!$D$2:$D$1946, pivot!$A$2:$A$1946, endirim!B363)</f>
        <v>66</v>
      </c>
      <c r="G363" s="3" t="str">
        <f t="shared" si="5"/>
        <v>Təklif yoxdur</v>
      </c>
    </row>
    <row r="364" spans="2:7" x14ac:dyDescent="0.3">
      <c r="B364" t="s">
        <v>418</v>
      </c>
      <c r="C364" s="3" t="str" cm="1">
        <f t="array" ref="C364">_xlfn.XLOOKUP(1,(pivot!$A$2:$A$1946=Table3[[#This Row],[Müştəri adı]])*(pivot!$C$2:$C$1946=_xlfn.MAXIFS(pivot!$C$2:$C$1946,pivot!$A$2:$A$1946,Table3[[#This Row],[Müştəri adı]])),pivot!$B$2:$B$1946)</f>
        <v>ChildrenInHH</v>
      </c>
      <c r="D364" s="22" cm="1">
        <f t="array" ref="D364">_xlfn.XLOOKUP(1,
  (pivot!$A$2:$A$1946=endirim!B364) * (pivot!$C$2:$C$1946 = _xlfn.MAXIFS(pivot!$C$2:$C$1946, pivot!$A$2:$A$1946, endirim!B364)),
  pivot!$D$2:$D$1946)</f>
        <v>10</v>
      </c>
      <c r="E364" s="3" t="str" cm="1">
        <f t="array" ref="E364">_xlfn.XLOOKUP(1,
    (pivot!$A$2:$A$1946=endirim!B364) * (pivot!$D$2:$D$1946 = _xlfn.MAXIFS(pivot!$D$2:$D$1946, pivot!$A$2:$A$1946, endirim!B364)),
    pivot!$B$2:$B$1946)</f>
        <v>RVOwner</v>
      </c>
      <c r="F364" s="22">
        <f>_xlfn.MAXIFS(pivot!$D$2:$D$1946, pivot!$A$2:$A$1946, endirim!B364)</f>
        <v>22</v>
      </c>
      <c r="G364" s="3" t="str">
        <f t="shared" si="5"/>
        <v>RVOwner Kompaniyasını 20% endirimlə təklif et</v>
      </c>
    </row>
    <row r="365" spans="2:7" x14ac:dyDescent="0.3">
      <c r="B365" t="s">
        <v>419</v>
      </c>
      <c r="C365" s="3" t="str" cm="1">
        <f t="array" ref="C365">_xlfn.XLOOKUP(1,(pivot!$A$2:$A$1946=Table3[[#This Row],[Müştəri adı]])*(pivot!$C$2:$C$1946=_xlfn.MAXIFS(pivot!$C$2:$C$1946,pivot!$A$2:$A$1946,Table3[[#This Row],[Müştəri adı]])),pivot!$B$2:$B$1946)</f>
        <v>MadeCallToRetentionTeam</v>
      </c>
      <c r="D365" s="22" cm="1">
        <f t="array" ref="D365">_xlfn.XLOOKUP(1,
  (pivot!$A$2:$A$1946=endirim!B365) * (pivot!$C$2:$C$1946 = _xlfn.MAXIFS(pivot!$C$2:$C$1946, pivot!$A$2:$A$1946, endirim!B365)),
  pivot!$D$2:$D$1946)</f>
        <v>16</v>
      </c>
      <c r="E365" s="3" t="str" cm="1">
        <f t="array" ref="E365">_xlfn.XLOOKUP(1,
    (pivot!$A$2:$A$1946=endirim!B365) * (pivot!$D$2:$D$1946 = _xlfn.MAXIFS(pivot!$D$2:$D$1946, pivot!$A$2:$A$1946, endirim!B365)),
    pivot!$B$2:$B$1946)</f>
        <v>MadeCallToRetentionTeam</v>
      </c>
      <c r="F365" s="22">
        <f>_xlfn.MAXIFS(pivot!$D$2:$D$1946, pivot!$A$2:$A$1946, endirim!B365)</f>
        <v>16</v>
      </c>
      <c r="G365" s="3" t="str">
        <f t="shared" si="5"/>
        <v>Təklif yoxdur</v>
      </c>
    </row>
    <row r="366" spans="2:7" x14ac:dyDescent="0.3">
      <c r="B366" t="s">
        <v>420</v>
      </c>
      <c r="C366" s="3" t="str" cm="1">
        <f t="array" ref="C366">_xlfn.XLOOKUP(1,(pivot!$A$2:$A$1946=Table3[[#This Row],[Müştəri adı]])*(pivot!$C$2:$C$1946=_xlfn.MAXIFS(pivot!$C$2:$C$1946,pivot!$A$2:$A$1946,Table3[[#This Row],[Müştəri adı]])),pivot!$B$2:$B$1946)</f>
        <v>OwnsMotorcycle</v>
      </c>
      <c r="D366" s="22" cm="1">
        <f t="array" ref="D366">_xlfn.XLOOKUP(1,
  (pivot!$A$2:$A$1946=endirim!B366) * (pivot!$C$2:$C$1946 = _xlfn.MAXIFS(pivot!$C$2:$C$1946, pivot!$A$2:$A$1946, endirim!B366)),
  pivot!$D$2:$D$1946)</f>
        <v>14</v>
      </c>
      <c r="E366" s="3" t="str" cm="1">
        <f t="array" ref="E366">_xlfn.XLOOKUP(1,
    (pivot!$A$2:$A$1946=endirim!B366) * (pivot!$D$2:$D$1946 = _xlfn.MAXIFS(pivot!$D$2:$D$1946, pivot!$A$2:$A$1946, endirim!B366)),
    pivot!$B$2:$B$1946)</f>
        <v>OwnsMotorcycle</v>
      </c>
      <c r="F366" s="22">
        <f>_xlfn.MAXIFS(pivot!$D$2:$D$1946, pivot!$A$2:$A$1946, endirim!B366)</f>
        <v>14</v>
      </c>
      <c r="G366" s="3" t="str">
        <f t="shared" si="5"/>
        <v>Təklif yoxdur</v>
      </c>
    </row>
    <row r="367" spans="2:7" x14ac:dyDescent="0.3">
      <c r="B367" t="s">
        <v>421</v>
      </c>
      <c r="C367" s="3" t="str" cm="1">
        <f t="array" ref="C367">_xlfn.XLOOKUP(1,(pivot!$A$2:$A$1946=Table3[[#This Row],[Müştəri adı]])*(pivot!$C$2:$C$1946=_xlfn.MAXIFS(pivot!$C$2:$C$1946,pivot!$A$2:$A$1946,Table3[[#This Row],[Müştəri adı]])),pivot!$B$2:$B$1946)</f>
        <v>OwnsMotorcycle</v>
      </c>
      <c r="D367" s="22" cm="1">
        <f t="array" ref="D367">_xlfn.XLOOKUP(1,
  (pivot!$A$2:$A$1946=endirim!B367) * (pivot!$C$2:$C$1946 = _xlfn.MAXIFS(pivot!$C$2:$C$1946, pivot!$A$2:$A$1946, endirim!B367)),
  pivot!$D$2:$D$1946)</f>
        <v>14</v>
      </c>
      <c r="E367" s="3" t="str" cm="1">
        <f t="array" ref="E367">_xlfn.XLOOKUP(1,
    (pivot!$A$2:$A$1946=endirim!B367) * (pivot!$D$2:$D$1946 = _xlfn.MAXIFS(pivot!$D$2:$D$1946, pivot!$A$2:$A$1946, endirim!B367)),
    pivot!$B$2:$B$1946)</f>
        <v>OwnsComputer</v>
      </c>
      <c r="F367" s="22">
        <f>_xlfn.MAXIFS(pivot!$D$2:$D$1946, pivot!$A$2:$A$1946, endirim!B367)</f>
        <v>62</v>
      </c>
      <c r="G367" s="3" t="str">
        <f t="shared" si="5"/>
        <v>OwnsComputer Kompaniyasını 20% endirimlə təklif et</v>
      </c>
    </row>
    <row r="368" spans="2:7" x14ac:dyDescent="0.3">
      <c r="B368" t="s">
        <v>422</v>
      </c>
      <c r="C368" s="3" t="str" cm="1">
        <f t="array" ref="C368">_xlfn.XLOOKUP(1,(pivot!$A$2:$A$1946=Table3[[#This Row],[Müştəri adı]])*(pivot!$C$2:$C$1946=_xlfn.MAXIFS(pivot!$C$2:$C$1946,pivot!$A$2:$A$1946,Table3[[#This Row],[Müştəri adı]])),pivot!$B$2:$B$1946)</f>
        <v>HasCreditCard</v>
      </c>
      <c r="D368" s="22" cm="1">
        <f t="array" ref="D368">_xlfn.XLOOKUP(1,
  (pivot!$A$2:$A$1946=endirim!B368) * (pivot!$C$2:$C$1946 = _xlfn.MAXIFS(pivot!$C$2:$C$1946, pivot!$A$2:$A$1946, endirim!B368)),
  pivot!$D$2:$D$1946)</f>
        <v>65</v>
      </c>
      <c r="E368" s="3" t="str" cm="1">
        <f t="array" ref="E368">_xlfn.XLOOKUP(1,
    (pivot!$A$2:$A$1946=endirim!B368) * (pivot!$D$2:$D$1946 = _xlfn.MAXIFS(pivot!$D$2:$D$1946, pivot!$A$2:$A$1946, endirim!B368)),
    pivot!$B$2:$B$1946)</f>
        <v>HasCreditCard</v>
      </c>
      <c r="F368" s="22">
        <f>_xlfn.MAXIFS(pivot!$D$2:$D$1946, pivot!$A$2:$A$1946, endirim!B368)</f>
        <v>65</v>
      </c>
      <c r="G368" s="3" t="str">
        <f t="shared" si="5"/>
        <v>Təklif yoxdur</v>
      </c>
    </row>
    <row r="369" spans="2:7" x14ac:dyDescent="0.3">
      <c r="B369" t="s">
        <v>423</v>
      </c>
      <c r="C369" s="3" t="str" cm="1">
        <f t="array" ref="C369">_xlfn.XLOOKUP(1,(pivot!$A$2:$A$1946=Table3[[#This Row],[Müştəri adı]])*(pivot!$C$2:$C$1946=_xlfn.MAXIFS(pivot!$C$2:$C$1946,pivot!$A$2:$A$1946,Table3[[#This Row],[Müştəri adı]])),pivot!$B$2:$B$1946)</f>
        <v>HandsetRefurbished</v>
      </c>
      <c r="D369" s="22" cm="1">
        <f t="array" ref="D369">_xlfn.XLOOKUP(1,
  (pivot!$A$2:$A$1946=endirim!B369) * (pivot!$C$2:$C$1946 = _xlfn.MAXIFS(pivot!$C$2:$C$1946, pivot!$A$2:$A$1946, endirim!B369)),
  pivot!$D$2:$D$1946)</f>
        <v>26</v>
      </c>
      <c r="E369" s="3" t="str" cm="1">
        <f t="array" ref="E369">_xlfn.XLOOKUP(1,
    (pivot!$A$2:$A$1946=endirim!B369) * (pivot!$D$2:$D$1946 = _xlfn.MAXIFS(pivot!$D$2:$D$1946, pivot!$A$2:$A$1946, endirim!B369)),
    pivot!$B$2:$B$1946)</f>
        <v>OwnsComputer</v>
      </c>
      <c r="F369" s="22">
        <f>_xlfn.MAXIFS(pivot!$D$2:$D$1946, pivot!$A$2:$A$1946, endirim!B369)</f>
        <v>62</v>
      </c>
      <c r="G369" s="3" t="str">
        <f t="shared" si="5"/>
        <v>OwnsComputer Kompaniyasını 20% endirimlə təklif et</v>
      </c>
    </row>
    <row r="370" spans="2:7" x14ac:dyDescent="0.3">
      <c r="B370" t="s">
        <v>424</v>
      </c>
      <c r="C370" s="3" t="str" cm="1">
        <f t="array" ref="C370">_xlfn.XLOOKUP(1,(pivot!$A$2:$A$1946=Table3[[#This Row],[Müştəri adı]])*(pivot!$C$2:$C$1946=_xlfn.MAXIFS(pivot!$C$2:$C$1946,pivot!$A$2:$A$1946,Table3[[#This Row],[Müştəri adı]])),pivot!$B$2:$B$1946)</f>
        <v>MaritalStatus</v>
      </c>
      <c r="D370" s="22" cm="1">
        <f t="array" ref="D370">_xlfn.XLOOKUP(1,
  (pivot!$A$2:$A$1946=endirim!B370) * (pivot!$C$2:$C$1946 = _xlfn.MAXIFS(pivot!$C$2:$C$1946, pivot!$A$2:$A$1946, endirim!B370)),
  pivot!$D$2:$D$1946)</f>
        <v>29</v>
      </c>
      <c r="E370" s="3" t="str" cm="1">
        <f t="array" ref="E370">_xlfn.XLOOKUP(1,
    (pivot!$A$2:$A$1946=endirim!B370) * (pivot!$D$2:$D$1946 = _xlfn.MAXIFS(pivot!$D$2:$D$1946, pivot!$A$2:$A$1946, endirim!B370)),
    pivot!$B$2:$B$1946)</f>
        <v>MaritalStatus</v>
      </c>
      <c r="F370" s="22">
        <f>_xlfn.MAXIFS(pivot!$D$2:$D$1946, pivot!$A$2:$A$1946, endirim!B370)</f>
        <v>29</v>
      </c>
      <c r="G370" s="3" t="str">
        <f t="shared" si="5"/>
        <v>Təklif yoxdur</v>
      </c>
    </row>
    <row r="371" spans="2:7" x14ac:dyDescent="0.3">
      <c r="B371" t="s">
        <v>425</v>
      </c>
      <c r="C371" s="3" t="str" cm="1">
        <f t="array" ref="C371">_xlfn.XLOOKUP(1,(pivot!$A$2:$A$1946=Table3[[#This Row],[Müştəri adı]])*(pivot!$C$2:$C$1946=_xlfn.MAXIFS(pivot!$C$2:$C$1946,pivot!$A$2:$A$1946,Table3[[#This Row],[Müştəri adı]])),pivot!$B$2:$B$1946)</f>
        <v>NonUSTravel</v>
      </c>
      <c r="D371" s="22" cm="1">
        <f t="array" ref="D371">_xlfn.XLOOKUP(1,
  (pivot!$A$2:$A$1946=endirim!B371) * (pivot!$C$2:$C$1946 = _xlfn.MAXIFS(pivot!$C$2:$C$1946, pivot!$A$2:$A$1946, endirim!B371)),
  pivot!$D$2:$D$1946)</f>
        <v>66</v>
      </c>
      <c r="E371" s="3" t="str" cm="1">
        <f t="array" ref="E371">_xlfn.XLOOKUP(1,
    (pivot!$A$2:$A$1946=endirim!B371) * (pivot!$D$2:$D$1946 = _xlfn.MAXIFS(pivot!$D$2:$D$1946, pivot!$A$2:$A$1946, endirim!B371)),
    pivot!$B$2:$B$1946)</f>
        <v>NonUSTravel</v>
      </c>
      <c r="F371" s="22">
        <f>_xlfn.MAXIFS(pivot!$D$2:$D$1946, pivot!$A$2:$A$1946, endirim!B371)</f>
        <v>66</v>
      </c>
      <c r="G371" s="3" t="str">
        <f t="shared" si="5"/>
        <v>Təklif yoxdur</v>
      </c>
    </row>
    <row r="372" spans="2:7" x14ac:dyDescent="0.3">
      <c r="B372" t="s">
        <v>426</v>
      </c>
      <c r="C372" s="3" t="str" cm="1">
        <f t="array" ref="C372">_xlfn.XLOOKUP(1,(pivot!$A$2:$A$1946=Table3[[#This Row],[Müştəri adı]])*(pivot!$C$2:$C$1946=_xlfn.MAXIFS(pivot!$C$2:$C$1946,pivot!$A$2:$A$1946,Table3[[#This Row],[Müştəri adı]])),pivot!$B$2:$B$1946)</f>
        <v>RVOwner</v>
      </c>
      <c r="D372" s="22" cm="1">
        <f t="array" ref="D372">_xlfn.XLOOKUP(1,
  (pivot!$A$2:$A$1946=endirim!B372) * (pivot!$C$2:$C$1946 = _xlfn.MAXIFS(pivot!$C$2:$C$1946, pivot!$A$2:$A$1946, endirim!B372)),
  pivot!$D$2:$D$1946)</f>
        <v>22</v>
      </c>
      <c r="E372" s="3" t="str" cm="1">
        <f t="array" ref="E372">_xlfn.XLOOKUP(1,
    (pivot!$A$2:$A$1946=endirim!B372) * (pivot!$D$2:$D$1946 = _xlfn.MAXIFS(pivot!$D$2:$D$1946, pivot!$A$2:$A$1946, endirim!B372)),
    pivot!$B$2:$B$1946)</f>
        <v>HandsetRefurbished</v>
      </c>
      <c r="F372" s="22">
        <f>_xlfn.MAXIFS(pivot!$D$2:$D$1946, pivot!$A$2:$A$1946, endirim!B372)</f>
        <v>26</v>
      </c>
      <c r="G372" s="3" t="str">
        <f t="shared" si="5"/>
        <v>HandsetRefurbished Kompaniyasını 20% endirimlə təklif et</v>
      </c>
    </row>
    <row r="373" spans="2:7" x14ac:dyDescent="0.3">
      <c r="B373" t="s">
        <v>427</v>
      </c>
      <c r="C373" s="3" t="str" cm="1">
        <f t="array" ref="C373">_xlfn.XLOOKUP(1,(pivot!$A$2:$A$1946=Table3[[#This Row],[Müştəri adı]])*(pivot!$C$2:$C$1946=_xlfn.MAXIFS(pivot!$C$2:$C$1946,pivot!$A$2:$A$1946,Table3[[#This Row],[Müştəri adı]])),pivot!$B$2:$B$1946)</f>
        <v>MaritalStatus</v>
      </c>
      <c r="D373" s="22" cm="1">
        <f t="array" ref="D373">_xlfn.XLOOKUP(1,
  (pivot!$A$2:$A$1946=endirim!B373) * (pivot!$C$2:$C$1946 = _xlfn.MAXIFS(pivot!$C$2:$C$1946, pivot!$A$2:$A$1946, endirim!B373)),
  pivot!$D$2:$D$1946)</f>
        <v>29</v>
      </c>
      <c r="E373" s="3" t="str" cm="1">
        <f t="array" ref="E373">_xlfn.XLOOKUP(1,
    (pivot!$A$2:$A$1946=endirim!B373) * (pivot!$D$2:$D$1946 = _xlfn.MAXIFS(pivot!$D$2:$D$1946, pivot!$A$2:$A$1946, endirim!B373)),
    pivot!$B$2:$B$1946)</f>
        <v>MaritalStatus</v>
      </c>
      <c r="F373" s="22">
        <f>_xlfn.MAXIFS(pivot!$D$2:$D$1946, pivot!$A$2:$A$1946, endirim!B373)</f>
        <v>29</v>
      </c>
      <c r="G373" s="3" t="str">
        <f t="shared" si="5"/>
        <v>Təklif yoxdur</v>
      </c>
    </row>
    <row r="374" spans="2:7" x14ac:dyDescent="0.3">
      <c r="B374" t="s">
        <v>428</v>
      </c>
      <c r="C374" s="3" t="str" cm="1">
        <f t="array" ref="C374">_xlfn.XLOOKUP(1,(pivot!$A$2:$A$1946=Table3[[#This Row],[Müştəri adı]])*(pivot!$C$2:$C$1946=_xlfn.MAXIFS(pivot!$C$2:$C$1946,pivot!$A$2:$A$1946,Table3[[#This Row],[Müştəri adı]])),pivot!$B$2:$B$1946)</f>
        <v>TruckOwner</v>
      </c>
      <c r="D374" s="22" cm="1">
        <f t="array" ref="D374">_xlfn.XLOOKUP(1,
  (pivot!$A$2:$A$1946=endirim!B374) * (pivot!$C$2:$C$1946 = _xlfn.MAXIFS(pivot!$C$2:$C$1946, pivot!$A$2:$A$1946, endirim!B374)),
  pivot!$D$2:$D$1946)</f>
        <v>26</v>
      </c>
      <c r="E374" s="3" t="str" cm="1">
        <f t="array" ref="E374">_xlfn.XLOOKUP(1,
    (pivot!$A$2:$A$1946=endirim!B374) * (pivot!$D$2:$D$1946 = _xlfn.MAXIFS(pivot!$D$2:$D$1946, pivot!$A$2:$A$1946, endirim!B374)),
    pivot!$B$2:$B$1946)</f>
        <v>TruckOwner</v>
      </c>
      <c r="F374" s="22">
        <f>_xlfn.MAXIFS(pivot!$D$2:$D$1946, pivot!$A$2:$A$1946, endirim!B374)</f>
        <v>26</v>
      </c>
      <c r="G374" s="3" t="str">
        <f t="shared" si="5"/>
        <v>Təklif yoxdur</v>
      </c>
    </row>
    <row r="375" spans="2:7" x14ac:dyDescent="0.3">
      <c r="B375" t="s">
        <v>429</v>
      </c>
      <c r="C375" s="3" t="str" cm="1">
        <f t="array" ref="C375">_xlfn.XLOOKUP(1,(pivot!$A$2:$A$1946=Table3[[#This Row],[Müştəri adı]])*(pivot!$C$2:$C$1946=_xlfn.MAXIFS(pivot!$C$2:$C$1946,pivot!$A$2:$A$1946,Table3[[#This Row],[Müştəri adı]])),pivot!$B$2:$B$1946)</f>
        <v>HandsetWebCapable</v>
      </c>
      <c r="D375" s="22" cm="1">
        <f t="array" ref="D375">_xlfn.XLOOKUP(1,
  (pivot!$A$2:$A$1946=endirim!B375) * (pivot!$C$2:$C$1946 = _xlfn.MAXIFS(pivot!$C$2:$C$1946, pivot!$A$2:$A$1946, endirim!B375)),
  pivot!$D$2:$D$1946)</f>
        <v>62</v>
      </c>
      <c r="E375" s="3" t="str" cm="1">
        <f t="array" ref="E375">_xlfn.XLOOKUP(1,
    (pivot!$A$2:$A$1946=endirim!B375) * (pivot!$D$2:$D$1946 = _xlfn.MAXIFS(pivot!$D$2:$D$1946, pivot!$A$2:$A$1946, endirim!B375)),
    pivot!$B$2:$B$1946)</f>
        <v>HandsetWebCapable</v>
      </c>
      <c r="F375" s="22">
        <f>_xlfn.MAXIFS(pivot!$D$2:$D$1946, pivot!$A$2:$A$1946, endirim!B375)</f>
        <v>62</v>
      </c>
      <c r="G375" s="3" t="str">
        <f t="shared" si="5"/>
        <v>Təklif yoxdur</v>
      </c>
    </row>
    <row r="376" spans="2:7" x14ac:dyDescent="0.3">
      <c r="B376" t="s">
        <v>430</v>
      </c>
      <c r="C376" s="3" t="str" cm="1">
        <f t="array" ref="C376">_xlfn.XLOOKUP(1,(pivot!$A$2:$A$1946=Table3[[#This Row],[Müştəri adı]])*(pivot!$C$2:$C$1946=_xlfn.MAXIFS(pivot!$C$2:$C$1946,pivot!$A$2:$A$1946,Table3[[#This Row],[Müştəri adı]])),pivot!$B$2:$B$1946)</f>
        <v>OwnsMotorcycle</v>
      </c>
      <c r="D376" s="22" cm="1">
        <f t="array" ref="D376">_xlfn.XLOOKUP(1,
  (pivot!$A$2:$A$1946=endirim!B376) * (pivot!$C$2:$C$1946 = _xlfn.MAXIFS(pivot!$C$2:$C$1946, pivot!$A$2:$A$1946, endirim!B376)),
  pivot!$D$2:$D$1946)</f>
        <v>14</v>
      </c>
      <c r="E376" s="3" t="str" cm="1">
        <f t="array" ref="E376">_xlfn.XLOOKUP(1,
    (pivot!$A$2:$A$1946=endirim!B376) * (pivot!$D$2:$D$1946 = _xlfn.MAXIFS(pivot!$D$2:$D$1946, pivot!$A$2:$A$1946, endirim!B376)),
    pivot!$B$2:$B$1946)</f>
        <v>OwnsMotorcycle</v>
      </c>
      <c r="F376" s="22">
        <f>_xlfn.MAXIFS(pivot!$D$2:$D$1946, pivot!$A$2:$A$1946, endirim!B376)</f>
        <v>14</v>
      </c>
      <c r="G376" s="3" t="str">
        <f t="shared" si="5"/>
        <v>Təklif yoxdur</v>
      </c>
    </row>
    <row r="377" spans="2:7" x14ac:dyDescent="0.3">
      <c r="B377" t="s">
        <v>431</v>
      </c>
      <c r="C377" s="3" t="str" cm="1">
        <f t="array" ref="C377">_xlfn.XLOOKUP(1,(pivot!$A$2:$A$1946=Table3[[#This Row],[Müştəri adı]])*(pivot!$C$2:$C$1946=_xlfn.MAXIFS(pivot!$C$2:$C$1946,pivot!$A$2:$A$1946,Table3[[#This Row],[Müştəri adı]])),pivot!$B$2:$B$1946)</f>
        <v>OwnsMotorcycle</v>
      </c>
      <c r="D377" s="22" cm="1">
        <f t="array" ref="D377">_xlfn.XLOOKUP(1,
  (pivot!$A$2:$A$1946=endirim!B377) * (pivot!$C$2:$C$1946 = _xlfn.MAXIFS(pivot!$C$2:$C$1946, pivot!$A$2:$A$1946, endirim!B377)),
  pivot!$D$2:$D$1946)</f>
        <v>14</v>
      </c>
      <c r="E377" s="3" t="str" cm="1">
        <f t="array" ref="E377">_xlfn.XLOOKUP(1,
    (pivot!$A$2:$A$1946=endirim!B377) * (pivot!$D$2:$D$1946 = _xlfn.MAXIFS(pivot!$D$2:$D$1946, pivot!$A$2:$A$1946, endirim!B377)),
    pivot!$B$2:$B$1946)</f>
        <v>RVOwner</v>
      </c>
      <c r="F377" s="22">
        <f>_xlfn.MAXIFS(pivot!$D$2:$D$1946, pivot!$A$2:$A$1946, endirim!B377)</f>
        <v>22</v>
      </c>
      <c r="G377" s="3" t="str">
        <f t="shared" si="5"/>
        <v>RVOwner Kompaniyasını 20% endirimlə təklif et</v>
      </c>
    </row>
    <row r="378" spans="2:7" x14ac:dyDescent="0.3">
      <c r="B378" t="s">
        <v>432</v>
      </c>
      <c r="C378" s="3" t="str" cm="1">
        <f t="array" ref="C378">_xlfn.XLOOKUP(1,(pivot!$A$2:$A$1946=Table3[[#This Row],[Müştəri adı]])*(pivot!$C$2:$C$1946=_xlfn.MAXIFS(pivot!$C$2:$C$1946,pivot!$A$2:$A$1946,Table3[[#This Row],[Müştəri adı]])),pivot!$B$2:$B$1946)</f>
        <v>MadeCallToRetentionTeam</v>
      </c>
      <c r="D378" s="22" cm="1">
        <f t="array" ref="D378">_xlfn.XLOOKUP(1,
  (pivot!$A$2:$A$1946=endirim!B378) * (pivot!$C$2:$C$1946 = _xlfn.MAXIFS(pivot!$C$2:$C$1946, pivot!$A$2:$A$1946, endirim!B378)),
  pivot!$D$2:$D$1946)</f>
        <v>16</v>
      </c>
      <c r="E378" s="3" t="str" cm="1">
        <f t="array" ref="E378">_xlfn.XLOOKUP(1,
    (pivot!$A$2:$A$1946=endirim!B378) * (pivot!$D$2:$D$1946 = _xlfn.MAXIFS(pivot!$D$2:$D$1946, pivot!$A$2:$A$1946, endirim!B378)),
    pivot!$B$2:$B$1946)</f>
        <v>MadeCallToRetentionTeam</v>
      </c>
      <c r="F378" s="22">
        <f>_xlfn.MAXIFS(pivot!$D$2:$D$1946, pivot!$A$2:$A$1946, endirim!B378)</f>
        <v>16</v>
      </c>
      <c r="G378" s="3" t="str">
        <f t="shared" si="5"/>
        <v>Təklif yoxdur</v>
      </c>
    </row>
    <row r="379" spans="2:7" x14ac:dyDescent="0.3">
      <c r="B379" t="s">
        <v>433</v>
      </c>
      <c r="C379" s="3" t="str" cm="1">
        <f t="array" ref="C379">_xlfn.XLOOKUP(1,(pivot!$A$2:$A$1946=Table3[[#This Row],[Müştəri adı]])*(pivot!$C$2:$C$1946=_xlfn.MAXIFS(pivot!$C$2:$C$1946,pivot!$A$2:$A$1946,Table3[[#This Row],[Müştəri adı]])),pivot!$B$2:$B$1946)</f>
        <v>MadeCallToRetentionTeam</v>
      </c>
      <c r="D379" s="22" cm="1">
        <f t="array" ref="D379">_xlfn.XLOOKUP(1,
  (pivot!$A$2:$A$1946=endirim!B379) * (pivot!$C$2:$C$1946 = _xlfn.MAXIFS(pivot!$C$2:$C$1946, pivot!$A$2:$A$1946, endirim!B379)),
  pivot!$D$2:$D$1946)</f>
        <v>16</v>
      </c>
      <c r="E379" s="3" t="str" cm="1">
        <f t="array" ref="E379">_xlfn.XLOOKUP(1,
    (pivot!$A$2:$A$1946=endirim!B379) * (pivot!$D$2:$D$1946 = _xlfn.MAXIFS(pivot!$D$2:$D$1946, pivot!$A$2:$A$1946, endirim!B379)),
    pivot!$B$2:$B$1946)</f>
        <v>OwnsComputer</v>
      </c>
      <c r="F379" s="22">
        <f>_xlfn.MAXIFS(pivot!$D$2:$D$1946, pivot!$A$2:$A$1946, endirim!B379)</f>
        <v>62</v>
      </c>
      <c r="G379" s="3" t="str">
        <f t="shared" si="5"/>
        <v>OwnsComputer Kompaniyasını 20% endirimlə təklif et</v>
      </c>
    </row>
    <row r="380" spans="2:7" x14ac:dyDescent="0.3">
      <c r="B380" t="s">
        <v>434</v>
      </c>
      <c r="C380" s="3" t="str" cm="1">
        <f t="array" ref="C380">_xlfn.XLOOKUP(1,(pivot!$A$2:$A$1946=Table3[[#This Row],[Müştəri adı]])*(pivot!$C$2:$C$1946=_xlfn.MAXIFS(pivot!$C$2:$C$1946,pivot!$A$2:$A$1946,Table3[[#This Row],[Müştəri adı]])),pivot!$B$2:$B$1946)</f>
        <v>TruckOwner</v>
      </c>
      <c r="D380" s="22" cm="1">
        <f t="array" ref="D380">_xlfn.XLOOKUP(1,
  (pivot!$A$2:$A$1946=endirim!B380) * (pivot!$C$2:$C$1946 = _xlfn.MAXIFS(pivot!$C$2:$C$1946, pivot!$A$2:$A$1946, endirim!B380)),
  pivot!$D$2:$D$1946)</f>
        <v>26</v>
      </c>
      <c r="E380" s="3" t="str" cm="1">
        <f t="array" ref="E380">_xlfn.XLOOKUP(1,
    (pivot!$A$2:$A$1946=endirim!B380) * (pivot!$D$2:$D$1946 = _xlfn.MAXIFS(pivot!$D$2:$D$1946, pivot!$A$2:$A$1946, endirim!B380)),
    pivot!$B$2:$B$1946)</f>
        <v>TruckOwner</v>
      </c>
      <c r="F380" s="22">
        <f>_xlfn.MAXIFS(pivot!$D$2:$D$1946, pivot!$A$2:$A$1946, endirim!B380)</f>
        <v>26</v>
      </c>
      <c r="G380" s="3" t="str">
        <f t="shared" si="5"/>
        <v>Təklif yoxdur</v>
      </c>
    </row>
    <row r="381" spans="2:7" x14ac:dyDescent="0.3">
      <c r="B381" t="s">
        <v>435</v>
      </c>
      <c r="C381" s="3" t="str" cm="1">
        <f t="array" ref="C381">_xlfn.XLOOKUP(1,(pivot!$A$2:$A$1946=Table3[[#This Row],[Müştəri adı]])*(pivot!$C$2:$C$1946=_xlfn.MAXIFS(pivot!$C$2:$C$1946,pivot!$A$2:$A$1946,Table3[[#This Row],[Müştəri adı]])),pivot!$B$2:$B$1946)</f>
        <v>RVOwner</v>
      </c>
      <c r="D381" s="22" cm="1">
        <f t="array" ref="D381">_xlfn.XLOOKUP(1,
  (pivot!$A$2:$A$1946=endirim!B381) * (pivot!$C$2:$C$1946 = _xlfn.MAXIFS(pivot!$C$2:$C$1946, pivot!$A$2:$A$1946, endirim!B381)),
  pivot!$D$2:$D$1946)</f>
        <v>22</v>
      </c>
      <c r="E381" s="3" t="str" cm="1">
        <f t="array" ref="E381">_xlfn.XLOOKUP(1,
    (pivot!$A$2:$A$1946=endirim!B381) * (pivot!$D$2:$D$1946 = _xlfn.MAXIFS(pivot!$D$2:$D$1946, pivot!$A$2:$A$1946, endirim!B381)),
    pivot!$B$2:$B$1946)</f>
        <v>RVOwner</v>
      </c>
      <c r="F381" s="22">
        <f>_xlfn.MAXIFS(pivot!$D$2:$D$1946, pivot!$A$2:$A$1946, endirim!B381)</f>
        <v>22</v>
      </c>
      <c r="G381" s="3" t="str">
        <f t="shared" si="5"/>
        <v>Təklif yoxdur</v>
      </c>
    </row>
    <row r="382" spans="2:7" x14ac:dyDescent="0.3">
      <c r="B382" t="s">
        <v>436</v>
      </c>
      <c r="C382" s="3" t="str" cm="1">
        <f t="array" ref="C382">_xlfn.XLOOKUP(1,(pivot!$A$2:$A$1946=Table3[[#This Row],[Müştəri adı]])*(pivot!$C$2:$C$1946=_xlfn.MAXIFS(pivot!$C$2:$C$1946,pivot!$A$2:$A$1946,Table3[[#This Row],[Müştəri adı]])),pivot!$B$2:$B$1946)</f>
        <v>OptOutMailings</v>
      </c>
      <c r="D382" s="22" cm="1">
        <f t="array" ref="D382">_xlfn.XLOOKUP(1,
  (pivot!$A$2:$A$1946=endirim!B382) * (pivot!$C$2:$C$1946 = _xlfn.MAXIFS(pivot!$C$2:$C$1946, pivot!$A$2:$A$1946, endirim!B382)),
  pivot!$D$2:$D$1946)</f>
        <v>75</v>
      </c>
      <c r="E382" s="3" t="str" cm="1">
        <f t="array" ref="E382">_xlfn.XLOOKUP(1,
    (pivot!$A$2:$A$1946=endirim!B382) * (pivot!$D$2:$D$1946 = _xlfn.MAXIFS(pivot!$D$2:$D$1946, pivot!$A$2:$A$1946, endirim!B382)),
    pivot!$B$2:$B$1946)</f>
        <v>OptOutMailings</v>
      </c>
      <c r="F382" s="22">
        <f>_xlfn.MAXIFS(pivot!$D$2:$D$1946, pivot!$A$2:$A$1946, endirim!B382)</f>
        <v>75</v>
      </c>
      <c r="G382" s="3" t="str">
        <f t="shared" si="5"/>
        <v>Təklif yoxdur</v>
      </c>
    </row>
    <row r="383" spans="2:7" x14ac:dyDescent="0.3">
      <c r="B383" t="s">
        <v>437</v>
      </c>
      <c r="C383" s="3" t="str" cm="1">
        <f t="array" ref="C383">_xlfn.XLOOKUP(1,(pivot!$A$2:$A$1946=Table3[[#This Row],[Müştəri adı]])*(pivot!$C$2:$C$1946=_xlfn.MAXIFS(pivot!$C$2:$C$1946,pivot!$A$2:$A$1946,Table3[[#This Row],[Müştəri adı]])),pivot!$B$2:$B$1946)</f>
        <v>NonUSTravel</v>
      </c>
      <c r="D383" s="22" cm="1">
        <f t="array" ref="D383">_xlfn.XLOOKUP(1,
  (pivot!$A$2:$A$1946=endirim!B383) * (pivot!$C$2:$C$1946 = _xlfn.MAXIFS(pivot!$C$2:$C$1946, pivot!$A$2:$A$1946, endirim!B383)),
  pivot!$D$2:$D$1946)</f>
        <v>66</v>
      </c>
      <c r="E383" s="3" t="str" cm="1">
        <f t="array" ref="E383">_xlfn.XLOOKUP(1,
    (pivot!$A$2:$A$1946=endirim!B383) * (pivot!$D$2:$D$1946 = _xlfn.MAXIFS(pivot!$D$2:$D$1946, pivot!$A$2:$A$1946, endirim!B383)),
    pivot!$B$2:$B$1946)</f>
        <v>NonUSTravel</v>
      </c>
      <c r="F383" s="22">
        <f>_xlfn.MAXIFS(pivot!$D$2:$D$1946, pivot!$A$2:$A$1946, endirim!B383)</f>
        <v>66</v>
      </c>
      <c r="G383" s="3" t="str">
        <f t="shared" si="5"/>
        <v>Təklif yoxdur</v>
      </c>
    </row>
    <row r="384" spans="2:7" x14ac:dyDescent="0.3">
      <c r="B384" t="s">
        <v>438</v>
      </c>
      <c r="C384" s="3" t="str" cm="1">
        <f t="array" ref="C384">_xlfn.XLOOKUP(1,(pivot!$A$2:$A$1946=Table3[[#This Row],[Müştəri adı]])*(pivot!$C$2:$C$1946=_xlfn.MAXIFS(pivot!$C$2:$C$1946,pivot!$A$2:$A$1946,Table3[[#This Row],[Müştəri adı]])),pivot!$B$2:$B$1946)</f>
        <v>BuysViaMailOrder</v>
      </c>
      <c r="D384" s="22" cm="1">
        <f t="array" ref="D384">_xlfn.XLOOKUP(1,
  (pivot!$A$2:$A$1946=endirim!B384) * (pivot!$C$2:$C$1946 = _xlfn.MAXIFS(pivot!$C$2:$C$1946, pivot!$A$2:$A$1946, endirim!B384)),
  pivot!$D$2:$D$1946)</f>
        <v>25</v>
      </c>
      <c r="E384" s="3" t="str" cm="1">
        <f t="array" ref="E384">_xlfn.XLOOKUP(1,
    (pivot!$A$2:$A$1946=endirim!B384) * (pivot!$D$2:$D$1946 = _xlfn.MAXIFS(pivot!$D$2:$D$1946, pivot!$A$2:$A$1946, endirim!B384)),
    pivot!$B$2:$B$1946)</f>
        <v>HandsetWebCapable</v>
      </c>
      <c r="F384" s="22">
        <f>_xlfn.MAXIFS(pivot!$D$2:$D$1946, pivot!$A$2:$A$1946, endirim!B384)</f>
        <v>62</v>
      </c>
      <c r="G384" s="3" t="str">
        <f t="shared" si="5"/>
        <v>HandsetWebCapable Kompaniyasını 20% endirimlə təklif et</v>
      </c>
    </row>
    <row r="385" spans="2:7" x14ac:dyDescent="0.3">
      <c r="B385" t="s">
        <v>439</v>
      </c>
      <c r="C385" s="3" t="str" cm="1">
        <f t="array" ref="C385">_xlfn.XLOOKUP(1,(pivot!$A$2:$A$1946=Table3[[#This Row],[Müştəri adı]])*(pivot!$C$2:$C$1946=_xlfn.MAXIFS(pivot!$C$2:$C$1946,pivot!$A$2:$A$1946,Table3[[#This Row],[Müştəri adı]])),pivot!$B$2:$B$1946)</f>
        <v>Homeownership</v>
      </c>
      <c r="D385" s="22" cm="1">
        <f t="array" ref="D385">_xlfn.XLOOKUP(1,
  (pivot!$A$2:$A$1946=endirim!B385) * (pivot!$C$2:$C$1946 = _xlfn.MAXIFS(pivot!$C$2:$C$1946, pivot!$A$2:$A$1946, endirim!B385)),
  pivot!$D$2:$D$1946)</f>
        <v>13</v>
      </c>
      <c r="E385" s="3" t="str" cm="1">
        <f t="array" ref="E385">_xlfn.XLOOKUP(1,
    (pivot!$A$2:$A$1946=endirim!B385) * (pivot!$D$2:$D$1946 = _xlfn.MAXIFS(pivot!$D$2:$D$1946, pivot!$A$2:$A$1946, endirim!B385)),
    pivot!$B$2:$B$1946)</f>
        <v>MadeCallToRetentionTeam</v>
      </c>
      <c r="F385" s="22">
        <f>_xlfn.MAXIFS(pivot!$D$2:$D$1946, pivot!$A$2:$A$1946, endirim!B385)</f>
        <v>16</v>
      </c>
      <c r="G385" s="3" t="str">
        <f t="shared" si="5"/>
        <v>MadeCallToRetentionTeam Kompaniyasını 20% endirimlə təklif et</v>
      </c>
    </row>
    <row r="386" spans="2:7" x14ac:dyDescent="0.3">
      <c r="B386" t="s">
        <v>440</v>
      </c>
      <c r="C386" s="3" t="str" cm="1">
        <f t="array" ref="C386">_xlfn.XLOOKUP(1,(pivot!$A$2:$A$1946=Table3[[#This Row],[Müştəri adı]])*(pivot!$C$2:$C$1946=_xlfn.MAXIFS(pivot!$C$2:$C$1946,pivot!$A$2:$A$1946,Table3[[#This Row],[Müştəri adı]])),pivot!$B$2:$B$1946)</f>
        <v>MaritalStatus</v>
      </c>
      <c r="D386" s="22" cm="1">
        <f t="array" ref="D386">_xlfn.XLOOKUP(1,
  (pivot!$A$2:$A$1946=endirim!B386) * (pivot!$C$2:$C$1946 = _xlfn.MAXIFS(pivot!$C$2:$C$1946, pivot!$A$2:$A$1946, endirim!B386)),
  pivot!$D$2:$D$1946)</f>
        <v>29</v>
      </c>
      <c r="E386" s="3" t="str" cm="1">
        <f t="array" ref="E386">_xlfn.XLOOKUP(1,
    (pivot!$A$2:$A$1946=endirim!B386) * (pivot!$D$2:$D$1946 = _xlfn.MAXIFS(pivot!$D$2:$D$1946, pivot!$A$2:$A$1946, endirim!B386)),
    pivot!$B$2:$B$1946)</f>
        <v>MaritalStatus</v>
      </c>
      <c r="F386" s="22">
        <f>_xlfn.MAXIFS(pivot!$D$2:$D$1946, pivot!$A$2:$A$1946, endirim!B386)</f>
        <v>29</v>
      </c>
      <c r="G386" s="3" t="str">
        <f t="shared" si="5"/>
        <v>Təklif yoxdur</v>
      </c>
    </row>
    <row r="387" spans="2:7" x14ac:dyDescent="0.3">
      <c r="B387" t="s">
        <v>441</v>
      </c>
      <c r="C387" s="3" t="str" cm="1">
        <f t="array" ref="C387">_xlfn.XLOOKUP(1,(pivot!$A$2:$A$1946=Table3[[#This Row],[Müştəri adı]])*(pivot!$C$2:$C$1946=_xlfn.MAXIFS(pivot!$C$2:$C$1946,pivot!$A$2:$A$1946,Table3[[#This Row],[Müştəri adı]])),pivot!$B$2:$B$1946)</f>
        <v>MadeCallToRetentionTeam</v>
      </c>
      <c r="D387" s="22" cm="1">
        <f t="array" ref="D387">_xlfn.XLOOKUP(1,
  (pivot!$A$2:$A$1946=endirim!B387) * (pivot!$C$2:$C$1946 = _xlfn.MAXIFS(pivot!$C$2:$C$1946, pivot!$A$2:$A$1946, endirim!B387)),
  pivot!$D$2:$D$1946)</f>
        <v>16</v>
      </c>
      <c r="E387" s="3" t="str" cm="1">
        <f t="array" ref="E387">_xlfn.XLOOKUP(1,
    (pivot!$A$2:$A$1946=endirim!B387) * (pivot!$D$2:$D$1946 = _xlfn.MAXIFS(pivot!$D$2:$D$1946, pivot!$A$2:$A$1946, endirim!B387)),
    pivot!$B$2:$B$1946)</f>
        <v>MadeCallToRetentionTeam</v>
      </c>
      <c r="F387" s="22">
        <f>_xlfn.MAXIFS(pivot!$D$2:$D$1946, pivot!$A$2:$A$1946, endirim!B387)</f>
        <v>16</v>
      </c>
      <c r="G387" s="3" t="str">
        <f t="shared" si="5"/>
        <v>Təklif yoxdur</v>
      </c>
    </row>
    <row r="388" spans="2:7" x14ac:dyDescent="0.3">
      <c r="B388" t="s">
        <v>442</v>
      </c>
      <c r="C388" s="3" t="str" cm="1">
        <f t="array" ref="C388">_xlfn.XLOOKUP(1,(pivot!$A$2:$A$1946=Table3[[#This Row],[Müştəri adı]])*(pivot!$C$2:$C$1946=_xlfn.MAXIFS(pivot!$C$2:$C$1946,pivot!$A$2:$A$1946,Table3[[#This Row],[Müştəri adı]])),pivot!$B$2:$B$1946)</f>
        <v>TruckOwner</v>
      </c>
      <c r="D388" s="22" cm="1">
        <f t="array" ref="D388">_xlfn.XLOOKUP(1,
  (pivot!$A$2:$A$1946=endirim!B388) * (pivot!$C$2:$C$1946 = _xlfn.MAXIFS(pivot!$C$2:$C$1946, pivot!$A$2:$A$1946, endirim!B388)),
  pivot!$D$2:$D$1946)</f>
        <v>26</v>
      </c>
      <c r="E388" s="3" t="str" cm="1">
        <f t="array" ref="E388">_xlfn.XLOOKUP(1,
    (pivot!$A$2:$A$1946=endirim!B388) * (pivot!$D$2:$D$1946 = _xlfn.MAXIFS(pivot!$D$2:$D$1946, pivot!$A$2:$A$1946, endirim!B388)),
    pivot!$B$2:$B$1946)</f>
        <v>RespondsToMailOffers</v>
      </c>
      <c r="F388" s="22">
        <f>_xlfn.MAXIFS(pivot!$D$2:$D$1946, pivot!$A$2:$A$1946, endirim!B388)</f>
        <v>27</v>
      </c>
      <c r="G388" s="3" t="str">
        <f t="shared" ref="G388:G451" si="6">IF(D388=F388, "Təklif yoxdur", E388&amp;" Kompaniyasını 20% endirimlə təklif et")</f>
        <v>RespondsToMailOffers Kompaniyasını 20% endirimlə təklif et</v>
      </c>
    </row>
    <row r="389" spans="2:7" x14ac:dyDescent="0.3">
      <c r="B389" t="s">
        <v>443</v>
      </c>
      <c r="C389" s="3" t="str" cm="1">
        <f t="array" ref="C389">_xlfn.XLOOKUP(1,(pivot!$A$2:$A$1946=Table3[[#This Row],[Müştəri adı]])*(pivot!$C$2:$C$1946=_xlfn.MAXIFS(pivot!$C$2:$C$1946,pivot!$A$2:$A$1946,Table3[[#This Row],[Müştəri adı]])),pivot!$B$2:$B$1946)</f>
        <v>HasCreditCard</v>
      </c>
      <c r="D389" s="22" cm="1">
        <f t="array" ref="D389">_xlfn.XLOOKUP(1,
  (pivot!$A$2:$A$1946=endirim!B389) * (pivot!$C$2:$C$1946 = _xlfn.MAXIFS(pivot!$C$2:$C$1946, pivot!$A$2:$A$1946, endirim!B389)),
  pivot!$D$2:$D$1946)</f>
        <v>65</v>
      </c>
      <c r="E389" s="3" t="str" cm="1">
        <f t="array" ref="E389">_xlfn.XLOOKUP(1,
    (pivot!$A$2:$A$1946=endirim!B389) * (pivot!$D$2:$D$1946 = _xlfn.MAXIFS(pivot!$D$2:$D$1946, pivot!$A$2:$A$1946, endirim!B389)),
    pivot!$B$2:$B$1946)</f>
        <v>HasCreditCard</v>
      </c>
      <c r="F389" s="22">
        <f>_xlfn.MAXIFS(pivot!$D$2:$D$1946, pivot!$A$2:$A$1946, endirim!B389)</f>
        <v>65</v>
      </c>
      <c r="G389" s="3" t="str">
        <f t="shared" si="6"/>
        <v>Təklif yoxdur</v>
      </c>
    </row>
    <row r="390" spans="2:7" x14ac:dyDescent="0.3">
      <c r="B390" t="s">
        <v>444</v>
      </c>
      <c r="C390" s="3" t="str" cm="1">
        <f t="array" ref="C390">_xlfn.XLOOKUP(1,(pivot!$A$2:$A$1946=Table3[[#This Row],[Müştəri adı]])*(pivot!$C$2:$C$1946=_xlfn.MAXIFS(pivot!$C$2:$C$1946,pivot!$A$2:$A$1946,Table3[[#This Row],[Müştəri adı]])),pivot!$B$2:$B$1946)</f>
        <v>RespondsToMailOffers</v>
      </c>
      <c r="D390" s="22" cm="1">
        <f t="array" ref="D390">_xlfn.XLOOKUP(1,
  (pivot!$A$2:$A$1946=endirim!B390) * (pivot!$C$2:$C$1946 = _xlfn.MAXIFS(pivot!$C$2:$C$1946, pivot!$A$2:$A$1946, endirim!B390)),
  pivot!$D$2:$D$1946)</f>
        <v>27</v>
      </c>
      <c r="E390" s="3" t="str" cm="1">
        <f t="array" ref="E390">_xlfn.XLOOKUP(1,
    (pivot!$A$2:$A$1946=endirim!B390) * (pivot!$D$2:$D$1946 = _xlfn.MAXIFS(pivot!$D$2:$D$1946, pivot!$A$2:$A$1946, endirim!B390)),
    pivot!$B$2:$B$1946)</f>
        <v>RespondsToMailOffers</v>
      </c>
      <c r="F390" s="22">
        <f>_xlfn.MAXIFS(pivot!$D$2:$D$1946, pivot!$A$2:$A$1946, endirim!B390)</f>
        <v>27</v>
      </c>
      <c r="G390" s="3" t="str">
        <f t="shared" si="6"/>
        <v>Təklif yoxdur</v>
      </c>
    </row>
    <row r="391" spans="2:7" x14ac:dyDescent="0.3">
      <c r="B391" t="s">
        <v>445</v>
      </c>
      <c r="C391" s="3" t="str" cm="1">
        <f t="array" ref="C391">_xlfn.XLOOKUP(1,(pivot!$A$2:$A$1946=Table3[[#This Row],[Müştəri adı]])*(pivot!$C$2:$C$1946=_xlfn.MAXIFS(pivot!$C$2:$C$1946,pivot!$A$2:$A$1946,Table3[[#This Row],[Müştəri adı]])),pivot!$B$2:$B$1946)</f>
        <v>MaritalStatus</v>
      </c>
      <c r="D391" s="22" cm="1">
        <f t="array" ref="D391">_xlfn.XLOOKUP(1,
  (pivot!$A$2:$A$1946=endirim!B391) * (pivot!$C$2:$C$1946 = _xlfn.MAXIFS(pivot!$C$2:$C$1946, pivot!$A$2:$A$1946, endirim!B391)),
  pivot!$D$2:$D$1946)</f>
        <v>29</v>
      </c>
      <c r="E391" s="3" t="str" cm="1">
        <f t="array" ref="E391">_xlfn.XLOOKUP(1,
    (pivot!$A$2:$A$1946=endirim!B391) * (pivot!$D$2:$D$1946 = _xlfn.MAXIFS(pivot!$D$2:$D$1946, pivot!$A$2:$A$1946, endirim!B391)),
    pivot!$B$2:$B$1946)</f>
        <v>MaritalStatus</v>
      </c>
      <c r="F391" s="22">
        <f>_xlfn.MAXIFS(pivot!$D$2:$D$1946, pivot!$A$2:$A$1946, endirim!B391)</f>
        <v>29</v>
      </c>
      <c r="G391" s="3" t="str">
        <f t="shared" si="6"/>
        <v>Təklif yoxdur</v>
      </c>
    </row>
    <row r="392" spans="2:7" x14ac:dyDescent="0.3">
      <c r="B392" t="s">
        <v>446</v>
      </c>
      <c r="C392" s="3" t="str" cm="1">
        <f t="array" ref="C392">_xlfn.XLOOKUP(1,(pivot!$A$2:$A$1946=Table3[[#This Row],[Müştəri adı]])*(pivot!$C$2:$C$1946=_xlfn.MAXIFS(pivot!$C$2:$C$1946,pivot!$A$2:$A$1946,Table3[[#This Row],[Müştəri adı]])),pivot!$B$2:$B$1946)</f>
        <v>BuysViaMailOrder</v>
      </c>
      <c r="D392" s="22" cm="1">
        <f t="array" ref="D392">_xlfn.XLOOKUP(1,
  (pivot!$A$2:$A$1946=endirim!B392) * (pivot!$C$2:$C$1946 = _xlfn.MAXIFS(pivot!$C$2:$C$1946, pivot!$A$2:$A$1946, endirim!B392)),
  pivot!$D$2:$D$1946)</f>
        <v>25</v>
      </c>
      <c r="E392" s="3" t="str" cm="1">
        <f t="array" ref="E392">_xlfn.XLOOKUP(1,
    (pivot!$A$2:$A$1946=endirim!B392) * (pivot!$D$2:$D$1946 = _xlfn.MAXIFS(pivot!$D$2:$D$1946, pivot!$A$2:$A$1946, endirim!B392)),
    pivot!$B$2:$B$1946)</f>
        <v>OptOutMailings</v>
      </c>
      <c r="F392" s="22">
        <f>_xlfn.MAXIFS(pivot!$D$2:$D$1946, pivot!$A$2:$A$1946, endirim!B392)</f>
        <v>75</v>
      </c>
      <c r="G392" s="3" t="str">
        <f t="shared" si="6"/>
        <v>OptOutMailings Kompaniyasını 20% endirimlə təklif et</v>
      </c>
    </row>
    <row r="393" spans="2:7" x14ac:dyDescent="0.3">
      <c r="B393" t="s">
        <v>447</v>
      </c>
      <c r="C393" s="3" t="str" cm="1">
        <f t="array" ref="C393">_xlfn.XLOOKUP(1,(pivot!$A$2:$A$1946=Table3[[#This Row],[Müştəri adı]])*(pivot!$C$2:$C$1946=_xlfn.MAXIFS(pivot!$C$2:$C$1946,pivot!$A$2:$A$1946,Table3[[#This Row],[Müştəri adı]])),pivot!$B$2:$B$1946)</f>
        <v>HandsetRefurbished</v>
      </c>
      <c r="D393" s="22" cm="1">
        <f t="array" ref="D393">_xlfn.XLOOKUP(1,
  (pivot!$A$2:$A$1946=endirim!B393) * (pivot!$C$2:$C$1946 = _xlfn.MAXIFS(pivot!$C$2:$C$1946, pivot!$A$2:$A$1946, endirim!B393)),
  pivot!$D$2:$D$1946)</f>
        <v>26</v>
      </c>
      <c r="E393" s="3" t="str" cm="1">
        <f t="array" ref="E393">_xlfn.XLOOKUP(1,
    (pivot!$A$2:$A$1946=endirim!B393) * (pivot!$D$2:$D$1946 = _xlfn.MAXIFS(pivot!$D$2:$D$1946, pivot!$A$2:$A$1946, endirim!B393)),
    pivot!$B$2:$B$1946)</f>
        <v>HandsetRefurbished</v>
      </c>
      <c r="F393" s="22">
        <f>_xlfn.MAXIFS(pivot!$D$2:$D$1946, pivot!$A$2:$A$1946, endirim!B393)</f>
        <v>26</v>
      </c>
      <c r="G393" s="3" t="str">
        <f t="shared" si="6"/>
        <v>Təklif yoxdur</v>
      </c>
    </row>
    <row r="394" spans="2:7" x14ac:dyDescent="0.3">
      <c r="B394" t="s">
        <v>448</v>
      </c>
      <c r="C394" s="3" t="str" cm="1">
        <f t="array" ref="C394">_xlfn.XLOOKUP(1,(pivot!$A$2:$A$1946=Table3[[#This Row],[Müştəri adı]])*(pivot!$C$2:$C$1946=_xlfn.MAXIFS(pivot!$C$2:$C$1946,pivot!$A$2:$A$1946,Table3[[#This Row],[Müştəri adı]])),pivot!$B$2:$B$1946)</f>
        <v>TruckOwner</v>
      </c>
      <c r="D394" s="22" cm="1">
        <f t="array" ref="D394">_xlfn.XLOOKUP(1,
  (pivot!$A$2:$A$1946=endirim!B394) * (pivot!$C$2:$C$1946 = _xlfn.MAXIFS(pivot!$C$2:$C$1946, pivot!$A$2:$A$1946, endirim!B394)),
  pivot!$D$2:$D$1946)</f>
        <v>26</v>
      </c>
      <c r="E394" s="3" t="str" cm="1">
        <f t="array" ref="E394">_xlfn.XLOOKUP(1,
    (pivot!$A$2:$A$1946=endirim!B394) * (pivot!$D$2:$D$1946 = _xlfn.MAXIFS(pivot!$D$2:$D$1946, pivot!$A$2:$A$1946, endirim!B394)),
    pivot!$B$2:$B$1946)</f>
        <v>TruckOwner</v>
      </c>
      <c r="F394" s="22">
        <f>_xlfn.MAXIFS(pivot!$D$2:$D$1946, pivot!$A$2:$A$1946, endirim!B394)</f>
        <v>26</v>
      </c>
      <c r="G394" s="3" t="str">
        <f t="shared" si="6"/>
        <v>Təklif yoxdur</v>
      </c>
    </row>
    <row r="395" spans="2:7" x14ac:dyDescent="0.3">
      <c r="B395" t="s">
        <v>449</v>
      </c>
      <c r="C395" s="3" t="str" cm="1">
        <f t="array" ref="C395">_xlfn.XLOOKUP(1,(pivot!$A$2:$A$1946=Table3[[#This Row],[Müştəri adı]])*(pivot!$C$2:$C$1946=_xlfn.MAXIFS(pivot!$C$2:$C$1946,pivot!$A$2:$A$1946,Table3[[#This Row],[Müştəri adı]])),pivot!$B$2:$B$1946)</f>
        <v>ChildrenInHH</v>
      </c>
      <c r="D395" s="22" cm="1">
        <f t="array" ref="D395">_xlfn.XLOOKUP(1,
  (pivot!$A$2:$A$1946=endirim!B395) * (pivot!$C$2:$C$1946 = _xlfn.MAXIFS(pivot!$C$2:$C$1946, pivot!$A$2:$A$1946, endirim!B395)),
  pivot!$D$2:$D$1946)</f>
        <v>10</v>
      </c>
      <c r="E395" s="3" t="str" cm="1">
        <f t="array" ref="E395">_xlfn.XLOOKUP(1,
    (pivot!$A$2:$A$1946=endirim!B395) * (pivot!$D$2:$D$1946 = _xlfn.MAXIFS(pivot!$D$2:$D$1946, pivot!$A$2:$A$1946, endirim!B395)),
    pivot!$B$2:$B$1946)</f>
        <v>NewCellphoneUser</v>
      </c>
      <c r="F395" s="22">
        <f>_xlfn.MAXIFS(pivot!$D$2:$D$1946, pivot!$A$2:$A$1946, endirim!B395)</f>
        <v>25</v>
      </c>
      <c r="G395" s="3" t="str">
        <f t="shared" si="6"/>
        <v>NewCellphoneUser Kompaniyasını 20% endirimlə təklif et</v>
      </c>
    </row>
    <row r="396" spans="2:7" x14ac:dyDescent="0.3">
      <c r="B396" t="s">
        <v>450</v>
      </c>
      <c r="C396" s="3" t="str" cm="1">
        <f t="array" ref="C396">_xlfn.XLOOKUP(1,(pivot!$A$2:$A$1946=Table3[[#This Row],[Müştəri adı]])*(pivot!$C$2:$C$1946=_xlfn.MAXIFS(pivot!$C$2:$C$1946,pivot!$A$2:$A$1946,Table3[[#This Row],[Müştəri adı]])),pivot!$B$2:$B$1946)</f>
        <v>RespondsToMailOffers</v>
      </c>
      <c r="D396" s="22" cm="1">
        <f t="array" ref="D396">_xlfn.XLOOKUP(1,
  (pivot!$A$2:$A$1946=endirim!B396) * (pivot!$C$2:$C$1946 = _xlfn.MAXIFS(pivot!$C$2:$C$1946, pivot!$A$2:$A$1946, endirim!B396)),
  pivot!$D$2:$D$1946)</f>
        <v>27</v>
      </c>
      <c r="E396" s="3" t="str" cm="1">
        <f t="array" ref="E396">_xlfn.XLOOKUP(1,
    (pivot!$A$2:$A$1946=endirim!B396) * (pivot!$D$2:$D$1946 = _xlfn.MAXIFS(pivot!$D$2:$D$1946, pivot!$A$2:$A$1946, endirim!B396)),
    pivot!$B$2:$B$1946)</f>
        <v>RespondsToMailOffers</v>
      </c>
      <c r="F396" s="22">
        <f>_xlfn.MAXIFS(pivot!$D$2:$D$1946, pivot!$A$2:$A$1946, endirim!B396)</f>
        <v>27</v>
      </c>
      <c r="G396" s="3" t="str">
        <f t="shared" si="6"/>
        <v>Təklif yoxdur</v>
      </c>
    </row>
    <row r="397" spans="2:7" x14ac:dyDescent="0.3">
      <c r="B397" t="s">
        <v>451</v>
      </c>
      <c r="C397" s="3" t="str" cm="1">
        <f t="array" ref="C397">_xlfn.XLOOKUP(1,(pivot!$A$2:$A$1946=Table3[[#This Row],[Müştəri adı]])*(pivot!$C$2:$C$1946=_xlfn.MAXIFS(pivot!$C$2:$C$1946,pivot!$A$2:$A$1946,Table3[[#This Row],[Müştəri adı]])),pivot!$B$2:$B$1946)</f>
        <v>ChildrenInHH</v>
      </c>
      <c r="D397" s="22" cm="1">
        <f t="array" ref="D397">_xlfn.XLOOKUP(1,
  (pivot!$A$2:$A$1946=endirim!B397) * (pivot!$C$2:$C$1946 = _xlfn.MAXIFS(pivot!$C$2:$C$1946, pivot!$A$2:$A$1946, endirim!B397)),
  pivot!$D$2:$D$1946)</f>
        <v>10</v>
      </c>
      <c r="E397" s="3" t="str" cm="1">
        <f t="array" ref="E397">_xlfn.XLOOKUP(1,
    (pivot!$A$2:$A$1946=endirim!B397) * (pivot!$D$2:$D$1946 = _xlfn.MAXIFS(pivot!$D$2:$D$1946, pivot!$A$2:$A$1946, endirim!B397)),
    pivot!$B$2:$B$1946)</f>
        <v>MaritalStatus</v>
      </c>
      <c r="F397" s="22">
        <f>_xlfn.MAXIFS(pivot!$D$2:$D$1946, pivot!$A$2:$A$1946, endirim!B397)</f>
        <v>29</v>
      </c>
      <c r="G397" s="3" t="str">
        <f t="shared" si="6"/>
        <v>MaritalStatus Kompaniyasını 20% endirimlə təklif et</v>
      </c>
    </row>
    <row r="398" spans="2:7" x14ac:dyDescent="0.3">
      <c r="B398" t="s">
        <v>452</v>
      </c>
      <c r="C398" s="3" t="str" cm="1">
        <f t="array" ref="C398">_xlfn.XLOOKUP(1,(pivot!$A$2:$A$1946=Table3[[#This Row],[Müştəri adı]])*(pivot!$C$2:$C$1946=_xlfn.MAXIFS(pivot!$C$2:$C$1946,pivot!$A$2:$A$1946,Table3[[#This Row],[Müştəri adı]])),pivot!$B$2:$B$1946)</f>
        <v>HandsetWebCapable</v>
      </c>
      <c r="D398" s="22" cm="1">
        <f t="array" ref="D398">_xlfn.XLOOKUP(1,
  (pivot!$A$2:$A$1946=endirim!B398) * (pivot!$C$2:$C$1946 = _xlfn.MAXIFS(pivot!$C$2:$C$1946, pivot!$A$2:$A$1946, endirim!B398)),
  pivot!$D$2:$D$1946)</f>
        <v>62</v>
      </c>
      <c r="E398" s="3" t="str" cm="1">
        <f t="array" ref="E398">_xlfn.XLOOKUP(1,
    (pivot!$A$2:$A$1946=endirim!B398) * (pivot!$D$2:$D$1946 = _xlfn.MAXIFS(pivot!$D$2:$D$1946, pivot!$A$2:$A$1946, endirim!B398)),
    pivot!$B$2:$B$1946)</f>
        <v>OptOutMailings</v>
      </c>
      <c r="F398" s="22">
        <f>_xlfn.MAXIFS(pivot!$D$2:$D$1946, pivot!$A$2:$A$1946, endirim!B398)</f>
        <v>75</v>
      </c>
      <c r="G398" s="3" t="str">
        <f t="shared" si="6"/>
        <v>OptOutMailings Kompaniyasını 20% endirimlə təklif et</v>
      </c>
    </row>
    <row r="399" spans="2:7" x14ac:dyDescent="0.3">
      <c r="B399" t="s">
        <v>453</v>
      </c>
      <c r="C399" s="3" t="str" cm="1">
        <f t="array" ref="C399">_xlfn.XLOOKUP(1,(pivot!$A$2:$A$1946=Table3[[#This Row],[Müştəri adı]])*(pivot!$C$2:$C$1946=_xlfn.MAXIFS(pivot!$C$2:$C$1946,pivot!$A$2:$A$1946,Table3[[#This Row],[Müştəri adı]])),pivot!$B$2:$B$1946)</f>
        <v>OwnsComputer</v>
      </c>
      <c r="D399" s="22" cm="1">
        <f t="array" ref="D399">_xlfn.XLOOKUP(1,
  (pivot!$A$2:$A$1946=endirim!B399) * (pivot!$C$2:$C$1946 = _xlfn.MAXIFS(pivot!$C$2:$C$1946, pivot!$A$2:$A$1946, endirim!B399)),
  pivot!$D$2:$D$1946)</f>
        <v>62</v>
      </c>
      <c r="E399" s="3" t="str" cm="1">
        <f t="array" ref="E399">_xlfn.XLOOKUP(1,
    (pivot!$A$2:$A$1946=endirim!B399) * (pivot!$D$2:$D$1946 = _xlfn.MAXIFS(pivot!$D$2:$D$1946, pivot!$A$2:$A$1946, endirim!B399)),
    pivot!$B$2:$B$1946)</f>
        <v>OwnsComputer</v>
      </c>
      <c r="F399" s="22">
        <f>_xlfn.MAXIFS(pivot!$D$2:$D$1946, pivot!$A$2:$A$1946, endirim!B399)</f>
        <v>62</v>
      </c>
      <c r="G399" s="3" t="str">
        <f t="shared" si="6"/>
        <v>Təklif yoxdur</v>
      </c>
    </row>
    <row r="400" spans="2:7" x14ac:dyDescent="0.3">
      <c r="B400" t="s">
        <v>454</v>
      </c>
      <c r="C400" s="3" t="str" cm="1">
        <f t="array" ref="C400">_xlfn.XLOOKUP(1,(pivot!$A$2:$A$1946=Table3[[#This Row],[Müştəri adı]])*(pivot!$C$2:$C$1946=_xlfn.MAXIFS(pivot!$C$2:$C$1946,pivot!$A$2:$A$1946,Table3[[#This Row],[Müştəri adı]])),pivot!$B$2:$B$1946)</f>
        <v>TruckOwner</v>
      </c>
      <c r="D400" s="22" cm="1">
        <f t="array" ref="D400">_xlfn.XLOOKUP(1,
  (pivot!$A$2:$A$1946=endirim!B400) * (pivot!$C$2:$C$1946 = _xlfn.MAXIFS(pivot!$C$2:$C$1946, pivot!$A$2:$A$1946, endirim!B400)),
  pivot!$D$2:$D$1946)</f>
        <v>26</v>
      </c>
      <c r="E400" s="3" t="str" cm="1">
        <f t="array" ref="E400">_xlfn.XLOOKUP(1,
    (pivot!$A$2:$A$1946=endirim!B400) * (pivot!$D$2:$D$1946 = _xlfn.MAXIFS(pivot!$D$2:$D$1946, pivot!$A$2:$A$1946, endirim!B400)),
    pivot!$B$2:$B$1946)</f>
        <v>TruckOwner</v>
      </c>
      <c r="F400" s="22">
        <f>_xlfn.MAXIFS(pivot!$D$2:$D$1946, pivot!$A$2:$A$1946, endirim!B400)</f>
        <v>26</v>
      </c>
      <c r="G400" s="3" t="str">
        <f t="shared" si="6"/>
        <v>Təklif yoxdur</v>
      </c>
    </row>
    <row r="401" spans="2:7" x14ac:dyDescent="0.3">
      <c r="B401" t="s">
        <v>455</v>
      </c>
      <c r="C401" s="3" t="str" cm="1">
        <f t="array" ref="C401">_xlfn.XLOOKUP(1,(pivot!$A$2:$A$1946=Table3[[#This Row],[Müştəri adı]])*(pivot!$C$2:$C$1946=_xlfn.MAXIFS(pivot!$C$2:$C$1946,pivot!$A$2:$A$1946,Table3[[#This Row],[Müştəri adı]])),pivot!$B$2:$B$1946)</f>
        <v>ChildrenInHH</v>
      </c>
      <c r="D401" s="22" cm="1">
        <f t="array" ref="D401">_xlfn.XLOOKUP(1,
  (pivot!$A$2:$A$1946=endirim!B401) * (pivot!$C$2:$C$1946 = _xlfn.MAXIFS(pivot!$C$2:$C$1946, pivot!$A$2:$A$1946, endirim!B401)),
  pivot!$D$2:$D$1946)</f>
        <v>10</v>
      </c>
      <c r="E401" s="3" t="str" cm="1">
        <f t="array" ref="E401">_xlfn.XLOOKUP(1,
    (pivot!$A$2:$A$1946=endirim!B401) * (pivot!$D$2:$D$1946 = _xlfn.MAXIFS(pivot!$D$2:$D$1946, pivot!$A$2:$A$1946, endirim!B401)),
    pivot!$B$2:$B$1946)</f>
        <v>NotNewCellphoneUser</v>
      </c>
      <c r="F401" s="22">
        <f>_xlfn.MAXIFS(pivot!$D$2:$D$1946, pivot!$A$2:$A$1946, endirim!B401)</f>
        <v>28</v>
      </c>
      <c r="G401" s="3" t="str">
        <f t="shared" si="6"/>
        <v>NotNewCellphoneUser Kompaniyasını 20% endirimlə təklif et</v>
      </c>
    </row>
    <row r="402" spans="2:7" x14ac:dyDescent="0.3">
      <c r="B402" t="s">
        <v>456</v>
      </c>
      <c r="C402" s="3" t="str" cm="1">
        <f t="array" ref="C402">_xlfn.XLOOKUP(1,(pivot!$A$2:$A$1946=Table3[[#This Row],[Müştəri adı]])*(pivot!$C$2:$C$1946=_xlfn.MAXIFS(pivot!$C$2:$C$1946,pivot!$A$2:$A$1946,Table3[[#This Row],[Müştəri adı]])),pivot!$B$2:$B$1946)</f>
        <v>TruckOwner</v>
      </c>
      <c r="D402" s="22" cm="1">
        <f t="array" ref="D402">_xlfn.XLOOKUP(1,
  (pivot!$A$2:$A$1946=endirim!B402) * (pivot!$C$2:$C$1946 = _xlfn.MAXIFS(pivot!$C$2:$C$1946, pivot!$A$2:$A$1946, endirim!B402)),
  pivot!$D$2:$D$1946)</f>
        <v>26</v>
      </c>
      <c r="E402" s="3" t="str" cm="1">
        <f t="array" ref="E402">_xlfn.XLOOKUP(1,
    (pivot!$A$2:$A$1946=endirim!B402) * (pivot!$D$2:$D$1946 = _xlfn.MAXIFS(pivot!$D$2:$D$1946, pivot!$A$2:$A$1946, endirim!B402)),
    pivot!$B$2:$B$1946)</f>
        <v>RespondsToMailOffers</v>
      </c>
      <c r="F402" s="22">
        <f>_xlfn.MAXIFS(pivot!$D$2:$D$1946, pivot!$A$2:$A$1946, endirim!B402)</f>
        <v>27</v>
      </c>
      <c r="G402" s="3" t="str">
        <f t="shared" si="6"/>
        <v>RespondsToMailOffers Kompaniyasını 20% endirimlə təklif et</v>
      </c>
    </row>
    <row r="403" spans="2:7" x14ac:dyDescent="0.3">
      <c r="B403" t="s">
        <v>457</v>
      </c>
      <c r="C403" s="3" t="str" cm="1">
        <f t="array" ref="C403">_xlfn.XLOOKUP(1,(pivot!$A$2:$A$1946=Table3[[#This Row],[Müştəri adı]])*(pivot!$C$2:$C$1946=_xlfn.MAXIFS(pivot!$C$2:$C$1946,pivot!$A$2:$A$1946,Table3[[#This Row],[Müştəri adı]])),pivot!$B$2:$B$1946)</f>
        <v>HandsetRefurbished</v>
      </c>
      <c r="D403" s="22" cm="1">
        <f t="array" ref="D403">_xlfn.XLOOKUP(1,
  (pivot!$A$2:$A$1946=endirim!B403) * (pivot!$C$2:$C$1946 = _xlfn.MAXIFS(pivot!$C$2:$C$1946, pivot!$A$2:$A$1946, endirim!B403)),
  pivot!$D$2:$D$1946)</f>
        <v>26</v>
      </c>
      <c r="E403" s="3" t="str" cm="1">
        <f t="array" ref="E403">_xlfn.XLOOKUP(1,
    (pivot!$A$2:$A$1946=endirim!B403) * (pivot!$D$2:$D$1946 = _xlfn.MAXIFS(pivot!$D$2:$D$1946, pivot!$A$2:$A$1946, endirim!B403)),
    pivot!$B$2:$B$1946)</f>
        <v>HandsetRefurbished</v>
      </c>
      <c r="F403" s="22">
        <f>_xlfn.MAXIFS(pivot!$D$2:$D$1946, pivot!$A$2:$A$1946, endirim!B403)</f>
        <v>26</v>
      </c>
      <c r="G403" s="3" t="str">
        <f t="shared" si="6"/>
        <v>Təklif yoxdur</v>
      </c>
    </row>
    <row r="404" spans="2:7" x14ac:dyDescent="0.3">
      <c r="B404" t="s">
        <v>458</v>
      </c>
      <c r="C404" s="3" t="str" cm="1">
        <f t="array" ref="C404">_xlfn.XLOOKUP(1,(pivot!$A$2:$A$1946=Table3[[#This Row],[Müştəri adı]])*(pivot!$C$2:$C$1946=_xlfn.MAXIFS(pivot!$C$2:$C$1946,pivot!$A$2:$A$1946,Table3[[#This Row],[Müştəri adı]])),pivot!$B$2:$B$1946)</f>
        <v>MadeCallToRetentionTeam</v>
      </c>
      <c r="D404" s="22" cm="1">
        <f t="array" ref="D404">_xlfn.XLOOKUP(1,
  (pivot!$A$2:$A$1946=endirim!B404) * (pivot!$C$2:$C$1946 = _xlfn.MAXIFS(pivot!$C$2:$C$1946, pivot!$A$2:$A$1946, endirim!B404)),
  pivot!$D$2:$D$1946)</f>
        <v>16</v>
      </c>
      <c r="E404" s="3" t="str" cm="1">
        <f t="array" ref="E404">_xlfn.XLOOKUP(1,
    (pivot!$A$2:$A$1946=endirim!B404) * (pivot!$D$2:$D$1946 = _xlfn.MAXIFS(pivot!$D$2:$D$1946, pivot!$A$2:$A$1946, endirim!B404)),
    pivot!$B$2:$B$1946)</f>
        <v>MadeCallToRetentionTeam</v>
      </c>
      <c r="F404" s="22">
        <f>_xlfn.MAXIFS(pivot!$D$2:$D$1946, pivot!$A$2:$A$1946, endirim!B404)</f>
        <v>16</v>
      </c>
      <c r="G404" s="3" t="str">
        <f t="shared" si="6"/>
        <v>Təklif yoxdur</v>
      </c>
    </row>
    <row r="405" spans="2:7" x14ac:dyDescent="0.3">
      <c r="B405" t="s">
        <v>459</v>
      </c>
      <c r="C405" s="3" t="str" cm="1">
        <f t="array" ref="C405">_xlfn.XLOOKUP(1,(pivot!$A$2:$A$1946=Table3[[#This Row],[Müştəri adı]])*(pivot!$C$2:$C$1946=_xlfn.MAXIFS(pivot!$C$2:$C$1946,pivot!$A$2:$A$1946,Table3[[#This Row],[Müştəri adı]])),pivot!$B$2:$B$1946)</f>
        <v>HandsetRefurbished</v>
      </c>
      <c r="D405" s="22" cm="1">
        <f t="array" ref="D405">_xlfn.XLOOKUP(1,
  (pivot!$A$2:$A$1946=endirim!B405) * (pivot!$C$2:$C$1946 = _xlfn.MAXIFS(pivot!$C$2:$C$1946, pivot!$A$2:$A$1946, endirim!B405)),
  pivot!$D$2:$D$1946)</f>
        <v>26</v>
      </c>
      <c r="E405" s="3" t="str" cm="1">
        <f t="array" ref="E405">_xlfn.XLOOKUP(1,
    (pivot!$A$2:$A$1946=endirim!B405) * (pivot!$D$2:$D$1946 = _xlfn.MAXIFS(pivot!$D$2:$D$1946, pivot!$A$2:$A$1946, endirim!B405)),
    pivot!$B$2:$B$1946)</f>
        <v>HandsetRefurbished</v>
      </c>
      <c r="F405" s="22">
        <f>_xlfn.MAXIFS(pivot!$D$2:$D$1946, pivot!$A$2:$A$1946, endirim!B405)</f>
        <v>26</v>
      </c>
      <c r="G405" s="3" t="str">
        <f t="shared" si="6"/>
        <v>Təklif yoxdur</v>
      </c>
    </row>
    <row r="406" spans="2:7" x14ac:dyDescent="0.3">
      <c r="B406" t="s">
        <v>460</v>
      </c>
      <c r="C406" s="3" t="str" cm="1">
        <f t="array" ref="C406">_xlfn.XLOOKUP(1,(pivot!$A$2:$A$1946=Table3[[#This Row],[Müştəri adı]])*(pivot!$C$2:$C$1946=_xlfn.MAXIFS(pivot!$C$2:$C$1946,pivot!$A$2:$A$1946,Table3[[#This Row],[Müştəri adı]])),pivot!$B$2:$B$1946)</f>
        <v>OwnsMotorcycle</v>
      </c>
      <c r="D406" s="22" cm="1">
        <f t="array" ref="D406">_xlfn.XLOOKUP(1,
  (pivot!$A$2:$A$1946=endirim!B406) * (pivot!$C$2:$C$1946 = _xlfn.MAXIFS(pivot!$C$2:$C$1946, pivot!$A$2:$A$1946, endirim!B406)),
  pivot!$D$2:$D$1946)</f>
        <v>14</v>
      </c>
      <c r="E406" s="3" t="str" cm="1">
        <f t="array" ref="E406">_xlfn.XLOOKUP(1,
    (pivot!$A$2:$A$1946=endirim!B406) * (pivot!$D$2:$D$1946 = _xlfn.MAXIFS(pivot!$D$2:$D$1946, pivot!$A$2:$A$1946, endirim!B406)),
    pivot!$B$2:$B$1946)</f>
        <v>NewCellphoneUser</v>
      </c>
      <c r="F406" s="22">
        <f>_xlfn.MAXIFS(pivot!$D$2:$D$1946, pivot!$A$2:$A$1946, endirim!B406)</f>
        <v>25</v>
      </c>
      <c r="G406" s="3" t="str">
        <f t="shared" si="6"/>
        <v>NewCellphoneUser Kompaniyasını 20% endirimlə təklif et</v>
      </c>
    </row>
    <row r="407" spans="2:7" x14ac:dyDescent="0.3">
      <c r="B407" t="s">
        <v>461</v>
      </c>
      <c r="C407" s="3" t="str" cm="1">
        <f t="array" ref="C407">_xlfn.XLOOKUP(1,(pivot!$A$2:$A$1946=Table3[[#This Row],[Müştəri adı]])*(pivot!$C$2:$C$1946=_xlfn.MAXIFS(pivot!$C$2:$C$1946,pivot!$A$2:$A$1946,Table3[[#This Row],[Müştəri adı]])),pivot!$B$2:$B$1946)</f>
        <v>NewCellphoneUser</v>
      </c>
      <c r="D407" s="22" cm="1">
        <f t="array" ref="D407">_xlfn.XLOOKUP(1,
  (pivot!$A$2:$A$1946=endirim!B407) * (pivot!$C$2:$C$1946 = _xlfn.MAXIFS(pivot!$C$2:$C$1946, pivot!$A$2:$A$1946, endirim!B407)),
  pivot!$D$2:$D$1946)</f>
        <v>25</v>
      </c>
      <c r="E407" s="3" t="str" cm="1">
        <f t="array" ref="E407">_xlfn.XLOOKUP(1,
    (pivot!$A$2:$A$1946=endirim!B407) * (pivot!$D$2:$D$1946 = _xlfn.MAXIFS(pivot!$D$2:$D$1946, pivot!$A$2:$A$1946, endirim!B407)),
    pivot!$B$2:$B$1946)</f>
        <v>NewCellphoneUser</v>
      </c>
      <c r="F407" s="22">
        <f>_xlfn.MAXIFS(pivot!$D$2:$D$1946, pivot!$A$2:$A$1946, endirim!B407)</f>
        <v>25</v>
      </c>
      <c r="G407" s="3" t="str">
        <f t="shared" si="6"/>
        <v>Təklif yoxdur</v>
      </c>
    </row>
    <row r="408" spans="2:7" x14ac:dyDescent="0.3">
      <c r="B408" t="s">
        <v>462</v>
      </c>
      <c r="C408" s="3" t="str" cm="1">
        <f t="array" ref="C408">_xlfn.XLOOKUP(1,(pivot!$A$2:$A$1946=Table3[[#This Row],[Müştəri adı]])*(pivot!$C$2:$C$1946=_xlfn.MAXIFS(pivot!$C$2:$C$1946,pivot!$A$2:$A$1946,Table3[[#This Row],[Müştəri adı]])),pivot!$B$2:$B$1946)</f>
        <v>HandsetRefurbished</v>
      </c>
      <c r="D408" s="22" cm="1">
        <f t="array" ref="D408">_xlfn.XLOOKUP(1,
  (pivot!$A$2:$A$1946=endirim!B408) * (pivot!$C$2:$C$1946 = _xlfn.MAXIFS(pivot!$C$2:$C$1946, pivot!$A$2:$A$1946, endirim!B408)),
  pivot!$D$2:$D$1946)</f>
        <v>26</v>
      </c>
      <c r="E408" s="3" t="str" cm="1">
        <f t="array" ref="E408">_xlfn.XLOOKUP(1,
    (pivot!$A$2:$A$1946=endirim!B408) * (pivot!$D$2:$D$1946 = _xlfn.MAXIFS(pivot!$D$2:$D$1946, pivot!$A$2:$A$1946, endirim!B408)),
    pivot!$B$2:$B$1946)</f>
        <v>HandsetRefurbished</v>
      </c>
      <c r="F408" s="22">
        <f>_xlfn.MAXIFS(pivot!$D$2:$D$1946, pivot!$A$2:$A$1946, endirim!B408)</f>
        <v>26</v>
      </c>
      <c r="G408" s="3" t="str">
        <f t="shared" si="6"/>
        <v>Təklif yoxdur</v>
      </c>
    </row>
    <row r="409" spans="2:7" x14ac:dyDescent="0.3">
      <c r="B409" t="s">
        <v>463</v>
      </c>
      <c r="C409" s="3" t="str" cm="1">
        <f t="array" ref="C409">_xlfn.XLOOKUP(1,(pivot!$A$2:$A$1946=Table3[[#This Row],[Müştəri adı]])*(pivot!$C$2:$C$1946=_xlfn.MAXIFS(pivot!$C$2:$C$1946,pivot!$A$2:$A$1946,Table3[[#This Row],[Müştəri adı]])),pivot!$B$2:$B$1946)</f>
        <v>OwnsMotorcycle</v>
      </c>
      <c r="D409" s="22" cm="1">
        <f t="array" ref="D409">_xlfn.XLOOKUP(1,
  (pivot!$A$2:$A$1946=endirim!B409) * (pivot!$C$2:$C$1946 = _xlfn.MAXIFS(pivot!$C$2:$C$1946, pivot!$A$2:$A$1946, endirim!B409)),
  pivot!$D$2:$D$1946)</f>
        <v>14</v>
      </c>
      <c r="E409" s="3" t="str" cm="1">
        <f t="array" ref="E409">_xlfn.XLOOKUP(1,
    (pivot!$A$2:$A$1946=endirim!B409) * (pivot!$D$2:$D$1946 = _xlfn.MAXIFS(pivot!$D$2:$D$1946, pivot!$A$2:$A$1946, endirim!B409)),
    pivot!$B$2:$B$1946)</f>
        <v>OwnsMotorcycle</v>
      </c>
      <c r="F409" s="22">
        <f>_xlfn.MAXIFS(pivot!$D$2:$D$1946, pivot!$A$2:$A$1946, endirim!B409)</f>
        <v>14</v>
      </c>
      <c r="G409" s="3" t="str">
        <f t="shared" si="6"/>
        <v>Təklif yoxdur</v>
      </c>
    </row>
    <row r="410" spans="2:7" x14ac:dyDescent="0.3">
      <c r="B410" t="s">
        <v>464</v>
      </c>
      <c r="C410" s="3" t="str" cm="1">
        <f t="array" ref="C410">_xlfn.XLOOKUP(1,(pivot!$A$2:$A$1946=Table3[[#This Row],[Müştəri adı]])*(pivot!$C$2:$C$1946=_xlfn.MAXIFS(pivot!$C$2:$C$1946,pivot!$A$2:$A$1946,Table3[[#This Row],[Müştəri adı]])),pivot!$B$2:$B$1946)</f>
        <v>NonUSTravel</v>
      </c>
      <c r="D410" s="22" cm="1">
        <f t="array" ref="D410">_xlfn.XLOOKUP(1,
  (pivot!$A$2:$A$1946=endirim!B410) * (pivot!$C$2:$C$1946 = _xlfn.MAXIFS(pivot!$C$2:$C$1946, pivot!$A$2:$A$1946, endirim!B410)),
  pivot!$D$2:$D$1946)</f>
        <v>66</v>
      </c>
      <c r="E410" s="3" t="str" cm="1">
        <f t="array" ref="E410">_xlfn.XLOOKUP(1,
    (pivot!$A$2:$A$1946=endirim!B410) * (pivot!$D$2:$D$1946 = _xlfn.MAXIFS(pivot!$D$2:$D$1946, pivot!$A$2:$A$1946, endirim!B410)),
    pivot!$B$2:$B$1946)</f>
        <v>NonUSTravel</v>
      </c>
      <c r="F410" s="22">
        <f>_xlfn.MAXIFS(pivot!$D$2:$D$1946, pivot!$A$2:$A$1946, endirim!B410)</f>
        <v>66</v>
      </c>
      <c r="G410" s="3" t="str">
        <f t="shared" si="6"/>
        <v>Təklif yoxdur</v>
      </c>
    </row>
    <row r="411" spans="2:7" x14ac:dyDescent="0.3">
      <c r="B411" t="s">
        <v>465</v>
      </c>
      <c r="C411" s="3" t="str" cm="1">
        <f t="array" ref="C411">_xlfn.XLOOKUP(1,(pivot!$A$2:$A$1946=Table3[[#This Row],[Müştəri adı]])*(pivot!$C$2:$C$1946=_xlfn.MAXIFS(pivot!$C$2:$C$1946,pivot!$A$2:$A$1946,Table3[[#This Row],[Müştəri adı]])),pivot!$B$2:$B$1946)</f>
        <v>HasCreditCard</v>
      </c>
      <c r="D411" s="22" cm="1">
        <f t="array" ref="D411">_xlfn.XLOOKUP(1,
  (pivot!$A$2:$A$1946=endirim!B411) * (pivot!$C$2:$C$1946 = _xlfn.MAXIFS(pivot!$C$2:$C$1946, pivot!$A$2:$A$1946, endirim!B411)),
  pivot!$D$2:$D$1946)</f>
        <v>65</v>
      </c>
      <c r="E411" s="3" t="str" cm="1">
        <f t="array" ref="E411">_xlfn.XLOOKUP(1,
    (pivot!$A$2:$A$1946=endirim!B411) * (pivot!$D$2:$D$1946 = _xlfn.MAXIFS(pivot!$D$2:$D$1946, pivot!$A$2:$A$1946, endirim!B411)),
    pivot!$B$2:$B$1946)</f>
        <v>HasCreditCard</v>
      </c>
      <c r="F411" s="22">
        <f>_xlfn.MAXIFS(pivot!$D$2:$D$1946, pivot!$A$2:$A$1946, endirim!B411)</f>
        <v>65</v>
      </c>
      <c r="G411" s="3" t="str">
        <f t="shared" si="6"/>
        <v>Təklif yoxdur</v>
      </c>
    </row>
    <row r="412" spans="2:7" x14ac:dyDescent="0.3">
      <c r="B412" t="s">
        <v>466</v>
      </c>
      <c r="C412" s="3" t="str" cm="1">
        <f t="array" ref="C412">_xlfn.XLOOKUP(1,(pivot!$A$2:$A$1946=Table3[[#This Row],[Müştəri adı]])*(pivot!$C$2:$C$1946=_xlfn.MAXIFS(pivot!$C$2:$C$1946,pivot!$A$2:$A$1946,Table3[[#This Row],[Müştəri adı]])),pivot!$B$2:$B$1946)</f>
        <v>MaritalStatus</v>
      </c>
      <c r="D412" s="22" cm="1">
        <f t="array" ref="D412">_xlfn.XLOOKUP(1,
  (pivot!$A$2:$A$1946=endirim!B412) * (pivot!$C$2:$C$1946 = _xlfn.MAXIFS(pivot!$C$2:$C$1946, pivot!$A$2:$A$1946, endirim!B412)),
  pivot!$D$2:$D$1946)</f>
        <v>29</v>
      </c>
      <c r="E412" s="3" t="str" cm="1">
        <f t="array" ref="E412">_xlfn.XLOOKUP(1,
    (pivot!$A$2:$A$1946=endirim!B412) * (pivot!$D$2:$D$1946 = _xlfn.MAXIFS(pivot!$D$2:$D$1946, pivot!$A$2:$A$1946, endirim!B412)),
    pivot!$B$2:$B$1946)</f>
        <v>MaritalStatus</v>
      </c>
      <c r="F412" s="22">
        <f>_xlfn.MAXIFS(pivot!$D$2:$D$1946, pivot!$A$2:$A$1946, endirim!B412)</f>
        <v>29</v>
      </c>
      <c r="G412" s="3" t="str">
        <f t="shared" si="6"/>
        <v>Təklif yoxdur</v>
      </c>
    </row>
    <row r="413" spans="2:7" x14ac:dyDescent="0.3">
      <c r="B413" t="s">
        <v>467</v>
      </c>
      <c r="C413" s="3" t="str" cm="1">
        <f t="array" ref="C413">_xlfn.XLOOKUP(1,(pivot!$A$2:$A$1946=Table3[[#This Row],[Müştəri adı]])*(pivot!$C$2:$C$1946=_xlfn.MAXIFS(pivot!$C$2:$C$1946,pivot!$A$2:$A$1946,Table3[[#This Row],[Müştəri adı]])),pivot!$B$2:$B$1946)</f>
        <v>OwnsMotorcycle</v>
      </c>
      <c r="D413" s="22" cm="1">
        <f t="array" ref="D413">_xlfn.XLOOKUP(1,
  (pivot!$A$2:$A$1946=endirim!B413) * (pivot!$C$2:$C$1946 = _xlfn.MAXIFS(pivot!$C$2:$C$1946, pivot!$A$2:$A$1946, endirim!B413)),
  pivot!$D$2:$D$1946)</f>
        <v>14</v>
      </c>
      <c r="E413" s="3" t="str" cm="1">
        <f t="array" ref="E413">_xlfn.XLOOKUP(1,
    (pivot!$A$2:$A$1946=endirim!B413) * (pivot!$D$2:$D$1946 = _xlfn.MAXIFS(pivot!$D$2:$D$1946, pivot!$A$2:$A$1946, endirim!B413)),
    pivot!$B$2:$B$1946)</f>
        <v>MadeCallToRetentionTeam</v>
      </c>
      <c r="F413" s="22">
        <f>_xlfn.MAXIFS(pivot!$D$2:$D$1946, pivot!$A$2:$A$1946, endirim!B413)</f>
        <v>16</v>
      </c>
      <c r="G413" s="3" t="str">
        <f t="shared" si="6"/>
        <v>MadeCallToRetentionTeam Kompaniyasını 20% endirimlə təklif et</v>
      </c>
    </row>
    <row r="414" spans="2:7" x14ac:dyDescent="0.3">
      <c r="B414" t="s">
        <v>468</v>
      </c>
      <c r="C414" s="3" t="str" cm="1">
        <f t="array" ref="C414">_xlfn.XLOOKUP(1,(pivot!$A$2:$A$1946=Table3[[#This Row],[Müştəri adı]])*(pivot!$C$2:$C$1946=_xlfn.MAXIFS(pivot!$C$2:$C$1946,pivot!$A$2:$A$1946,Table3[[#This Row],[Müştəri adı]])),pivot!$B$2:$B$1946)</f>
        <v>ChildrenInHH</v>
      </c>
      <c r="D414" s="22" cm="1">
        <f t="array" ref="D414">_xlfn.XLOOKUP(1,
  (pivot!$A$2:$A$1946=endirim!B414) * (pivot!$C$2:$C$1946 = _xlfn.MAXIFS(pivot!$C$2:$C$1946, pivot!$A$2:$A$1946, endirim!B414)),
  pivot!$D$2:$D$1946)</f>
        <v>10</v>
      </c>
      <c r="E414" s="3" t="str" cm="1">
        <f t="array" ref="E414">_xlfn.XLOOKUP(1,
    (pivot!$A$2:$A$1946=endirim!B414) * (pivot!$D$2:$D$1946 = _xlfn.MAXIFS(pivot!$D$2:$D$1946, pivot!$A$2:$A$1946, endirim!B414)),
    pivot!$B$2:$B$1946)</f>
        <v>RespondsToMailOffers</v>
      </c>
      <c r="F414" s="22">
        <f>_xlfn.MAXIFS(pivot!$D$2:$D$1946, pivot!$A$2:$A$1946, endirim!B414)</f>
        <v>27</v>
      </c>
      <c r="G414" s="3" t="str">
        <f t="shared" si="6"/>
        <v>RespondsToMailOffers Kompaniyasını 20% endirimlə təklif et</v>
      </c>
    </row>
    <row r="415" spans="2:7" x14ac:dyDescent="0.3">
      <c r="B415" t="s">
        <v>469</v>
      </c>
      <c r="C415" s="3" t="str" cm="1">
        <f t="array" ref="C415">_xlfn.XLOOKUP(1,(pivot!$A$2:$A$1946=Table3[[#This Row],[Müştəri adı]])*(pivot!$C$2:$C$1946=_xlfn.MAXIFS(pivot!$C$2:$C$1946,pivot!$A$2:$A$1946,Table3[[#This Row],[Müştəri adı]])),pivot!$B$2:$B$1946)</f>
        <v>RespondsToMailOffers</v>
      </c>
      <c r="D415" s="22" cm="1">
        <f t="array" ref="D415">_xlfn.XLOOKUP(1,
  (pivot!$A$2:$A$1946=endirim!B415) * (pivot!$C$2:$C$1946 = _xlfn.MAXIFS(pivot!$C$2:$C$1946, pivot!$A$2:$A$1946, endirim!B415)),
  pivot!$D$2:$D$1946)</f>
        <v>27</v>
      </c>
      <c r="E415" s="3" t="str" cm="1">
        <f t="array" ref="E415">_xlfn.XLOOKUP(1,
    (pivot!$A$2:$A$1946=endirim!B415) * (pivot!$D$2:$D$1946 = _xlfn.MAXIFS(pivot!$D$2:$D$1946, pivot!$A$2:$A$1946, endirim!B415)),
    pivot!$B$2:$B$1946)</f>
        <v>RespondsToMailOffers</v>
      </c>
      <c r="F415" s="22">
        <f>_xlfn.MAXIFS(pivot!$D$2:$D$1946, pivot!$A$2:$A$1946, endirim!B415)</f>
        <v>27</v>
      </c>
      <c r="G415" s="3" t="str">
        <f t="shared" si="6"/>
        <v>Təklif yoxdur</v>
      </c>
    </row>
    <row r="416" spans="2:7" x14ac:dyDescent="0.3">
      <c r="B416" t="s">
        <v>470</v>
      </c>
      <c r="C416" s="3" t="str" cm="1">
        <f t="array" ref="C416">_xlfn.XLOOKUP(1,(pivot!$A$2:$A$1946=Table3[[#This Row],[Müştəri adı]])*(pivot!$C$2:$C$1946=_xlfn.MAXIFS(pivot!$C$2:$C$1946,pivot!$A$2:$A$1946,Table3[[#This Row],[Müştəri adı]])),pivot!$B$2:$B$1946)</f>
        <v>ChildrenInHH</v>
      </c>
      <c r="D416" s="22" cm="1">
        <f t="array" ref="D416">_xlfn.XLOOKUP(1,
  (pivot!$A$2:$A$1946=endirim!B416) * (pivot!$C$2:$C$1946 = _xlfn.MAXIFS(pivot!$C$2:$C$1946, pivot!$A$2:$A$1946, endirim!B416)),
  pivot!$D$2:$D$1946)</f>
        <v>10</v>
      </c>
      <c r="E416" s="3" t="str" cm="1">
        <f t="array" ref="E416">_xlfn.XLOOKUP(1,
    (pivot!$A$2:$A$1946=endirim!B416) * (pivot!$D$2:$D$1946 = _xlfn.MAXIFS(pivot!$D$2:$D$1946, pivot!$A$2:$A$1946, endirim!B416)),
    pivot!$B$2:$B$1946)</f>
        <v>RespondsToMailOffers</v>
      </c>
      <c r="F416" s="22">
        <f>_xlfn.MAXIFS(pivot!$D$2:$D$1946, pivot!$A$2:$A$1946, endirim!B416)</f>
        <v>27</v>
      </c>
      <c r="G416" s="3" t="str">
        <f t="shared" si="6"/>
        <v>RespondsToMailOffers Kompaniyasını 20% endirimlə təklif et</v>
      </c>
    </row>
    <row r="417" spans="2:7" x14ac:dyDescent="0.3">
      <c r="B417" t="s">
        <v>471</v>
      </c>
      <c r="C417" s="3" t="str" cm="1">
        <f t="array" ref="C417">_xlfn.XLOOKUP(1,(pivot!$A$2:$A$1946=Table3[[#This Row],[Müştəri adı]])*(pivot!$C$2:$C$1946=_xlfn.MAXIFS(pivot!$C$2:$C$1946,pivot!$A$2:$A$1946,Table3[[#This Row],[Müştəri adı]])),pivot!$B$2:$B$1946)</f>
        <v>BuysViaMailOrder</v>
      </c>
      <c r="D417" s="22" cm="1">
        <f t="array" ref="D417">_xlfn.XLOOKUP(1,
  (pivot!$A$2:$A$1946=endirim!B417) * (pivot!$C$2:$C$1946 = _xlfn.MAXIFS(pivot!$C$2:$C$1946, pivot!$A$2:$A$1946, endirim!B417)),
  pivot!$D$2:$D$1946)</f>
        <v>25</v>
      </c>
      <c r="E417" s="3" t="str" cm="1">
        <f t="array" ref="E417">_xlfn.XLOOKUP(1,
    (pivot!$A$2:$A$1946=endirim!B417) * (pivot!$D$2:$D$1946 = _xlfn.MAXIFS(pivot!$D$2:$D$1946, pivot!$A$2:$A$1946, endirim!B417)),
    pivot!$B$2:$B$1946)</f>
        <v>NonUSTravel</v>
      </c>
      <c r="F417" s="22">
        <f>_xlfn.MAXIFS(pivot!$D$2:$D$1946, pivot!$A$2:$A$1946, endirim!B417)</f>
        <v>66</v>
      </c>
      <c r="G417" s="3" t="str">
        <f t="shared" si="6"/>
        <v>NonUSTravel Kompaniyasını 20% endirimlə təklif et</v>
      </c>
    </row>
    <row r="418" spans="2:7" x14ac:dyDescent="0.3">
      <c r="B418" t="s">
        <v>472</v>
      </c>
      <c r="C418" s="3" t="str" cm="1">
        <f t="array" ref="C418">_xlfn.XLOOKUP(1,(pivot!$A$2:$A$1946=Table3[[#This Row],[Müştəri adı]])*(pivot!$C$2:$C$1946=_xlfn.MAXIFS(pivot!$C$2:$C$1946,pivot!$A$2:$A$1946,Table3[[#This Row],[Müştəri adı]])),pivot!$B$2:$B$1946)</f>
        <v>OwnsMotorcycle</v>
      </c>
      <c r="D418" s="22" cm="1">
        <f t="array" ref="D418">_xlfn.XLOOKUP(1,
  (pivot!$A$2:$A$1946=endirim!B418) * (pivot!$C$2:$C$1946 = _xlfn.MAXIFS(pivot!$C$2:$C$1946, pivot!$A$2:$A$1946, endirim!B418)),
  pivot!$D$2:$D$1946)</f>
        <v>14</v>
      </c>
      <c r="E418" s="3" t="str" cm="1">
        <f t="array" ref="E418">_xlfn.XLOOKUP(1,
    (pivot!$A$2:$A$1946=endirim!B418) * (pivot!$D$2:$D$1946 = _xlfn.MAXIFS(pivot!$D$2:$D$1946, pivot!$A$2:$A$1946, endirim!B418)),
    pivot!$B$2:$B$1946)</f>
        <v>RespondsToMailOffers</v>
      </c>
      <c r="F418" s="22">
        <f>_xlfn.MAXIFS(pivot!$D$2:$D$1946, pivot!$A$2:$A$1946, endirim!B418)</f>
        <v>27</v>
      </c>
      <c r="G418" s="3" t="str">
        <f t="shared" si="6"/>
        <v>RespondsToMailOffers Kompaniyasını 20% endirimlə təklif et</v>
      </c>
    </row>
    <row r="419" spans="2:7" x14ac:dyDescent="0.3">
      <c r="B419" t="s">
        <v>473</v>
      </c>
      <c r="C419" s="3" t="str" cm="1">
        <f t="array" ref="C419">_xlfn.XLOOKUP(1,(pivot!$A$2:$A$1946=Table3[[#This Row],[Müştəri adı]])*(pivot!$C$2:$C$1946=_xlfn.MAXIFS(pivot!$C$2:$C$1946,pivot!$A$2:$A$1946,Table3[[#This Row],[Müştəri adı]])),pivot!$B$2:$B$1946)</f>
        <v>RVOwner</v>
      </c>
      <c r="D419" s="22" cm="1">
        <f t="array" ref="D419">_xlfn.XLOOKUP(1,
  (pivot!$A$2:$A$1946=endirim!B419) * (pivot!$C$2:$C$1946 = _xlfn.MAXIFS(pivot!$C$2:$C$1946, pivot!$A$2:$A$1946, endirim!B419)),
  pivot!$D$2:$D$1946)</f>
        <v>22</v>
      </c>
      <c r="E419" s="3" t="str" cm="1">
        <f t="array" ref="E419">_xlfn.XLOOKUP(1,
    (pivot!$A$2:$A$1946=endirim!B419) * (pivot!$D$2:$D$1946 = _xlfn.MAXIFS(pivot!$D$2:$D$1946, pivot!$A$2:$A$1946, endirim!B419)),
    pivot!$B$2:$B$1946)</f>
        <v>RVOwner</v>
      </c>
      <c r="F419" s="22">
        <f>_xlfn.MAXIFS(pivot!$D$2:$D$1946, pivot!$A$2:$A$1946, endirim!B419)</f>
        <v>22</v>
      </c>
      <c r="G419" s="3" t="str">
        <f t="shared" si="6"/>
        <v>Təklif yoxdur</v>
      </c>
    </row>
    <row r="420" spans="2:7" x14ac:dyDescent="0.3">
      <c r="B420" t="s">
        <v>474</v>
      </c>
      <c r="C420" s="3" t="str" cm="1">
        <f t="array" ref="C420">_xlfn.XLOOKUP(1,(pivot!$A$2:$A$1946=Table3[[#This Row],[Müştəri adı]])*(pivot!$C$2:$C$1946=_xlfn.MAXIFS(pivot!$C$2:$C$1946,pivot!$A$2:$A$1946,Table3[[#This Row],[Müştəri adı]])),pivot!$B$2:$B$1946)</f>
        <v>BuysViaMailOrder</v>
      </c>
      <c r="D420" s="22" cm="1">
        <f t="array" ref="D420">_xlfn.XLOOKUP(1,
  (pivot!$A$2:$A$1946=endirim!B420) * (pivot!$C$2:$C$1946 = _xlfn.MAXIFS(pivot!$C$2:$C$1946, pivot!$A$2:$A$1946, endirim!B420)),
  pivot!$D$2:$D$1946)</f>
        <v>25</v>
      </c>
      <c r="E420" s="3" t="str" cm="1">
        <f t="array" ref="E420">_xlfn.XLOOKUP(1,
    (pivot!$A$2:$A$1946=endirim!B420) * (pivot!$D$2:$D$1946 = _xlfn.MAXIFS(pivot!$D$2:$D$1946, pivot!$A$2:$A$1946, endirim!B420)),
    pivot!$B$2:$B$1946)</f>
        <v>RespondsToMailOffers</v>
      </c>
      <c r="F420" s="22">
        <f>_xlfn.MAXIFS(pivot!$D$2:$D$1946, pivot!$A$2:$A$1946, endirim!B420)</f>
        <v>27</v>
      </c>
      <c r="G420" s="3" t="str">
        <f t="shared" si="6"/>
        <v>RespondsToMailOffers Kompaniyasını 20% endirimlə təklif et</v>
      </c>
    </row>
    <row r="421" spans="2:7" x14ac:dyDescent="0.3">
      <c r="B421" t="s">
        <v>475</v>
      </c>
      <c r="C421" s="3" t="str" cm="1">
        <f t="array" ref="C421">_xlfn.XLOOKUP(1,(pivot!$A$2:$A$1946=Table3[[#This Row],[Müştəri adı]])*(pivot!$C$2:$C$1946=_xlfn.MAXIFS(pivot!$C$2:$C$1946,pivot!$A$2:$A$1946,Table3[[#This Row],[Müştəri adı]])),pivot!$B$2:$B$1946)</f>
        <v>NewCellphoneUser</v>
      </c>
      <c r="D421" s="22" cm="1">
        <f t="array" ref="D421">_xlfn.XLOOKUP(1,
  (pivot!$A$2:$A$1946=endirim!B421) * (pivot!$C$2:$C$1946 = _xlfn.MAXIFS(pivot!$C$2:$C$1946, pivot!$A$2:$A$1946, endirim!B421)),
  pivot!$D$2:$D$1946)</f>
        <v>25</v>
      </c>
      <c r="E421" s="3" t="str" cm="1">
        <f t="array" ref="E421">_xlfn.XLOOKUP(1,
    (pivot!$A$2:$A$1946=endirim!B421) * (pivot!$D$2:$D$1946 = _xlfn.MAXIFS(pivot!$D$2:$D$1946, pivot!$A$2:$A$1946, endirim!B421)),
    pivot!$B$2:$B$1946)</f>
        <v>NonUSTravel</v>
      </c>
      <c r="F421" s="22">
        <f>_xlfn.MAXIFS(pivot!$D$2:$D$1946, pivot!$A$2:$A$1946, endirim!B421)</f>
        <v>66</v>
      </c>
      <c r="G421" s="3" t="str">
        <f t="shared" si="6"/>
        <v>NonUSTravel Kompaniyasını 20% endirimlə təklif et</v>
      </c>
    </row>
    <row r="422" spans="2:7" x14ac:dyDescent="0.3">
      <c r="B422" t="s">
        <v>476</v>
      </c>
      <c r="C422" s="3" t="str" cm="1">
        <f t="array" ref="C422">_xlfn.XLOOKUP(1,(pivot!$A$2:$A$1946=Table3[[#This Row],[Müştəri adı]])*(pivot!$C$2:$C$1946=_xlfn.MAXIFS(pivot!$C$2:$C$1946,pivot!$A$2:$A$1946,Table3[[#This Row],[Müştəri adı]])),pivot!$B$2:$B$1946)</f>
        <v>RespondsToMailOffers</v>
      </c>
      <c r="D422" s="22" cm="1">
        <f t="array" ref="D422">_xlfn.XLOOKUP(1,
  (pivot!$A$2:$A$1946=endirim!B422) * (pivot!$C$2:$C$1946 = _xlfn.MAXIFS(pivot!$C$2:$C$1946, pivot!$A$2:$A$1946, endirim!B422)),
  pivot!$D$2:$D$1946)</f>
        <v>27</v>
      </c>
      <c r="E422" s="3" t="str" cm="1">
        <f t="array" ref="E422">_xlfn.XLOOKUP(1,
    (pivot!$A$2:$A$1946=endirim!B422) * (pivot!$D$2:$D$1946 = _xlfn.MAXIFS(pivot!$D$2:$D$1946, pivot!$A$2:$A$1946, endirim!B422)),
    pivot!$B$2:$B$1946)</f>
        <v>RespondsToMailOffers</v>
      </c>
      <c r="F422" s="22">
        <f>_xlfn.MAXIFS(pivot!$D$2:$D$1946, pivot!$A$2:$A$1946, endirim!B422)</f>
        <v>27</v>
      </c>
      <c r="G422" s="3" t="str">
        <f t="shared" si="6"/>
        <v>Təklif yoxdur</v>
      </c>
    </row>
    <row r="423" spans="2:7" x14ac:dyDescent="0.3">
      <c r="B423" t="s">
        <v>477</v>
      </c>
      <c r="C423" s="3" t="str" cm="1">
        <f t="array" ref="C423">_xlfn.XLOOKUP(1,(pivot!$A$2:$A$1946=Table3[[#This Row],[Müştəri adı]])*(pivot!$C$2:$C$1946=_xlfn.MAXIFS(pivot!$C$2:$C$1946,pivot!$A$2:$A$1946,Table3[[#This Row],[Müştəri adı]])),pivot!$B$2:$B$1946)</f>
        <v>HasCreditCard</v>
      </c>
      <c r="D423" s="22" cm="1">
        <f t="array" ref="D423">_xlfn.XLOOKUP(1,
  (pivot!$A$2:$A$1946=endirim!B423) * (pivot!$C$2:$C$1946 = _xlfn.MAXIFS(pivot!$C$2:$C$1946, pivot!$A$2:$A$1946, endirim!B423)),
  pivot!$D$2:$D$1946)</f>
        <v>65</v>
      </c>
      <c r="E423" s="3" t="str" cm="1">
        <f t="array" ref="E423">_xlfn.XLOOKUP(1,
    (pivot!$A$2:$A$1946=endirim!B423) * (pivot!$D$2:$D$1946 = _xlfn.MAXIFS(pivot!$D$2:$D$1946, pivot!$A$2:$A$1946, endirim!B423)),
    pivot!$B$2:$B$1946)</f>
        <v>HasCreditCard</v>
      </c>
      <c r="F423" s="22">
        <f>_xlfn.MAXIFS(pivot!$D$2:$D$1946, pivot!$A$2:$A$1946, endirim!B423)</f>
        <v>65</v>
      </c>
      <c r="G423" s="3" t="str">
        <f t="shared" si="6"/>
        <v>Təklif yoxdur</v>
      </c>
    </row>
    <row r="424" spans="2:7" x14ac:dyDescent="0.3">
      <c r="B424" t="s">
        <v>478</v>
      </c>
      <c r="C424" s="3" t="str" cm="1">
        <f t="array" ref="C424">_xlfn.XLOOKUP(1,(pivot!$A$2:$A$1946=Table3[[#This Row],[Müştəri adı]])*(pivot!$C$2:$C$1946=_xlfn.MAXIFS(pivot!$C$2:$C$1946,pivot!$A$2:$A$1946,Table3[[#This Row],[Müştəri adı]])),pivot!$B$2:$B$1946)</f>
        <v>RespondsToMailOffers</v>
      </c>
      <c r="D424" s="22" cm="1">
        <f t="array" ref="D424">_xlfn.XLOOKUP(1,
  (pivot!$A$2:$A$1946=endirim!B424) * (pivot!$C$2:$C$1946 = _xlfn.MAXIFS(pivot!$C$2:$C$1946, pivot!$A$2:$A$1946, endirim!B424)),
  pivot!$D$2:$D$1946)</f>
        <v>27</v>
      </c>
      <c r="E424" s="3" t="str" cm="1">
        <f t="array" ref="E424">_xlfn.XLOOKUP(1,
    (pivot!$A$2:$A$1946=endirim!B424) * (pivot!$D$2:$D$1946 = _xlfn.MAXIFS(pivot!$D$2:$D$1946, pivot!$A$2:$A$1946, endirim!B424)),
    pivot!$B$2:$B$1946)</f>
        <v>RespondsToMailOffers</v>
      </c>
      <c r="F424" s="22">
        <f>_xlfn.MAXIFS(pivot!$D$2:$D$1946, pivot!$A$2:$A$1946, endirim!B424)</f>
        <v>27</v>
      </c>
      <c r="G424" s="3" t="str">
        <f t="shared" si="6"/>
        <v>Təklif yoxdur</v>
      </c>
    </row>
    <row r="425" spans="2:7" x14ac:dyDescent="0.3">
      <c r="B425" t="s">
        <v>479</v>
      </c>
      <c r="C425" s="3" t="str" cm="1">
        <f t="array" ref="C425">_xlfn.XLOOKUP(1,(pivot!$A$2:$A$1946=Table3[[#This Row],[Müştəri adı]])*(pivot!$C$2:$C$1946=_xlfn.MAXIFS(pivot!$C$2:$C$1946,pivot!$A$2:$A$1946,Table3[[#This Row],[Müştəri adı]])),pivot!$B$2:$B$1946)</f>
        <v>HasCreditCard</v>
      </c>
      <c r="D425" s="22" cm="1">
        <f t="array" ref="D425">_xlfn.XLOOKUP(1,
  (pivot!$A$2:$A$1946=endirim!B425) * (pivot!$C$2:$C$1946 = _xlfn.MAXIFS(pivot!$C$2:$C$1946, pivot!$A$2:$A$1946, endirim!B425)),
  pivot!$D$2:$D$1946)</f>
        <v>65</v>
      </c>
      <c r="E425" s="3" t="str" cm="1">
        <f t="array" ref="E425">_xlfn.XLOOKUP(1,
    (pivot!$A$2:$A$1946=endirim!B425) * (pivot!$D$2:$D$1946 = _xlfn.MAXIFS(pivot!$D$2:$D$1946, pivot!$A$2:$A$1946, endirim!B425)),
    pivot!$B$2:$B$1946)</f>
        <v>HasCreditCard</v>
      </c>
      <c r="F425" s="22">
        <f>_xlfn.MAXIFS(pivot!$D$2:$D$1946, pivot!$A$2:$A$1946, endirim!B425)</f>
        <v>65</v>
      </c>
      <c r="G425" s="3" t="str">
        <f t="shared" si="6"/>
        <v>Təklif yoxdur</v>
      </c>
    </row>
    <row r="426" spans="2:7" x14ac:dyDescent="0.3">
      <c r="B426" t="s">
        <v>480</v>
      </c>
      <c r="C426" s="3" t="str" cm="1">
        <f t="array" ref="C426">_xlfn.XLOOKUP(1,(pivot!$A$2:$A$1946=Table3[[#This Row],[Müştəri adı]])*(pivot!$C$2:$C$1946=_xlfn.MAXIFS(pivot!$C$2:$C$1946,pivot!$A$2:$A$1946,Table3[[#This Row],[Müştəri adı]])),pivot!$B$2:$B$1946)</f>
        <v>NotNewCellphoneUser</v>
      </c>
      <c r="D426" s="22" cm="1">
        <f t="array" ref="D426">_xlfn.XLOOKUP(1,
  (pivot!$A$2:$A$1946=endirim!B426) * (pivot!$C$2:$C$1946 = _xlfn.MAXIFS(pivot!$C$2:$C$1946, pivot!$A$2:$A$1946, endirim!B426)),
  pivot!$D$2:$D$1946)</f>
        <v>28</v>
      </c>
      <c r="E426" s="3" t="str" cm="1">
        <f t="array" ref="E426">_xlfn.XLOOKUP(1,
    (pivot!$A$2:$A$1946=endirim!B426) * (pivot!$D$2:$D$1946 = _xlfn.MAXIFS(pivot!$D$2:$D$1946, pivot!$A$2:$A$1946, endirim!B426)),
    pivot!$B$2:$B$1946)</f>
        <v>NotNewCellphoneUser</v>
      </c>
      <c r="F426" s="22">
        <f>_xlfn.MAXIFS(pivot!$D$2:$D$1946, pivot!$A$2:$A$1946, endirim!B426)</f>
        <v>28</v>
      </c>
      <c r="G426" s="3" t="str">
        <f t="shared" si="6"/>
        <v>Təklif yoxdur</v>
      </c>
    </row>
    <row r="427" spans="2:7" x14ac:dyDescent="0.3">
      <c r="B427" t="s">
        <v>481</v>
      </c>
      <c r="C427" s="3" t="str" cm="1">
        <f t="array" ref="C427">_xlfn.XLOOKUP(1,(pivot!$A$2:$A$1946=Table3[[#This Row],[Müştəri adı]])*(pivot!$C$2:$C$1946=_xlfn.MAXIFS(pivot!$C$2:$C$1946,pivot!$A$2:$A$1946,Table3[[#This Row],[Müştəri adı]])),pivot!$B$2:$B$1946)</f>
        <v>RespondsToMailOffers</v>
      </c>
      <c r="D427" s="22" cm="1">
        <f t="array" ref="D427">_xlfn.XLOOKUP(1,
  (pivot!$A$2:$A$1946=endirim!B427) * (pivot!$C$2:$C$1946 = _xlfn.MAXIFS(pivot!$C$2:$C$1946, pivot!$A$2:$A$1946, endirim!B427)),
  pivot!$D$2:$D$1946)</f>
        <v>27</v>
      </c>
      <c r="E427" s="3" t="str" cm="1">
        <f t="array" ref="E427">_xlfn.XLOOKUP(1,
    (pivot!$A$2:$A$1946=endirim!B427) * (pivot!$D$2:$D$1946 = _xlfn.MAXIFS(pivot!$D$2:$D$1946, pivot!$A$2:$A$1946, endirim!B427)),
    pivot!$B$2:$B$1946)</f>
        <v>HandsetWebCapable</v>
      </c>
      <c r="F427" s="22">
        <f>_xlfn.MAXIFS(pivot!$D$2:$D$1946, pivot!$A$2:$A$1946, endirim!B427)</f>
        <v>62</v>
      </c>
      <c r="G427" s="3" t="str">
        <f t="shared" si="6"/>
        <v>HandsetWebCapable Kompaniyasını 20% endirimlə təklif et</v>
      </c>
    </row>
    <row r="428" spans="2:7" x14ac:dyDescent="0.3">
      <c r="B428" t="s">
        <v>482</v>
      </c>
      <c r="C428" s="3" t="str" cm="1">
        <f t="array" ref="C428">_xlfn.XLOOKUP(1,(pivot!$A$2:$A$1946=Table3[[#This Row],[Müştəri adı]])*(pivot!$C$2:$C$1946=_xlfn.MAXIFS(pivot!$C$2:$C$1946,pivot!$A$2:$A$1946,Table3[[#This Row],[Müştəri adı]])),pivot!$B$2:$B$1946)</f>
        <v>HandsetRefurbished</v>
      </c>
      <c r="D428" s="22" cm="1">
        <f t="array" ref="D428">_xlfn.XLOOKUP(1,
  (pivot!$A$2:$A$1946=endirim!B428) * (pivot!$C$2:$C$1946 = _xlfn.MAXIFS(pivot!$C$2:$C$1946, pivot!$A$2:$A$1946, endirim!B428)),
  pivot!$D$2:$D$1946)</f>
        <v>26</v>
      </c>
      <c r="E428" s="3" t="str" cm="1">
        <f t="array" ref="E428">_xlfn.XLOOKUP(1,
    (pivot!$A$2:$A$1946=endirim!B428) * (pivot!$D$2:$D$1946 = _xlfn.MAXIFS(pivot!$D$2:$D$1946, pivot!$A$2:$A$1946, endirim!B428)),
    pivot!$B$2:$B$1946)</f>
        <v>HandsetRefurbished</v>
      </c>
      <c r="F428" s="22">
        <f>_xlfn.MAXIFS(pivot!$D$2:$D$1946, pivot!$A$2:$A$1946, endirim!B428)</f>
        <v>26</v>
      </c>
      <c r="G428" s="3" t="str">
        <f t="shared" si="6"/>
        <v>Təklif yoxdur</v>
      </c>
    </row>
    <row r="429" spans="2:7" x14ac:dyDescent="0.3">
      <c r="B429" t="s">
        <v>483</v>
      </c>
      <c r="C429" s="3" t="str" cm="1">
        <f t="array" ref="C429">_xlfn.XLOOKUP(1,(pivot!$A$2:$A$1946=Table3[[#This Row],[Müştəri adı]])*(pivot!$C$2:$C$1946=_xlfn.MAXIFS(pivot!$C$2:$C$1946,pivot!$A$2:$A$1946,Table3[[#This Row],[Müştəri adı]])),pivot!$B$2:$B$1946)</f>
        <v>RespondsToMailOffers</v>
      </c>
      <c r="D429" s="22" cm="1">
        <f t="array" ref="D429">_xlfn.XLOOKUP(1,
  (pivot!$A$2:$A$1946=endirim!B429) * (pivot!$C$2:$C$1946 = _xlfn.MAXIFS(pivot!$C$2:$C$1946, pivot!$A$2:$A$1946, endirim!B429)),
  pivot!$D$2:$D$1946)</f>
        <v>27</v>
      </c>
      <c r="E429" s="3" t="str" cm="1">
        <f t="array" ref="E429">_xlfn.XLOOKUP(1,
    (pivot!$A$2:$A$1946=endirim!B429) * (pivot!$D$2:$D$1946 = _xlfn.MAXIFS(pivot!$D$2:$D$1946, pivot!$A$2:$A$1946, endirim!B429)),
    pivot!$B$2:$B$1946)</f>
        <v>RespondsToMailOffers</v>
      </c>
      <c r="F429" s="22">
        <f>_xlfn.MAXIFS(pivot!$D$2:$D$1946, pivot!$A$2:$A$1946, endirim!B429)</f>
        <v>27</v>
      </c>
      <c r="G429" s="3" t="str">
        <f t="shared" si="6"/>
        <v>Təklif yoxdur</v>
      </c>
    </row>
    <row r="430" spans="2:7" x14ac:dyDescent="0.3">
      <c r="B430" t="s">
        <v>484</v>
      </c>
      <c r="C430" s="3" t="str" cm="1">
        <f t="array" ref="C430">_xlfn.XLOOKUP(1,(pivot!$A$2:$A$1946=Table3[[#This Row],[Müştəri adı]])*(pivot!$C$2:$C$1946=_xlfn.MAXIFS(pivot!$C$2:$C$1946,pivot!$A$2:$A$1946,Table3[[#This Row],[Müştəri adı]])),pivot!$B$2:$B$1946)</f>
        <v>RespondsToMailOffers</v>
      </c>
      <c r="D430" s="22" cm="1">
        <f t="array" ref="D430">_xlfn.XLOOKUP(1,
  (pivot!$A$2:$A$1946=endirim!B430) * (pivot!$C$2:$C$1946 = _xlfn.MAXIFS(pivot!$C$2:$C$1946, pivot!$A$2:$A$1946, endirim!B430)),
  pivot!$D$2:$D$1946)</f>
        <v>27</v>
      </c>
      <c r="E430" s="3" t="str" cm="1">
        <f t="array" ref="E430">_xlfn.XLOOKUP(1,
    (pivot!$A$2:$A$1946=endirim!B430) * (pivot!$D$2:$D$1946 = _xlfn.MAXIFS(pivot!$D$2:$D$1946, pivot!$A$2:$A$1946, endirim!B430)),
    pivot!$B$2:$B$1946)</f>
        <v>OwnsComputer</v>
      </c>
      <c r="F430" s="22">
        <f>_xlfn.MAXIFS(pivot!$D$2:$D$1946, pivot!$A$2:$A$1946, endirim!B430)</f>
        <v>62</v>
      </c>
      <c r="G430" s="3" t="str">
        <f t="shared" si="6"/>
        <v>OwnsComputer Kompaniyasını 20% endirimlə təklif et</v>
      </c>
    </row>
    <row r="431" spans="2:7" x14ac:dyDescent="0.3">
      <c r="B431" t="s">
        <v>485</v>
      </c>
      <c r="C431" s="3" t="str" cm="1">
        <f t="array" ref="C431">_xlfn.XLOOKUP(1,(pivot!$A$2:$A$1946=Table3[[#This Row],[Müştəri adı]])*(pivot!$C$2:$C$1946=_xlfn.MAXIFS(pivot!$C$2:$C$1946,pivot!$A$2:$A$1946,Table3[[#This Row],[Müştəri adı]])),pivot!$B$2:$B$1946)</f>
        <v>NonUSTravel</v>
      </c>
      <c r="D431" s="22" cm="1">
        <f t="array" ref="D431">_xlfn.XLOOKUP(1,
  (pivot!$A$2:$A$1946=endirim!B431) * (pivot!$C$2:$C$1946 = _xlfn.MAXIFS(pivot!$C$2:$C$1946, pivot!$A$2:$A$1946, endirim!B431)),
  pivot!$D$2:$D$1946)</f>
        <v>66</v>
      </c>
      <c r="E431" s="3" t="str" cm="1">
        <f t="array" ref="E431">_xlfn.XLOOKUP(1,
    (pivot!$A$2:$A$1946=endirim!B431) * (pivot!$D$2:$D$1946 = _xlfn.MAXIFS(pivot!$D$2:$D$1946, pivot!$A$2:$A$1946, endirim!B431)),
    pivot!$B$2:$B$1946)</f>
        <v>NonUSTravel</v>
      </c>
      <c r="F431" s="22">
        <f>_xlfn.MAXIFS(pivot!$D$2:$D$1946, pivot!$A$2:$A$1946, endirim!B431)</f>
        <v>66</v>
      </c>
      <c r="G431" s="3" t="str">
        <f t="shared" si="6"/>
        <v>Təklif yoxdur</v>
      </c>
    </row>
    <row r="432" spans="2:7" x14ac:dyDescent="0.3">
      <c r="B432" t="s">
        <v>486</v>
      </c>
      <c r="C432" s="3" t="str" cm="1">
        <f t="array" ref="C432">_xlfn.XLOOKUP(1,(pivot!$A$2:$A$1946=Table3[[#This Row],[Müştəri adı]])*(pivot!$C$2:$C$1946=_xlfn.MAXIFS(pivot!$C$2:$C$1946,pivot!$A$2:$A$1946,Table3[[#This Row],[Müştəri adı]])),pivot!$B$2:$B$1946)</f>
        <v>MaritalStatus</v>
      </c>
      <c r="D432" s="22" cm="1">
        <f t="array" ref="D432">_xlfn.XLOOKUP(1,
  (pivot!$A$2:$A$1946=endirim!B432) * (pivot!$C$2:$C$1946 = _xlfn.MAXIFS(pivot!$C$2:$C$1946, pivot!$A$2:$A$1946, endirim!B432)),
  pivot!$D$2:$D$1946)</f>
        <v>29</v>
      </c>
      <c r="E432" s="3" t="str" cm="1">
        <f t="array" ref="E432">_xlfn.XLOOKUP(1,
    (pivot!$A$2:$A$1946=endirim!B432) * (pivot!$D$2:$D$1946 = _xlfn.MAXIFS(pivot!$D$2:$D$1946, pivot!$A$2:$A$1946, endirim!B432)),
    pivot!$B$2:$B$1946)</f>
        <v>MaritalStatus</v>
      </c>
      <c r="F432" s="22">
        <f>_xlfn.MAXIFS(pivot!$D$2:$D$1946, pivot!$A$2:$A$1946, endirim!B432)</f>
        <v>29</v>
      </c>
      <c r="G432" s="3" t="str">
        <f t="shared" si="6"/>
        <v>Təklif yoxdur</v>
      </c>
    </row>
    <row r="433" spans="2:7" x14ac:dyDescent="0.3">
      <c r="B433" t="s">
        <v>487</v>
      </c>
      <c r="C433" s="3" t="str" cm="1">
        <f t="array" ref="C433">_xlfn.XLOOKUP(1,(pivot!$A$2:$A$1946=Table3[[#This Row],[Müştəri adı]])*(pivot!$C$2:$C$1946=_xlfn.MAXIFS(pivot!$C$2:$C$1946,pivot!$A$2:$A$1946,Table3[[#This Row],[Müştəri adı]])),pivot!$B$2:$B$1946)</f>
        <v>NewCellphoneUser</v>
      </c>
      <c r="D433" s="22" cm="1">
        <f t="array" ref="D433">_xlfn.XLOOKUP(1,
  (pivot!$A$2:$A$1946=endirim!B433) * (pivot!$C$2:$C$1946 = _xlfn.MAXIFS(pivot!$C$2:$C$1946, pivot!$A$2:$A$1946, endirim!B433)),
  pivot!$D$2:$D$1946)</f>
        <v>25</v>
      </c>
      <c r="E433" s="3" t="str" cm="1">
        <f t="array" ref="E433">_xlfn.XLOOKUP(1,
    (pivot!$A$2:$A$1946=endirim!B433) * (pivot!$D$2:$D$1946 = _xlfn.MAXIFS(pivot!$D$2:$D$1946, pivot!$A$2:$A$1946, endirim!B433)),
    pivot!$B$2:$B$1946)</f>
        <v>NewCellphoneUser</v>
      </c>
      <c r="F433" s="22">
        <f>_xlfn.MAXIFS(pivot!$D$2:$D$1946, pivot!$A$2:$A$1946, endirim!B433)</f>
        <v>25</v>
      </c>
      <c r="G433" s="3" t="str">
        <f t="shared" si="6"/>
        <v>Təklif yoxdur</v>
      </c>
    </row>
    <row r="434" spans="2:7" x14ac:dyDescent="0.3">
      <c r="B434" t="s">
        <v>488</v>
      </c>
      <c r="C434" s="3" t="str" cm="1">
        <f t="array" ref="C434">_xlfn.XLOOKUP(1,(pivot!$A$2:$A$1946=Table3[[#This Row],[Müştəri adı]])*(pivot!$C$2:$C$1946=_xlfn.MAXIFS(pivot!$C$2:$C$1946,pivot!$A$2:$A$1946,Table3[[#This Row],[Müştəri adı]])),pivot!$B$2:$B$1946)</f>
        <v>HasCreditCard</v>
      </c>
      <c r="D434" s="22" cm="1">
        <f t="array" ref="D434">_xlfn.XLOOKUP(1,
  (pivot!$A$2:$A$1946=endirim!B434) * (pivot!$C$2:$C$1946 = _xlfn.MAXIFS(pivot!$C$2:$C$1946, pivot!$A$2:$A$1946, endirim!B434)),
  pivot!$D$2:$D$1946)</f>
        <v>65</v>
      </c>
      <c r="E434" s="3" t="str" cm="1">
        <f t="array" ref="E434">_xlfn.XLOOKUP(1,
    (pivot!$A$2:$A$1946=endirim!B434) * (pivot!$D$2:$D$1946 = _xlfn.MAXIFS(pivot!$D$2:$D$1946, pivot!$A$2:$A$1946, endirim!B434)),
    pivot!$B$2:$B$1946)</f>
        <v>HasCreditCard</v>
      </c>
      <c r="F434" s="22">
        <f>_xlfn.MAXIFS(pivot!$D$2:$D$1946, pivot!$A$2:$A$1946, endirim!B434)</f>
        <v>65</v>
      </c>
      <c r="G434" s="3" t="str">
        <f t="shared" si="6"/>
        <v>Təklif yoxdur</v>
      </c>
    </row>
    <row r="435" spans="2:7" x14ac:dyDescent="0.3">
      <c r="B435" t="s">
        <v>489</v>
      </c>
      <c r="C435" s="3" t="str" cm="1">
        <f t="array" ref="C435">_xlfn.XLOOKUP(1,(pivot!$A$2:$A$1946=Table3[[#This Row],[Müştəri adı]])*(pivot!$C$2:$C$1946=_xlfn.MAXIFS(pivot!$C$2:$C$1946,pivot!$A$2:$A$1946,Table3[[#This Row],[Müştəri adı]])),pivot!$B$2:$B$1946)</f>
        <v>HandsetRefurbished</v>
      </c>
      <c r="D435" s="22" cm="1">
        <f t="array" ref="D435">_xlfn.XLOOKUP(1,
  (pivot!$A$2:$A$1946=endirim!B435) * (pivot!$C$2:$C$1946 = _xlfn.MAXIFS(pivot!$C$2:$C$1946, pivot!$A$2:$A$1946, endirim!B435)),
  pivot!$D$2:$D$1946)</f>
        <v>26</v>
      </c>
      <c r="E435" s="3" t="str" cm="1">
        <f t="array" ref="E435">_xlfn.XLOOKUP(1,
    (pivot!$A$2:$A$1946=endirim!B435) * (pivot!$D$2:$D$1946 = _xlfn.MAXIFS(pivot!$D$2:$D$1946, pivot!$A$2:$A$1946, endirim!B435)),
    pivot!$B$2:$B$1946)</f>
        <v>HandsetRefurbished</v>
      </c>
      <c r="F435" s="22">
        <f>_xlfn.MAXIFS(pivot!$D$2:$D$1946, pivot!$A$2:$A$1946, endirim!B435)</f>
        <v>26</v>
      </c>
      <c r="G435" s="3" t="str">
        <f t="shared" si="6"/>
        <v>Təklif yoxdur</v>
      </c>
    </row>
    <row r="436" spans="2:7" x14ac:dyDescent="0.3">
      <c r="B436" t="s">
        <v>490</v>
      </c>
      <c r="C436" s="3" t="str" cm="1">
        <f t="array" ref="C436">_xlfn.XLOOKUP(1,(pivot!$A$2:$A$1946=Table3[[#This Row],[Müştəri adı]])*(pivot!$C$2:$C$1946=_xlfn.MAXIFS(pivot!$C$2:$C$1946,pivot!$A$2:$A$1946,Table3[[#This Row],[Müştəri adı]])),pivot!$B$2:$B$1946)</f>
        <v>RespondsToMailOffers</v>
      </c>
      <c r="D436" s="22" cm="1">
        <f t="array" ref="D436">_xlfn.XLOOKUP(1,
  (pivot!$A$2:$A$1946=endirim!B436) * (pivot!$C$2:$C$1946 = _xlfn.MAXIFS(pivot!$C$2:$C$1946, pivot!$A$2:$A$1946, endirim!B436)),
  pivot!$D$2:$D$1946)</f>
        <v>27</v>
      </c>
      <c r="E436" s="3" t="str" cm="1">
        <f t="array" ref="E436">_xlfn.XLOOKUP(1,
    (pivot!$A$2:$A$1946=endirim!B436) * (pivot!$D$2:$D$1946 = _xlfn.MAXIFS(pivot!$D$2:$D$1946, pivot!$A$2:$A$1946, endirim!B436)),
    pivot!$B$2:$B$1946)</f>
        <v>HasCreditCard</v>
      </c>
      <c r="F436" s="22">
        <f>_xlfn.MAXIFS(pivot!$D$2:$D$1946, pivot!$A$2:$A$1946, endirim!B436)</f>
        <v>65</v>
      </c>
      <c r="G436" s="3" t="str">
        <f t="shared" si="6"/>
        <v>HasCreditCard Kompaniyasını 20% endirimlə təklif et</v>
      </c>
    </row>
    <row r="437" spans="2:7" x14ac:dyDescent="0.3">
      <c r="B437" t="s">
        <v>491</v>
      </c>
      <c r="C437" s="3" t="str" cm="1">
        <f t="array" ref="C437">_xlfn.XLOOKUP(1,(pivot!$A$2:$A$1946=Table3[[#This Row],[Müştəri adı]])*(pivot!$C$2:$C$1946=_xlfn.MAXIFS(pivot!$C$2:$C$1946,pivot!$A$2:$A$1946,Table3[[#This Row],[Müştəri adı]])),pivot!$B$2:$B$1946)</f>
        <v>MaritalStatus</v>
      </c>
      <c r="D437" s="22" cm="1">
        <f t="array" ref="D437">_xlfn.XLOOKUP(1,
  (pivot!$A$2:$A$1946=endirim!B437) * (pivot!$C$2:$C$1946 = _xlfn.MAXIFS(pivot!$C$2:$C$1946, pivot!$A$2:$A$1946, endirim!B437)),
  pivot!$D$2:$D$1946)</f>
        <v>29</v>
      </c>
      <c r="E437" s="3" t="str" cm="1">
        <f t="array" ref="E437">_xlfn.XLOOKUP(1,
    (pivot!$A$2:$A$1946=endirim!B437) * (pivot!$D$2:$D$1946 = _xlfn.MAXIFS(pivot!$D$2:$D$1946, pivot!$A$2:$A$1946, endirim!B437)),
    pivot!$B$2:$B$1946)</f>
        <v>NonUSTravel</v>
      </c>
      <c r="F437" s="22">
        <f>_xlfn.MAXIFS(pivot!$D$2:$D$1946, pivot!$A$2:$A$1946, endirim!B437)</f>
        <v>66</v>
      </c>
      <c r="G437" s="3" t="str">
        <f t="shared" si="6"/>
        <v>NonUSTravel Kompaniyasını 20% endirimlə təklif et</v>
      </c>
    </row>
    <row r="438" spans="2:7" x14ac:dyDescent="0.3">
      <c r="B438" t="s">
        <v>492</v>
      </c>
      <c r="C438" s="3" t="str" cm="1">
        <f t="array" ref="C438">_xlfn.XLOOKUP(1,(pivot!$A$2:$A$1946=Table3[[#This Row],[Müştəri adı]])*(pivot!$C$2:$C$1946=_xlfn.MAXIFS(pivot!$C$2:$C$1946,pivot!$A$2:$A$1946,Table3[[#This Row],[Müştəri adı]])),pivot!$B$2:$B$1946)</f>
        <v>MaritalStatus</v>
      </c>
      <c r="D438" s="22" cm="1">
        <f t="array" ref="D438">_xlfn.XLOOKUP(1,
  (pivot!$A$2:$A$1946=endirim!B438) * (pivot!$C$2:$C$1946 = _xlfn.MAXIFS(pivot!$C$2:$C$1946, pivot!$A$2:$A$1946, endirim!B438)),
  pivot!$D$2:$D$1946)</f>
        <v>29</v>
      </c>
      <c r="E438" s="3" t="str" cm="1">
        <f t="array" ref="E438">_xlfn.XLOOKUP(1,
    (pivot!$A$2:$A$1946=endirim!B438) * (pivot!$D$2:$D$1946 = _xlfn.MAXIFS(pivot!$D$2:$D$1946, pivot!$A$2:$A$1946, endirim!B438)),
    pivot!$B$2:$B$1946)</f>
        <v>MaritalStatus</v>
      </c>
      <c r="F438" s="22">
        <f>_xlfn.MAXIFS(pivot!$D$2:$D$1946, pivot!$A$2:$A$1946, endirim!B438)</f>
        <v>29</v>
      </c>
      <c r="G438" s="3" t="str">
        <f t="shared" si="6"/>
        <v>Təklif yoxdur</v>
      </c>
    </row>
    <row r="439" spans="2:7" x14ac:dyDescent="0.3">
      <c r="B439" t="s">
        <v>493</v>
      </c>
      <c r="C439" s="3" t="str" cm="1">
        <f t="array" ref="C439">_xlfn.XLOOKUP(1,(pivot!$A$2:$A$1946=Table3[[#This Row],[Müştəri adı]])*(pivot!$C$2:$C$1946=_xlfn.MAXIFS(pivot!$C$2:$C$1946,pivot!$A$2:$A$1946,Table3[[#This Row],[Müştəri adı]])),pivot!$B$2:$B$1946)</f>
        <v>NonUSTravel</v>
      </c>
      <c r="D439" s="22" cm="1">
        <f t="array" ref="D439">_xlfn.XLOOKUP(1,
  (pivot!$A$2:$A$1946=endirim!B439) * (pivot!$C$2:$C$1946 = _xlfn.MAXIFS(pivot!$C$2:$C$1946, pivot!$A$2:$A$1946, endirim!B439)),
  pivot!$D$2:$D$1946)</f>
        <v>66</v>
      </c>
      <c r="E439" s="3" t="str" cm="1">
        <f t="array" ref="E439">_xlfn.XLOOKUP(1,
    (pivot!$A$2:$A$1946=endirim!B439) * (pivot!$D$2:$D$1946 = _xlfn.MAXIFS(pivot!$D$2:$D$1946, pivot!$A$2:$A$1946, endirim!B439)),
    pivot!$B$2:$B$1946)</f>
        <v>NonUSTravel</v>
      </c>
      <c r="F439" s="22">
        <f>_xlfn.MAXIFS(pivot!$D$2:$D$1946, pivot!$A$2:$A$1946, endirim!B439)</f>
        <v>66</v>
      </c>
      <c r="G439" s="3" t="str">
        <f t="shared" si="6"/>
        <v>Təklif yoxdur</v>
      </c>
    </row>
    <row r="440" spans="2:7" x14ac:dyDescent="0.3">
      <c r="B440" t="s">
        <v>494</v>
      </c>
      <c r="C440" s="3" t="str" cm="1">
        <f t="array" ref="C440">_xlfn.XLOOKUP(1,(pivot!$A$2:$A$1946=Table3[[#This Row],[Müştəri adı]])*(pivot!$C$2:$C$1946=_xlfn.MAXIFS(pivot!$C$2:$C$1946,pivot!$A$2:$A$1946,Table3[[#This Row],[Müştəri adı]])),pivot!$B$2:$B$1946)</f>
        <v>OptOutMailings</v>
      </c>
      <c r="D440" s="22" cm="1">
        <f t="array" ref="D440">_xlfn.XLOOKUP(1,
  (pivot!$A$2:$A$1946=endirim!B440) * (pivot!$C$2:$C$1946 = _xlfn.MAXIFS(pivot!$C$2:$C$1946, pivot!$A$2:$A$1946, endirim!B440)),
  pivot!$D$2:$D$1946)</f>
        <v>75</v>
      </c>
      <c r="E440" s="3" t="str" cm="1">
        <f t="array" ref="E440">_xlfn.XLOOKUP(1,
    (pivot!$A$2:$A$1946=endirim!B440) * (pivot!$D$2:$D$1946 = _xlfn.MAXIFS(pivot!$D$2:$D$1946, pivot!$A$2:$A$1946, endirim!B440)),
    pivot!$B$2:$B$1946)</f>
        <v>OptOutMailings</v>
      </c>
      <c r="F440" s="22">
        <f>_xlfn.MAXIFS(pivot!$D$2:$D$1946, pivot!$A$2:$A$1946, endirim!B440)</f>
        <v>75</v>
      </c>
      <c r="G440" s="3" t="str">
        <f t="shared" si="6"/>
        <v>Təklif yoxdur</v>
      </c>
    </row>
    <row r="441" spans="2:7" x14ac:dyDescent="0.3">
      <c r="B441" t="s">
        <v>495</v>
      </c>
      <c r="C441" s="3" t="str" cm="1">
        <f t="array" ref="C441">_xlfn.XLOOKUP(1,(pivot!$A$2:$A$1946=Table3[[#This Row],[Müştəri adı]])*(pivot!$C$2:$C$1946=_xlfn.MAXIFS(pivot!$C$2:$C$1946,pivot!$A$2:$A$1946,Table3[[#This Row],[Müştəri adı]])),pivot!$B$2:$B$1946)</f>
        <v>RespondsToMailOffers</v>
      </c>
      <c r="D441" s="22" cm="1">
        <f t="array" ref="D441">_xlfn.XLOOKUP(1,
  (pivot!$A$2:$A$1946=endirim!B441) * (pivot!$C$2:$C$1946 = _xlfn.MAXIFS(pivot!$C$2:$C$1946, pivot!$A$2:$A$1946, endirim!B441)),
  pivot!$D$2:$D$1946)</f>
        <v>27</v>
      </c>
      <c r="E441" s="3" t="str" cm="1">
        <f t="array" ref="E441">_xlfn.XLOOKUP(1,
    (pivot!$A$2:$A$1946=endirim!B441) * (pivot!$D$2:$D$1946 = _xlfn.MAXIFS(pivot!$D$2:$D$1946, pivot!$A$2:$A$1946, endirim!B441)),
    pivot!$B$2:$B$1946)</f>
        <v>RespondsToMailOffers</v>
      </c>
      <c r="F441" s="22">
        <f>_xlfn.MAXIFS(pivot!$D$2:$D$1946, pivot!$A$2:$A$1946, endirim!B441)</f>
        <v>27</v>
      </c>
      <c r="G441" s="3" t="str">
        <f t="shared" si="6"/>
        <v>Təklif yoxdur</v>
      </c>
    </row>
    <row r="442" spans="2:7" x14ac:dyDescent="0.3">
      <c r="B442" t="s">
        <v>496</v>
      </c>
      <c r="C442" s="3" t="str" cm="1">
        <f t="array" ref="C442">_xlfn.XLOOKUP(1,(pivot!$A$2:$A$1946=Table3[[#This Row],[Müştəri adı]])*(pivot!$C$2:$C$1946=_xlfn.MAXIFS(pivot!$C$2:$C$1946,pivot!$A$2:$A$1946,Table3[[#This Row],[Müştəri adı]])),pivot!$B$2:$B$1946)</f>
        <v>NonUSTravel</v>
      </c>
      <c r="D442" s="22" cm="1">
        <f t="array" ref="D442">_xlfn.XLOOKUP(1,
  (pivot!$A$2:$A$1946=endirim!B442) * (pivot!$C$2:$C$1946 = _xlfn.MAXIFS(pivot!$C$2:$C$1946, pivot!$A$2:$A$1946, endirim!B442)),
  pivot!$D$2:$D$1946)</f>
        <v>66</v>
      </c>
      <c r="E442" s="3" t="str" cm="1">
        <f t="array" ref="E442">_xlfn.XLOOKUP(1,
    (pivot!$A$2:$A$1946=endirim!B442) * (pivot!$D$2:$D$1946 = _xlfn.MAXIFS(pivot!$D$2:$D$1946, pivot!$A$2:$A$1946, endirim!B442)),
    pivot!$B$2:$B$1946)</f>
        <v>NonUSTravel</v>
      </c>
      <c r="F442" s="22">
        <f>_xlfn.MAXIFS(pivot!$D$2:$D$1946, pivot!$A$2:$A$1946, endirim!B442)</f>
        <v>66</v>
      </c>
      <c r="G442" s="3" t="str">
        <f t="shared" si="6"/>
        <v>Təklif yoxdur</v>
      </c>
    </row>
    <row r="443" spans="2:7" x14ac:dyDescent="0.3">
      <c r="B443" t="s">
        <v>497</v>
      </c>
      <c r="C443" s="3" t="str" cm="1">
        <f t="array" ref="C443">_xlfn.XLOOKUP(1,(pivot!$A$2:$A$1946=Table3[[#This Row],[Müştəri adı]])*(pivot!$C$2:$C$1946=_xlfn.MAXIFS(pivot!$C$2:$C$1946,pivot!$A$2:$A$1946,Table3[[#This Row],[Müştəri adı]])),pivot!$B$2:$B$1946)</f>
        <v>MaritalStatus</v>
      </c>
      <c r="D443" s="22" cm="1">
        <f t="array" ref="D443">_xlfn.XLOOKUP(1,
  (pivot!$A$2:$A$1946=endirim!B443) * (pivot!$C$2:$C$1946 = _xlfn.MAXIFS(pivot!$C$2:$C$1946, pivot!$A$2:$A$1946, endirim!B443)),
  pivot!$D$2:$D$1946)</f>
        <v>29</v>
      </c>
      <c r="E443" s="3" t="str" cm="1">
        <f t="array" ref="E443">_xlfn.XLOOKUP(1,
    (pivot!$A$2:$A$1946=endirim!B443) * (pivot!$D$2:$D$1946 = _xlfn.MAXIFS(pivot!$D$2:$D$1946, pivot!$A$2:$A$1946, endirim!B443)),
    pivot!$B$2:$B$1946)</f>
        <v>MaritalStatus</v>
      </c>
      <c r="F443" s="22">
        <f>_xlfn.MAXIFS(pivot!$D$2:$D$1946, pivot!$A$2:$A$1946, endirim!B443)</f>
        <v>29</v>
      </c>
      <c r="G443" s="3" t="str">
        <f t="shared" si="6"/>
        <v>Təklif yoxdur</v>
      </c>
    </row>
    <row r="444" spans="2:7" x14ac:dyDescent="0.3">
      <c r="B444" t="s">
        <v>498</v>
      </c>
      <c r="C444" s="3" t="str" cm="1">
        <f t="array" ref="C444">_xlfn.XLOOKUP(1,(pivot!$A$2:$A$1946=Table3[[#This Row],[Müştəri adı]])*(pivot!$C$2:$C$1946=_xlfn.MAXIFS(pivot!$C$2:$C$1946,pivot!$A$2:$A$1946,Table3[[#This Row],[Müştəri adı]])),pivot!$B$2:$B$1946)</f>
        <v>BuysViaMailOrder</v>
      </c>
      <c r="D444" s="22" cm="1">
        <f t="array" ref="D444">_xlfn.XLOOKUP(1,
  (pivot!$A$2:$A$1946=endirim!B444) * (pivot!$C$2:$C$1946 = _xlfn.MAXIFS(pivot!$C$2:$C$1946, pivot!$A$2:$A$1946, endirim!B444)),
  pivot!$D$2:$D$1946)</f>
        <v>25</v>
      </c>
      <c r="E444" s="3" t="str" cm="1">
        <f t="array" ref="E444">_xlfn.XLOOKUP(1,
    (pivot!$A$2:$A$1946=endirim!B444) * (pivot!$D$2:$D$1946 = _xlfn.MAXIFS(pivot!$D$2:$D$1946, pivot!$A$2:$A$1946, endirim!B444)),
    pivot!$B$2:$B$1946)</f>
        <v>BuysViaMailOrder</v>
      </c>
      <c r="F444" s="22">
        <f>_xlfn.MAXIFS(pivot!$D$2:$D$1946, pivot!$A$2:$A$1946, endirim!B444)</f>
        <v>25</v>
      </c>
      <c r="G444" s="3" t="str">
        <f t="shared" si="6"/>
        <v>Təklif yoxdur</v>
      </c>
    </row>
    <row r="445" spans="2:7" x14ac:dyDescent="0.3">
      <c r="B445" t="s">
        <v>499</v>
      </c>
      <c r="C445" s="3" t="str" cm="1">
        <f t="array" ref="C445">_xlfn.XLOOKUP(1,(pivot!$A$2:$A$1946=Table3[[#This Row],[Müştəri adı]])*(pivot!$C$2:$C$1946=_xlfn.MAXIFS(pivot!$C$2:$C$1946,pivot!$A$2:$A$1946,Table3[[#This Row],[Müştəri adı]])),pivot!$B$2:$B$1946)</f>
        <v>TruckOwner</v>
      </c>
      <c r="D445" s="22" cm="1">
        <f t="array" ref="D445">_xlfn.XLOOKUP(1,
  (pivot!$A$2:$A$1946=endirim!B445) * (pivot!$C$2:$C$1946 = _xlfn.MAXIFS(pivot!$C$2:$C$1946, pivot!$A$2:$A$1946, endirim!B445)),
  pivot!$D$2:$D$1946)</f>
        <v>26</v>
      </c>
      <c r="E445" s="3" t="str" cm="1">
        <f t="array" ref="E445">_xlfn.XLOOKUP(1,
    (pivot!$A$2:$A$1946=endirim!B445) * (pivot!$D$2:$D$1946 = _xlfn.MAXIFS(pivot!$D$2:$D$1946, pivot!$A$2:$A$1946, endirim!B445)),
    pivot!$B$2:$B$1946)</f>
        <v>RespondsToMailOffers</v>
      </c>
      <c r="F445" s="22">
        <f>_xlfn.MAXIFS(pivot!$D$2:$D$1946, pivot!$A$2:$A$1946, endirim!B445)</f>
        <v>27</v>
      </c>
      <c r="G445" s="3" t="str">
        <f t="shared" si="6"/>
        <v>RespondsToMailOffers Kompaniyasını 20% endirimlə təklif et</v>
      </c>
    </row>
    <row r="446" spans="2:7" x14ac:dyDescent="0.3">
      <c r="B446" t="s">
        <v>500</v>
      </c>
      <c r="C446" s="3" t="str" cm="1">
        <f t="array" ref="C446">_xlfn.XLOOKUP(1,(pivot!$A$2:$A$1946=Table3[[#This Row],[Müştəri adı]])*(pivot!$C$2:$C$1946=_xlfn.MAXIFS(pivot!$C$2:$C$1946,pivot!$A$2:$A$1946,Table3[[#This Row],[Müştəri adı]])),pivot!$B$2:$B$1946)</f>
        <v>HandsetWebCapable</v>
      </c>
      <c r="D446" s="22" cm="1">
        <f t="array" ref="D446">_xlfn.XLOOKUP(1,
  (pivot!$A$2:$A$1946=endirim!B446) * (pivot!$C$2:$C$1946 = _xlfn.MAXIFS(pivot!$C$2:$C$1946, pivot!$A$2:$A$1946, endirim!B446)),
  pivot!$D$2:$D$1946)</f>
        <v>62</v>
      </c>
      <c r="E446" s="3" t="str" cm="1">
        <f t="array" ref="E446">_xlfn.XLOOKUP(1,
    (pivot!$A$2:$A$1946=endirim!B446) * (pivot!$D$2:$D$1946 = _xlfn.MAXIFS(pivot!$D$2:$D$1946, pivot!$A$2:$A$1946, endirim!B446)),
    pivot!$B$2:$B$1946)</f>
        <v>HandsetWebCapable</v>
      </c>
      <c r="F446" s="22">
        <f>_xlfn.MAXIFS(pivot!$D$2:$D$1946, pivot!$A$2:$A$1946, endirim!B446)</f>
        <v>62</v>
      </c>
      <c r="G446" s="3" t="str">
        <f t="shared" si="6"/>
        <v>Təklif yoxdur</v>
      </c>
    </row>
    <row r="447" spans="2:7" x14ac:dyDescent="0.3">
      <c r="B447" t="s">
        <v>501</v>
      </c>
      <c r="C447" s="3" t="str" cm="1">
        <f t="array" ref="C447">_xlfn.XLOOKUP(1,(pivot!$A$2:$A$1946=Table3[[#This Row],[Müştəri adı]])*(pivot!$C$2:$C$1946=_xlfn.MAXIFS(pivot!$C$2:$C$1946,pivot!$A$2:$A$1946,Table3[[#This Row],[Müştəri adı]])),pivot!$B$2:$B$1946)</f>
        <v>HandsetRefurbished</v>
      </c>
      <c r="D447" s="22" cm="1">
        <f t="array" ref="D447">_xlfn.XLOOKUP(1,
  (pivot!$A$2:$A$1946=endirim!B447) * (pivot!$C$2:$C$1946 = _xlfn.MAXIFS(pivot!$C$2:$C$1946, pivot!$A$2:$A$1946, endirim!B447)),
  pivot!$D$2:$D$1946)</f>
        <v>26</v>
      </c>
      <c r="E447" s="3" t="str" cm="1">
        <f t="array" ref="E447">_xlfn.XLOOKUP(1,
    (pivot!$A$2:$A$1946=endirim!B447) * (pivot!$D$2:$D$1946 = _xlfn.MAXIFS(pivot!$D$2:$D$1946, pivot!$A$2:$A$1946, endirim!B447)),
    pivot!$B$2:$B$1946)</f>
        <v>HandsetRefurbished</v>
      </c>
      <c r="F447" s="22">
        <f>_xlfn.MAXIFS(pivot!$D$2:$D$1946, pivot!$A$2:$A$1946, endirim!B447)</f>
        <v>26</v>
      </c>
      <c r="G447" s="3" t="str">
        <f t="shared" si="6"/>
        <v>Təklif yoxdur</v>
      </c>
    </row>
    <row r="448" spans="2:7" x14ac:dyDescent="0.3">
      <c r="B448" t="s">
        <v>502</v>
      </c>
      <c r="C448" s="3" t="str" cm="1">
        <f t="array" ref="C448">_xlfn.XLOOKUP(1,(pivot!$A$2:$A$1946=Table3[[#This Row],[Müştəri adı]])*(pivot!$C$2:$C$1946=_xlfn.MAXIFS(pivot!$C$2:$C$1946,pivot!$A$2:$A$1946,Table3[[#This Row],[Müştəri adı]])),pivot!$B$2:$B$1946)</f>
        <v>NewCellphoneUser</v>
      </c>
      <c r="D448" s="22" cm="1">
        <f t="array" ref="D448">_xlfn.XLOOKUP(1,
  (pivot!$A$2:$A$1946=endirim!B448) * (pivot!$C$2:$C$1946 = _xlfn.MAXIFS(pivot!$C$2:$C$1946, pivot!$A$2:$A$1946, endirim!B448)),
  pivot!$D$2:$D$1946)</f>
        <v>25</v>
      </c>
      <c r="E448" s="3" t="str" cm="1">
        <f t="array" ref="E448">_xlfn.XLOOKUP(1,
    (pivot!$A$2:$A$1946=endirim!B448) * (pivot!$D$2:$D$1946 = _xlfn.MAXIFS(pivot!$D$2:$D$1946, pivot!$A$2:$A$1946, endirim!B448)),
    pivot!$B$2:$B$1946)</f>
        <v>NewCellphoneUser</v>
      </c>
      <c r="F448" s="22">
        <f>_xlfn.MAXIFS(pivot!$D$2:$D$1946, pivot!$A$2:$A$1946, endirim!B448)</f>
        <v>25</v>
      </c>
      <c r="G448" s="3" t="str">
        <f t="shared" si="6"/>
        <v>Təklif yoxdur</v>
      </c>
    </row>
    <row r="449" spans="2:7" x14ac:dyDescent="0.3">
      <c r="B449" t="s">
        <v>503</v>
      </c>
      <c r="C449" s="3" t="str" cm="1">
        <f t="array" ref="C449">_xlfn.XLOOKUP(1,(pivot!$A$2:$A$1946=Table3[[#This Row],[Müştəri adı]])*(pivot!$C$2:$C$1946=_xlfn.MAXIFS(pivot!$C$2:$C$1946,pivot!$A$2:$A$1946,Table3[[#This Row],[Müştəri adı]])),pivot!$B$2:$B$1946)</f>
        <v>MaritalStatus</v>
      </c>
      <c r="D449" s="22" cm="1">
        <f t="array" ref="D449">_xlfn.XLOOKUP(1,
  (pivot!$A$2:$A$1946=endirim!B449) * (pivot!$C$2:$C$1946 = _xlfn.MAXIFS(pivot!$C$2:$C$1946, pivot!$A$2:$A$1946, endirim!B449)),
  pivot!$D$2:$D$1946)</f>
        <v>29</v>
      </c>
      <c r="E449" s="3" t="str" cm="1">
        <f t="array" ref="E449">_xlfn.XLOOKUP(1,
    (pivot!$A$2:$A$1946=endirim!B449) * (pivot!$D$2:$D$1946 = _xlfn.MAXIFS(pivot!$D$2:$D$1946, pivot!$A$2:$A$1946, endirim!B449)),
    pivot!$B$2:$B$1946)</f>
        <v>MaritalStatus</v>
      </c>
      <c r="F449" s="22">
        <f>_xlfn.MAXIFS(pivot!$D$2:$D$1946, pivot!$A$2:$A$1946, endirim!B449)</f>
        <v>29</v>
      </c>
      <c r="G449" s="3" t="str">
        <f t="shared" si="6"/>
        <v>Təklif yoxdur</v>
      </c>
    </row>
    <row r="450" spans="2:7" x14ac:dyDescent="0.3">
      <c r="B450" t="s">
        <v>504</v>
      </c>
      <c r="C450" s="3" t="str" cm="1">
        <f t="array" ref="C450">_xlfn.XLOOKUP(1,(pivot!$A$2:$A$1946=Table3[[#This Row],[Müştəri adı]])*(pivot!$C$2:$C$1946=_xlfn.MAXIFS(pivot!$C$2:$C$1946,pivot!$A$2:$A$1946,Table3[[#This Row],[Müştəri adı]])),pivot!$B$2:$B$1946)</f>
        <v>RVOwner</v>
      </c>
      <c r="D450" s="22" cm="1">
        <f t="array" ref="D450">_xlfn.XLOOKUP(1,
  (pivot!$A$2:$A$1946=endirim!B450) * (pivot!$C$2:$C$1946 = _xlfn.MAXIFS(pivot!$C$2:$C$1946, pivot!$A$2:$A$1946, endirim!B450)),
  pivot!$D$2:$D$1946)</f>
        <v>22</v>
      </c>
      <c r="E450" s="3" t="str" cm="1">
        <f t="array" ref="E450">_xlfn.XLOOKUP(1,
    (pivot!$A$2:$A$1946=endirim!B450) * (pivot!$D$2:$D$1946 = _xlfn.MAXIFS(pivot!$D$2:$D$1946, pivot!$A$2:$A$1946, endirim!B450)),
    pivot!$B$2:$B$1946)</f>
        <v>RVOwner</v>
      </c>
      <c r="F450" s="22">
        <f>_xlfn.MAXIFS(pivot!$D$2:$D$1946, pivot!$A$2:$A$1946, endirim!B450)</f>
        <v>22</v>
      </c>
      <c r="G450" s="3" t="str">
        <f t="shared" si="6"/>
        <v>Təklif yoxdur</v>
      </c>
    </row>
    <row r="451" spans="2:7" x14ac:dyDescent="0.3">
      <c r="B451" t="s">
        <v>505</v>
      </c>
      <c r="C451" s="3" t="str" cm="1">
        <f t="array" ref="C451">_xlfn.XLOOKUP(1,(pivot!$A$2:$A$1946=Table3[[#This Row],[Müştəri adı]])*(pivot!$C$2:$C$1946=_xlfn.MAXIFS(pivot!$C$2:$C$1946,pivot!$A$2:$A$1946,Table3[[#This Row],[Müştəri adı]])),pivot!$B$2:$B$1946)</f>
        <v>HandsetRefurbished</v>
      </c>
      <c r="D451" s="22" cm="1">
        <f t="array" ref="D451">_xlfn.XLOOKUP(1,
  (pivot!$A$2:$A$1946=endirim!B451) * (pivot!$C$2:$C$1946 = _xlfn.MAXIFS(pivot!$C$2:$C$1946, pivot!$A$2:$A$1946, endirim!B451)),
  pivot!$D$2:$D$1946)</f>
        <v>26</v>
      </c>
      <c r="E451" s="3" t="str" cm="1">
        <f t="array" ref="E451">_xlfn.XLOOKUP(1,
    (pivot!$A$2:$A$1946=endirim!B451) * (pivot!$D$2:$D$1946 = _xlfn.MAXIFS(pivot!$D$2:$D$1946, pivot!$A$2:$A$1946, endirim!B451)),
    pivot!$B$2:$B$1946)</f>
        <v>HandsetWebCapable</v>
      </c>
      <c r="F451" s="22">
        <f>_xlfn.MAXIFS(pivot!$D$2:$D$1946, pivot!$A$2:$A$1946, endirim!B451)</f>
        <v>62</v>
      </c>
      <c r="G451" s="3" t="str">
        <f t="shared" si="6"/>
        <v>HandsetWebCapable Kompaniyasını 20% endirimlə təklif et</v>
      </c>
    </row>
    <row r="452" spans="2:7" x14ac:dyDescent="0.3">
      <c r="B452" t="s">
        <v>506</v>
      </c>
      <c r="C452" s="3" t="str" cm="1">
        <f t="array" ref="C452">_xlfn.XLOOKUP(1,(pivot!$A$2:$A$1946=Table3[[#This Row],[Müştəri adı]])*(pivot!$C$2:$C$1946=_xlfn.MAXIFS(pivot!$C$2:$C$1946,pivot!$A$2:$A$1946,Table3[[#This Row],[Müştəri adı]])),pivot!$B$2:$B$1946)</f>
        <v>TruckOwner</v>
      </c>
      <c r="D452" s="22" cm="1">
        <f t="array" ref="D452">_xlfn.XLOOKUP(1,
  (pivot!$A$2:$A$1946=endirim!B452) * (pivot!$C$2:$C$1946 = _xlfn.MAXIFS(pivot!$C$2:$C$1946, pivot!$A$2:$A$1946, endirim!B452)),
  pivot!$D$2:$D$1946)</f>
        <v>26</v>
      </c>
      <c r="E452" s="3" t="str" cm="1">
        <f t="array" ref="E452">_xlfn.XLOOKUP(1,
    (pivot!$A$2:$A$1946=endirim!B452) * (pivot!$D$2:$D$1946 = _xlfn.MAXIFS(pivot!$D$2:$D$1946, pivot!$A$2:$A$1946, endirim!B452)),
    pivot!$B$2:$B$1946)</f>
        <v>TruckOwner</v>
      </c>
      <c r="F452" s="22">
        <f>_xlfn.MAXIFS(pivot!$D$2:$D$1946, pivot!$A$2:$A$1946, endirim!B452)</f>
        <v>26</v>
      </c>
      <c r="G452" s="3" t="str">
        <f t="shared" ref="G452:G515" si="7">IF(D452=F452, "Təklif yoxdur", E452&amp;" Kompaniyasını 20% endirimlə təklif et")</f>
        <v>Təklif yoxdur</v>
      </c>
    </row>
    <row r="453" spans="2:7" x14ac:dyDescent="0.3">
      <c r="B453" t="s">
        <v>507</v>
      </c>
      <c r="C453" s="3" t="str" cm="1">
        <f t="array" ref="C453">_xlfn.XLOOKUP(1,(pivot!$A$2:$A$1946=Table3[[#This Row],[Müştəri adı]])*(pivot!$C$2:$C$1946=_xlfn.MAXIFS(pivot!$C$2:$C$1946,pivot!$A$2:$A$1946,Table3[[#This Row],[Müştəri adı]])),pivot!$B$2:$B$1946)</f>
        <v>MadeCallToRetentionTeam</v>
      </c>
      <c r="D453" s="22" cm="1">
        <f t="array" ref="D453">_xlfn.XLOOKUP(1,
  (pivot!$A$2:$A$1946=endirim!B453) * (pivot!$C$2:$C$1946 = _xlfn.MAXIFS(pivot!$C$2:$C$1946, pivot!$A$2:$A$1946, endirim!B453)),
  pivot!$D$2:$D$1946)</f>
        <v>16</v>
      </c>
      <c r="E453" s="3" t="str" cm="1">
        <f t="array" ref="E453">_xlfn.XLOOKUP(1,
    (pivot!$A$2:$A$1946=endirim!B453) * (pivot!$D$2:$D$1946 = _xlfn.MAXIFS(pivot!$D$2:$D$1946, pivot!$A$2:$A$1946, endirim!B453)),
    pivot!$B$2:$B$1946)</f>
        <v>RVOwner</v>
      </c>
      <c r="F453" s="22">
        <f>_xlfn.MAXIFS(pivot!$D$2:$D$1946, pivot!$A$2:$A$1946, endirim!B453)</f>
        <v>22</v>
      </c>
      <c r="G453" s="3" t="str">
        <f t="shared" si="7"/>
        <v>RVOwner Kompaniyasını 20% endirimlə təklif et</v>
      </c>
    </row>
    <row r="454" spans="2:7" x14ac:dyDescent="0.3">
      <c r="B454" t="s">
        <v>508</v>
      </c>
      <c r="C454" s="3" t="str" cm="1">
        <f t="array" ref="C454">_xlfn.XLOOKUP(1,(pivot!$A$2:$A$1946=Table3[[#This Row],[Müştəri adı]])*(pivot!$C$2:$C$1946=_xlfn.MAXIFS(pivot!$C$2:$C$1946,pivot!$A$2:$A$1946,Table3[[#This Row],[Müştəri adı]])),pivot!$B$2:$B$1946)</f>
        <v>HandsetWebCapable</v>
      </c>
      <c r="D454" s="22" cm="1">
        <f t="array" ref="D454">_xlfn.XLOOKUP(1,
  (pivot!$A$2:$A$1946=endirim!B454) * (pivot!$C$2:$C$1946 = _xlfn.MAXIFS(pivot!$C$2:$C$1946, pivot!$A$2:$A$1946, endirim!B454)),
  pivot!$D$2:$D$1946)</f>
        <v>62</v>
      </c>
      <c r="E454" s="3" t="str" cm="1">
        <f t="array" ref="E454">_xlfn.XLOOKUP(1,
    (pivot!$A$2:$A$1946=endirim!B454) * (pivot!$D$2:$D$1946 = _xlfn.MAXIFS(pivot!$D$2:$D$1946, pivot!$A$2:$A$1946, endirim!B454)),
    pivot!$B$2:$B$1946)</f>
        <v>HandsetWebCapable</v>
      </c>
      <c r="F454" s="22">
        <f>_xlfn.MAXIFS(pivot!$D$2:$D$1946, pivot!$A$2:$A$1946, endirim!B454)</f>
        <v>62</v>
      </c>
      <c r="G454" s="3" t="str">
        <f t="shared" si="7"/>
        <v>Təklif yoxdur</v>
      </c>
    </row>
    <row r="455" spans="2:7" x14ac:dyDescent="0.3">
      <c r="B455" t="s">
        <v>509</v>
      </c>
      <c r="C455" s="3" t="str" cm="1">
        <f t="array" ref="C455">_xlfn.XLOOKUP(1,(pivot!$A$2:$A$1946=Table3[[#This Row],[Müştəri adı]])*(pivot!$C$2:$C$1946=_xlfn.MAXIFS(pivot!$C$2:$C$1946,pivot!$A$2:$A$1946,Table3[[#This Row],[Müştəri adı]])),pivot!$B$2:$B$1946)</f>
        <v>TruckOwner</v>
      </c>
      <c r="D455" s="22" cm="1">
        <f t="array" ref="D455">_xlfn.XLOOKUP(1,
  (pivot!$A$2:$A$1946=endirim!B455) * (pivot!$C$2:$C$1946 = _xlfn.MAXIFS(pivot!$C$2:$C$1946, pivot!$A$2:$A$1946, endirim!B455)),
  pivot!$D$2:$D$1946)</f>
        <v>26</v>
      </c>
      <c r="E455" s="3" t="str" cm="1">
        <f t="array" ref="E455">_xlfn.XLOOKUP(1,
    (pivot!$A$2:$A$1946=endirim!B455) * (pivot!$D$2:$D$1946 = _xlfn.MAXIFS(pivot!$D$2:$D$1946, pivot!$A$2:$A$1946, endirim!B455)),
    pivot!$B$2:$B$1946)</f>
        <v>OptOutMailings</v>
      </c>
      <c r="F455" s="22">
        <f>_xlfn.MAXIFS(pivot!$D$2:$D$1946, pivot!$A$2:$A$1946, endirim!B455)</f>
        <v>75</v>
      </c>
      <c r="G455" s="3" t="str">
        <f t="shared" si="7"/>
        <v>OptOutMailings Kompaniyasını 20% endirimlə təklif et</v>
      </c>
    </row>
    <row r="456" spans="2:7" x14ac:dyDescent="0.3">
      <c r="B456" t="s">
        <v>510</v>
      </c>
      <c r="C456" s="3" t="str" cm="1">
        <f t="array" ref="C456">_xlfn.XLOOKUP(1,(pivot!$A$2:$A$1946=Table3[[#This Row],[Müştəri adı]])*(pivot!$C$2:$C$1946=_xlfn.MAXIFS(pivot!$C$2:$C$1946,pivot!$A$2:$A$1946,Table3[[#This Row],[Müştəri adı]])),pivot!$B$2:$B$1946)</f>
        <v>TruckOwner</v>
      </c>
      <c r="D456" s="22" cm="1">
        <f t="array" ref="D456">_xlfn.XLOOKUP(1,
  (pivot!$A$2:$A$1946=endirim!B456) * (pivot!$C$2:$C$1946 = _xlfn.MAXIFS(pivot!$C$2:$C$1946, pivot!$A$2:$A$1946, endirim!B456)),
  pivot!$D$2:$D$1946)</f>
        <v>26</v>
      </c>
      <c r="E456" s="3" t="str" cm="1">
        <f t="array" ref="E456">_xlfn.XLOOKUP(1,
    (pivot!$A$2:$A$1946=endirim!B456) * (pivot!$D$2:$D$1946 = _xlfn.MAXIFS(pivot!$D$2:$D$1946, pivot!$A$2:$A$1946, endirim!B456)),
    pivot!$B$2:$B$1946)</f>
        <v>TruckOwner</v>
      </c>
      <c r="F456" s="22">
        <f>_xlfn.MAXIFS(pivot!$D$2:$D$1946, pivot!$A$2:$A$1946, endirim!B456)</f>
        <v>26</v>
      </c>
      <c r="G456" s="3" t="str">
        <f t="shared" si="7"/>
        <v>Təklif yoxdur</v>
      </c>
    </row>
    <row r="457" spans="2:7" x14ac:dyDescent="0.3">
      <c r="B457" t="s">
        <v>511</v>
      </c>
      <c r="C457" s="3" t="str" cm="1">
        <f t="array" ref="C457">_xlfn.XLOOKUP(1,(pivot!$A$2:$A$1946=Table3[[#This Row],[Müştəri adı]])*(pivot!$C$2:$C$1946=_xlfn.MAXIFS(pivot!$C$2:$C$1946,pivot!$A$2:$A$1946,Table3[[#This Row],[Müştəri adı]])),pivot!$B$2:$B$1946)</f>
        <v>Homeownership</v>
      </c>
      <c r="D457" s="22" cm="1">
        <f t="array" ref="D457">_xlfn.XLOOKUP(1,
  (pivot!$A$2:$A$1946=endirim!B457) * (pivot!$C$2:$C$1946 = _xlfn.MAXIFS(pivot!$C$2:$C$1946, pivot!$A$2:$A$1946, endirim!B457)),
  pivot!$D$2:$D$1946)</f>
        <v>13</v>
      </c>
      <c r="E457" s="3" t="str" cm="1">
        <f t="array" ref="E457">_xlfn.XLOOKUP(1,
    (pivot!$A$2:$A$1946=endirim!B457) * (pivot!$D$2:$D$1946 = _xlfn.MAXIFS(pivot!$D$2:$D$1946, pivot!$A$2:$A$1946, endirim!B457)),
    pivot!$B$2:$B$1946)</f>
        <v>NewCellphoneUser</v>
      </c>
      <c r="F457" s="22">
        <f>_xlfn.MAXIFS(pivot!$D$2:$D$1946, pivot!$A$2:$A$1946, endirim!B457)</f>
        <v>25</v>
      </c>
      <c r="G457" s="3" t="str">
        <f t="shared" si="7"/>
        <v>NewCellphoneUser Kompaniyasını 20% endirimlə təklif et</v>
      </c>
    </row>
    <row r="458" spans="2:7" x14ac:dyDescent="0.3">
      <c r="B458" t="s">
        <v>512</v>
      </c>
      <c r="C458" s="3" t="str" cm="1">
        <f t="array" ref="C458">_xlfn.XLOOKUP(1,(pivot!$A$2:$A$1946=Table3[[#This Row],[Müştəri adı]])*(pivot!$C$2:$C$1946=_xlfn.MAXIFS(pivot!$C$2:$C$1946,pivot!$A$2:$A$1946,Table3[[#This Row],[Müştəri adı]])),pivot!$B$2:$B$1946)</f>
        <v>RespondsToMailOffers</v>
      </c>
      <c r="D458" s="22" cm="1">
        <f t="array" ref="D458">_xlfn.XLOOKUP(1,
  (pivot!$A$2:$A$1946=endirim!B458) * (pivot!$C$2:$C$1946 = _xlfn.MAXIFS(pivot!$C$2:$C$1946, pivot!$A$2:$A$1946, endirim!B458)),
  pivot!$D$2:$D$1946)</f>
        <v>27</v>
      </c>
      <c r="E458" s="3" t="str" cm="1">
        <f t="array" ref="E458">_xlfn.XLOOKUP(1,
    (pivot!$A$2:$A$1946=endirim!B458) * (pivot!$D$2:$D$1946 = _xlfn.MAXIFS(pivot!$D$2:$D$1946, pivot!$A$2:$A$1946, endirim!B458)),
    pivot!$B$2:$B$1946)</f>
        <v>NonUSTravel</v>
      </c>
      <c r="F458" s="22">
        <f>_xlfn.MAXIFS(pivot!$D$2:$D$1946, pivot!$A$2:$A$1946, endirim!B458)</f>
        <v>66</v>
      </c>
      <c r="G458" s="3" t="str">
        <f t="shared" si="7"/>
        <v>NonUSTravel Kompaniyasını 20% endirimlə təklif et</v>
      </c>
    </row>
    <row r="459" spans="2:7" x14ac:dyDescent="0.3">
      <c r="B459" t="s">
        <v>513</v>
      </c>
      <c r="C459" s="3" t="str" cm="1">
        <f t="array" ref="C459">_xlfn.XLOOKUP(1,(pivot!$A$2:$A$1946=Table3[[#This Row],[Müştəri adı]])*(pivot!$C$2:$C$1946=_xlfn.MAXIFS(pivot!$C$2:$C$1946,pivot!$A$2:$A$1946,Table3[[#This Row],[Müştəri adı]])),pivot!$B$2:$B$1946)</f>
        <v>NotNewCellphoneUser</v>
      </c>
      <c r="D459" s="22" cm="1">
        <f t="array" ref="D459">_xlfn.XLOOKUP(1,
  (pivot!$A$2:$A$1946=endirim!B459) * (pivot!$C$2:$C$1946 = _xlfn.MAXIFS(pivot!$C$2:$C$1946, pivot!$A$2:$A$1946, endirim!B459)),
  pivot!$D$2:$D$1946)</f>
        <v>28</v>
      </c>
      <c r="E459" s="3" t="str" cm="1">
        <f t="array" ref="E459">_xlfn.XLOOKUP(1,
    (pivot!$A$2:$A$1946=endirim!B459) * (pivot!$D$2:$D$1946 = _xlfn.MAXIFS(pivot!$D$2:$D$1946, pivot!$A$2:$A$1946, endirim!B459)),
    pivot!$B$2:$B$1946)</f>
        <v>NotNewCellphoneUser</v>
      </c>
      <c r="F459" s="22">
        <f>_xlfn.MAXIFS(pivot!$D$2:$D$1946, pivot!$A$2:$A$1946, endirim!B459)</f>
        <v>28</v>
      </c>
      <c r="G459" s="3" t="str">
        <f t="shared" si="7"/>
        <v>Təklif yoxdur</v>
      </c>
    </row>
    <row r="460" spans="2:7" x14ac:dyDescent="0.3">
      <c r="B460" t="s">
        <v>514</v>
      </c>
      <c r="C460" s="3" t="str" cm="1">
        <f t="array" ref="C460">_xlfn.XLOOKUP(1,(pivot!$A$2:$A$1946=Table3[[#This Row],[Müştəri adı]])*(pivot!$C$2:$C$1946=_xlfn.MAXIFS(pivot!$C$2:$C$1946,pivot!$A$2:$A$1946,Table3[[#This Row],[Müştəri adı]])),pivot!$B$2:$B$1946)</f>
        <v>MaritalStatus</v>
      </c>
      <c r="D460" s="22" cm="1">
        <f t="array" ref="D460">_xlfn.XLOOKUP(1,
  (pivot!$A$2:$A$1946=endirim!B460) * (pivot!$C$2:$C$1946 = _xlfn.MAXIFS(pivot!$C$2:$C$1946, pivot!$A$2:$A$1946, endirim!B460)),
  pivot!$D$2:$D$1946)</f>
        <v>29</v>
      </c>
      <c r="E460" s="3" t="str" cm="1">
        <f t="array" ref="E460">_xlfn.XLOOKUP(1,
    (pivot!$A$2:$A$1946=endirim!B460) * (pivot!$D$2:$D$1946 = _xlfn.MAXIFS(pivot!$D$2:$D$1946, pivot!$A$2:$A$1946, endirim!B460)),
    pivot!$B$2:$B$1946)</f>
        <v>MaritalStatus</v>
      </c>
      <c r="F460" s="22">
        <f>_xlfn.MAXIFS(pivot!$D$2:$D$1946, pivot!$A$2:$A$1946, endirim!B460)</f>
        <v>29</v>
      </c>
      <c r="G460" s="3" t="str">
        <f t="shared" si="7"/>
        <v>Təklif yoxdur</v>
      </c>
    </row>
    <row r="461" spans="2:7" x14ac:dyDescent="0.3">
      <c r="B461" t="s">
        <v>515</v>
      </c>
      <c r="C461" s="3" t="str" cm="1">
        <f t="array" ref="C461">_xlfn.XLOOKUP(1,(pivot!$A$2:$A$1946=Table3[[#This Row],[Müştəri adı]])*(pivot!$C$2:$C$1946=_xlfn.MAXIFS(pivot!$C$2:$C$1946,pivot!$A$2:$A$1946,Table3[[#This Row],[Müştəri adı]])),pivot!$B$2:$B$1946)</f>
        <v>RVOwner</v>
      </c>
      <c r="D461" s="22" cm="1">
        <f t="array" ref="D461">_xlfn.XLOOKUP(1,
  (pivot!$A$2:$A$1946=endirim!B461) * (pivot!$C$2:$C$1946 = _xlfn.MAXIFS(pivot!$C$2:$C$1946, pivot!$A$2:$A$1946, endirim!B461)),
  pivot!$D$2:$D$1946)</f>
        <v>22</v>
      </c>
      <c r="E461" s="3" t="str" cm="1">
        <f t="array" ref="E461">_xlfn.XLOOKUP(1,
    (pivot!$A$2:$A$1946=endirim!B461) * (pivot!$D$2:$D$1946 = _xlfn.MAXIFS(pivot!$D$2:$D$1946, pivot!$A$2:$A$1946, endirim!B461)),
    pivot!$B$2:$B$1946)</f>
        <v>TruckOwner</v>
      </c>
      <c r="F461" s="22">
        <f>_xlfn.MAXIFS(pivot!$D$2:$D$1946, pivot!$A$2:$A$1946, endirim!B461)</f>
        <v>26</v>
      </c>
      <c r="G461" s="3" t="str">
        <f t="shared" si="7"/>
        <v>TruckOwner Kompaniyasını 20% endirimlə təklif et</v>
      </c>
    </row>
    <row r="462" spans="2:7" x14ac:dyDescent="0.3">
      <c r="B462" t="s">
        <v>516</v>
      </c>
      <c r="C462" s="3" t="str" cm="1">
        <f t="array" ref="C462">_xlfn.XLOOKUP(1,(pivot!$A$2:$A$1946=Table3[[#This Row],[Müştəri adı]])*(pivot!$C$2:$C$1946=_xlfn.MAXIFS(pivot!$C$2:$C$1946,pivot!$A$2:$A$1946,Table3[[#This Row],[Müştəri adı]])),pivot!$B$2:$B$1946)</f>
        <v>Homeownership</v>
      </c>
      <c r="D462" s="22" cm="1">
        <f t="array" ref="D462">_xlfn.XLOOKUP(1,
  (pivot!$A$2:$A$1946=endirim!B462) * (pivot!$C$2:$C$1946 = _xlfn.MAXIFS(pivot!$C$2:$C$1946, pivot!$A$2:$A$1946, endirim!B462)),
  pivot!$D$2:$D$1946)</f>
        <v>13</v>
      </c>
      <c r="E462" s="3" t="str" cm="1">
        <f t="array" ref="E462">_xlfn.XLOOKUP(1,
    (pivot!$A$2:$A$1946=endirim!B462) * (pivot!$D$2:$D$1946 = _xlfn.MAXIFS(pivot!$D$2:$D$1946, pivot!$A$2:$A$1946, endirim!B462)),
    pivot!$B$2:$B$1946)</f>
        <v>Homeownership</v>
      </c>
      <c r="F462" s="22">
        <f>_xlfn.MAXIFS(pivot!$D$2:$D$1946, pivot!$A$2:$A$1946, endirim!B462)</f>
        <v>13</v>
      </c>
      <c r="G462" s="3" t="str">
        <f t="shared" si="7"/>
        <v>Təklif yoxdur</v>
      </c>
    </row>
    <row r="463" spans="2:7" x14ac:dyDescent="0.3">
      <c r="B463" t="s">
        <v>517</v>
      </c>
      <c r="C463" s="3" t="str" cm="1">
        <f t="array" ref="C463">_xlfn.XLOOKUP(1,(pivot!$A$2:$A$1946=Table3[[#This Row],[Müştəri adı]])*(pivot!$C$2:$C$1946=_xlfn.MAXIFS(pivot!$C$2:$C$1946,pivot!$A$2:$A$1946,Table3[[#This Row],[Müştəri adı]])),pivot!$B$2:$B$1946)</f>
        <v>RespondsToMailOffers</v>
      </c>
      <c r="D463" s="22" cm="1">
        <f t="array" ref="D463">_xlfn.XLOOKUP(1,
  (pivot!$A$2:$A$1946=endirim!B463) * (pivot!$C$2:$C$1946 = _xlfn.MAXIFS(pivot!$C$2:$C$1946, pivot!$A$2:$A$1946, endirim!B463)),
  pivot!$D$2:$D$1946)</f>
        <v>27</v>
      </c>
      <c r="E463" s="3" t="str" cm="1">
        <f t="array" ref="E463">_xlfn.XLOOKUP(1,
    (pivot!$A$2:$A$1946=endirim!B463) * (pivot!$D$2:$D$1946 = _xlfn.MAXIFS(pivot!$D$2:$D$1946, pivot!$A$2:$A$1946, endirim!B463)),
    pivot!$B$2:$B$1946)</f>
        <v>RespondsToMailOffers</v>
      </c>
      <c r="F463" s="22">
        <f>_xlfn.MAXIFS(pivot!$D$2:$D$1946, pivot!$A$2:$A$1946, endirim!B463)</f>
        <v>27</v>
      </c>
      <c r="G463" s="3" t="str">
        <f t="shared" si="7"/>
        <v>Təklif yoxdur</v>
      </c>
    </row>
    <row r="464" spans="2:7" x14ac:dyDescent="0.3">
      <c r="B464" t="s">
        <v>518</v>
      </c>
      <c r="C464" s="3" t="str" cm="1">
        <f t="array" ref="C464">_xlfn.XLOOKUP(1,(pivot!$A$2:$A$1946=Table3[[#This Row],[Müştəri adı]])*(pivot!$C$2:$C$1946=_xlfn.MAXIFS(pivot!$C$2:$C$1946,pivot!$A$2:$A$1946,Table3[[#This Row],[Müştəri adı]])),pivot!$B$2:$B$1946)</f>
        <v>OwnsMotorcycle</v>
      </c>
      <c r="D464" s="22" cm="1">
        <f t="array" ref="D464">_xlfn.XLOOKUP(1,
  (pivot!$A$2:$A$1946=endirim!B464) * (pivot!$C$2:$C$1946 = _xlfn.MAXIFS(pivot!$C$2:$C$1946, pivot!$A$2:$A$1946, endirim!B464)),
  pivot!$D$2:$D$1946)</f>
        <v>14</v>
      </c>
      <c r="E464" s="3" t="str" cm="1">
        <f t="array" ref="E464">_xlfn.XLOOKUP(1,
    (pivot!$A$2:$A$1946=endirim!B464) * (pivot!$D$2:$D$1946 = _xlfn.MAXIFS(pivot!$D$2:$D$1946, pivot!$A$2:$A$1946, endirim!B464)),
    pivot!$B$2:$B$1946)</f>
        <v>NotNewCellphoneUser</v>
      </c>
      <c r="F464" s="22">
        <f>_xlfn.MAXIFS(pivot!$D$2:$D$1946, pivot!$A$2:$A$1946, endirim!B464)</f>
        <v>28</v>
      </c>
      <c r="G464" s="3" t="str">
        <f t="shared" si="7"/>
        <v>NotNewCellphoneUser Kompaniyasını 20% endirimlə təklif et</v>
      </c>
    </row>
    <row r="465" spans="2:7" x14ac:dyDescent="0.3">
      <c r="B465" t="s">
        <v>519</v>
      </c>
      <c r="C465" s="3" t="str" cm="1">
        <f t="array" ref="C465">_xlfn.XLOOKUP(1,(pivot!$A$2:$A$1946=Table3[[#This Row],[Müştəri adı]])*(pivot!$C$2:$C$1946=_xlfn.MAXIFS(pivot!$C$2:$C$1946,pivot!$A$2:$A$1946,Table3[[#This Row],[Müştəri adı]])),pivot!$B$2:$B$1946)</f>
        <v>NotNewCellphoneUser</v>
      </c>
      <c r="D465" s="22" cm="1">
        <f t="array" ref="D465">_xlfn.XLOOKUP(1,
  (pivot!$A$2:$A$1946=endirim!B465) * (pivot!$C$2:$C$1946 = _xlfn.MAXIFS(pivot!$C$2:$C$1946, pivot!$A$2:$A$1946, endirim!B465)),
  pivot!$D$2:$D$1946)</f>
        <v>28</v>
      </c>
      <c r="E465" s="3" t="str" cm="1">
        <f t="array" ref="E465">_xlfn.XLOOKUP(1,
    (pivot!$A$2:$A$1946=endirim!B465) * (pivot!$D$2:$D$1946 = _xlfn.MAXIFS(pivot!$D$2:$D$1946, pivot!$A$2:$A$1946, endirim!B465)),
    pivot!$B$2:$B$1946)</f>
        <v>NotNewCellphoneUser</v>
      </c>
      <c r="F465" s="22">
        <f>_xlfn.MAXIFS(pivot!$D$2:$D$1946, pivot!$A$2:$A$1946, endirim!B465)</f>
        <v>28</v>
      </c>
      <c r="G465" s="3" t="str">
        <f t="shared" si="7"/>
        <v>Təklif yoxdur</v>
      </c>
    </row>
    <row r="466" spans="2:7" x14ac:dyDescent="0.3">
      <c r="B466" t="s">
        <v>520</v>
      </c>
      <c r="C466" s="3" t="str" cm="1">
        <f t="array" ref="C466">_xlfn.XLOOKUP(1,(pivot!$A$2:$A$1946=Table3[[#This Row],[Müştəri adı]])*(pivot!$C$2:$C$1946=_xlfn.MAXIFS(pivot!$C$2:$C$1946,pivot!$A$2:$A$1946,Table3[[#This Row],[Müştəri adı]])),pivot!$B$2:$B$1946)</f>
        <v>MaritalStatus</v>
      </c>
      <c r="D466" s="22" cm="1">
        <f t="array" ref="D466">_xlfn.XLOOKUP(1,
  (pivot!$A$2:$A$1946=endirim!B466) * (pivot!$C$2:$C$1946 = _xlfn.MAXIFS(pivot!$C$2:$C$1946, pivot!$A$2:$A$1946, endirim!B466)),
  pivot!$D$2:$D$1946)</f>
        <v>29</v>
      </c>
      <c r="E466" s="3" t="str" cm="1">
        <f t="array" ref="E466">_xlfn.XLOOKUP(1,
    (pivot!$A$2:$A$1946=endirim!B466) * (pivot!$D$2:$D$1946 = _xlfn.MAXIFS(pivot!$D$2:$D$1946, pivot!$A$2:$A$1946, endirim!B466)),
    pivot!$B$2:$B$1946)</f>
        <v>MaritalStatus</v>
      </c>
      <c r="F466" s="22">
        <f>_xlfn.MAXIFS(pivot!$D$2:$D$1946, pivot!$A$2:$A$1946, endirim!B466)</f>
        <v>29</v>
      </c>
      <c r="G466" s="3" t="str">
        <f t="shared" si="7"/>
        <v>Təklif yoxdur</v>
      </c>
    </row>
    <row r="467" spans="2:7" x14ac:dyDescent="0.3">
      <c r="B467" t="s">
        <v>521</v>
      </c>
      <c r="C467" s="3" t="str" cm="1">
        <f t="array" ref="C467">_xlfn.XLOOKUP(1,(pivot!$A$2:$A$1946=Table3[[#This Row],[Müştəri adı]])*(pivot!$C$2:$C$1946=_xlfn.MAXIFS(pivot!$C$2:$C$1946,pivot!$A$2:$A$1946,Table3[[#This Row],[Müştəri adı]])),pivot!$B$2:$B$1946)</f>
        <v>RVOwner</v>
      </c>
      <c r="D467" s="22" cm="1">
        <f t="array" ref="D467">_xlfn.XLOOKUP(1,
  (pivot!$A$2:$A$1946=endirim!B467) * (pivot!$C$2:$C$1946 = _xlfn.MAXIFS(pivot!$C$2:$C$1946, pivot!$A$2:$A$1946, endirim!B467)),
  pivot!$D$2:$D$1946)</f>
        <v>22</v>
      </c>
      <c r="E467" s="3" t="str" cm="1">
        <f t="array" ref="E467">_xlfn.XLOOKUP(1,
    (pivot!$A$2:$A$1946=endirim!B467) * (pivot!$D$2:$D$1946 = _xlfn.MAXIFS(pivot!$D$2:$D$1946, pivot!$A$2:$A$1946, endirim!B467)),
    pivot!$B$2:$B$1946)</f>
        <v>RVOwner</v>
      </c>
      <c r="F467" s="22">
        <f>_xlfn.MAXIFS(pivot!$D$2:$D$1946, pivot!$A$2:$A$1946, endirim!B467)</f>
        <v>22</v>
      </c>
      <c r="G467" s="3" t="str">
        <f t="shared" si="7"/>
        <v>Təklif yoxdur</v>
      </c>
    </row>
    <row r="468" spans="2:7" x14ac:dyDescent="0.3">
      <c r="B468" t="s">
        <v>522</v>
      </c>
      <c r="C468" s="3" t="str" cm="1">
        <f t="array" ref="C468">_xlfn.XLOOKUP(1,(pivot!$A$2:$A$1946=Table3[[#This Row],[Müştəri adı]])*(pivot!$C$2:$C$1946=_xlfn.MAXIFS(pivot!$C$2:$C$1946,pivot!$A$2:$A$1946,Table3[[#This Row],[Müştəri adı]])),pivot!$B$2:$B$1946)</f>
        <v>TruckOwner</v>
      </c>
      <c r="D468" s="22" cm="1">
        <f t="array" ref="D468">_xlfn.XLOOKUP(1,
  (pivot!$A$2:$A$1946=endirim!B468) * (pivot!$C$2:$C$1946 = _xlfn.MAXIFS(pivot!$C$2:$C$1946, pivot!$A$2:$A$1946, endirim!B468)),
  pivot!$D$2:$D$1946)</f>
        <v>26</v>
      </c>
      <c r="E468" s="3" t="str" cm="1">
        <f t="array" ref="E468">_xlfn.XLOOKUP(1,
    (pivot!$A$2:$A$1946=endirim!B468) * (pivot!$D$2:$D$1946 = _xlfn.MAXIFS(pivot!$D$2:$D$1946, pivot!$A$2:$A$1946, endirim!B468)),
    pivot!$B$2:$B$1946)</f>
        <v>OptOutMailings</v>
      </c>
      <c r="F468" s="22">
        <f>_xlfn.MAXIFS(pivot!$D$2:$D$1946, pivot!$A$2:$A$1946, endirim!B468)</f>
        <v>75</v>
      </c>
      <c r="G468" s="3" t="str">
        <f t="shared" si="7"/>
        <v>OptOutMailings Kompaniyasını 20% endirimlə təklif et</v>
      </c>
    </row>
    <row r="469" spans="2:7" x14ac:dyDescent="0.3">
      <c r="B469" t="s">
        <v>523</v>
      </c>
      <c r="C469" s="3" t="str" cm="1">
        <f t="array" ref="C469">_xlfn.XLOOKUP(1,(pivot!$A$2:$A$1946=Table3[[#This Row],[Müştəri adı]])*(pivot!$C$2:$C$1946=_xlfn.MAXIFS(pivot!$C$2:$C$1946,pivot!$A$2:$A$1946,Table3[[#This Row],[Müştəri adı]])),pivot!$B$2:$B$1946)</f>
        <v>HasCreditCard</v>
      </c>
      <c r="D469" s="22" cm="1">
        <f t="array" ref="D469">_xlfn.XLOOKUP(1,
  (pivot!$A$2:$A$1946=endirim!B469) * (pivot!$C$2:$C$1946 = _xlfn.MAXIFS(pivot!$C$2:$C$1946, pivot!$A$2:$A$1946, endirim!B469)),
  pivot!$D$2:$D$1946)</f>
        <v>65</v>
      </c>
      <c r="E469" s="3" t="str" cm="1">
        <f t="array" ref="E469">_xlfn.XLOOKUP(1,
    (pivot!$A$2:$A$1946=endirim!B469) * (pivot!$D$2:$D$1946 = _xlfn.MAXIFS(pivot!$D$2:$D$1946, pivot!$A$2:$A$1946, endirim!B469)),
    pivot!$B$2:$B$1946)</f>
        <v>HasCreditCard</v>
      </c>
      <c r="F469" s="22">
        <f>_xlfn.MAXIFS(pivot!$D$2:$D$1946, pivot!$A$2:$A$1946, endirim!B469)</f>
        <v>65</v>
      </c>
      <c r="G469" s="3" t="str">
        <f t="shared" si="7"/>
        <v>Təklif yoxdur</v>
      </c>
    </row>
    <row r="470" spans="2:7" x14ac:dyDescent="0.3">
      <c r="B470" t="s">
        <v>524</v>
      </c>
      <c r="C470" s="3" t="str" cm="1">
        <f t="array" ref="C470">_xlfn.XLOOKUP(1,(pivot!$A$2:$A$1946=Table3[[#This Row],[Müştəri adı]])*(pivot!$C$2:$C$1946=_xlfn.MAXIFS(pivot!$C$2:$C$1946,pivot!$A$2:$A$1946,Table3[[#This Row],[Müştəri adı]])),pivot!$B$2:$B$1946)</f>
        <v>OptOutMailings</v>
      </c>
      <c r="D470" s="22" cm="1">
        <f t="array" ref="D470">_xlfn.XLOOKUP(1,
  (pivot!$A$2:$A$1946=endirim!B470) * (pivot!$C$2:$C$1946 = _xlfn.MAXIFS(pivot!$C$2:$C$1946, pivot!$A$2:$A$1946, endirim!B470)),
  pivot!$D$2:$D$1946)</f>
        <v>75</v>
      </c>
      <c r="E470" s="3" t="str" cm="1">
        <f t="array" ref="E470">_xlfn.XLOOKUP(1,
    (pivot!$A$2:$A$1946=endirim!B470) * (pivot!$D$2:$D$1946 = _xlfn.MAXIFS(pivot!$D$2:$D$1946, pivot!$A$2:$A$1946, endirim!B470)),
    pivot!$B$2:$B$1946)</f>
        <v>OptOutMailings</v>
      </c>
      <c r="F470" s="22">
        <f>_xlfn.MAXIFS(pivot!$D$2:$D$1946, pivot!$A$2:$A$1946, endirim!B470)</f>
        <v>75</v>
      </c>
      <c r="G470" s="3" t="str">
        <f t="shared" si="7"/>
        <v>Təklif yoxdur</v>
      </c>
    </row>
    <row r="471" spans="2:7" x14ac:dyDescent="0.3">
      <c r="B471" t="s">
        <v>525</v>
      </c>
      <c r="C471" s="3" t="str" cm="1">
        <f t="array" ref="C471">_xlfn.XLOOKUP(1,(pivot!$A$2:$A$1946=Table3[[#This Row],[Müştəri adı]])*(pivot!$C$2:$C$1946=_xlfn.MAXIFS(pivot!$C$2:$C$1946,pivot!$A$2:$A$1946,Table3[[#This Row],[Müştəri adı]])),pivot!$B$2:$B$1946)</f>
        <v>OwnsMotorcycle</v>
      </c>
      <c r="D471" s="22" cm="1">
        <f t="array" ref="D471">_xlfn.XLOOKUP(1,
  (pivot!$A$2:$A$1946=endirim!B471) * (pivot!$C$2:$C$1946 = _xlfn.MAXIFS(pivot!$C$2:$C$1946, pivot!$A$2:$A$1946, endirim!B471)),
  pivot!$D$2:$D$1946)</f>
        <v>14</v>
      </c>
      <c r="E471" s="3" t="str" cm="1">
        <f t="array" ref="E471">_xlfn.XLOOKUP(1,
    (pivot!$A$2:$A$1946=endirim!B471) * (pivot!$D$2:$D$1946 = _xlfn.MAXIFS(pivot!$D$2:$D$1946, pivot!$A$2:$A$1946, endirim!B471)),
    pivot!$B$2:$B$1946)</f>
        <v>OptOutMailings</v>
      </c>
      <c r="F471" s="22">
        <f>_xlfn.MAXIFS(pivot!$D$2:$D$1946, pivot!$A$2:$A$1946, endirim!B471)</f>
        <v>75</v>
      </c>
      <c r="G471" s="3" t="str">
        <f t="shared" si="7"/>
        <v>OptOutMailings Kompaniyasını 20% endirimlə təklif et</v>
      </c>
    </row>
    <row r="472" spans="2:7" x14ac:dyDescent="0.3">
      <c r="B472" t="s">
        <v>526</v>
      </c>
      <c r="C472" s="3" t="str" cm="1">
        <f t="array" ref="C472">_xlfn.XLOOKUP(1,(pivot!$A$2:$A$1946=Table3[[#This Row],[Müştəri adı]])*(pivot!$C$2:$C$1946=_xlfn.MAXIFS(pivot!$C$2:$C$1946,pivot!$A$2:$A$1946,Table3[[#This Row],[Müştəri adı]])),pivot!$B$2:$B$1946)</f>
        <v>NotNewCellphoneUser</v>
      </c>
      <c r="D472" s="22" cm="1">
        <f t="array" ref="D472">_xlfn.XLOOKUP(1,
  (pivot!$A$2:$A$1946=endirim!B472) * (pivot!$C$2:$C$1946 = _xlfn.MAXIFS(pivot!$C$2:$C$1946, pivot!$A$2:$A$1946, endirim!B472)),
  pivot!$D$2:$D$1946)</f>
        <v>28</v>
      </c>
      <c r="E472" s="3" t="str" cm="1">
        <f t="array" ref="E472">_xlfn.XLOOKUP(1,
    (pivot!$A$2:$A$1946=endirim!B472) * (pivot!$D$2:$D$1946 = _xlfn.MAXIFS(pivot!$D$2:$D$1946, pivot!$A$2:$A$1946, endirim!B472)),
    pivot!$B$2:$B$1946)</f>
        <v>NotNewCellphoneUser</v>
      </c>
      <c r="F472" s="22">
        <f>_xlfn.MAXIFS(pivot!$D$2:$D$1946, pivot!$A$2:$A$1946, endirim!B472)</f>
        <v>28</v>
      </c>
      <c r="G472" s="3" t="str">
        <f t="shared" si="7"/>
        <v>Təklif yoxdur</v>
      </c>
    </row>
    <row r="473" spans="2:7" x14ac:dyDescent="0.3">
      <c r="B473" t="s">
        <v>527</v>
      </c>
      <c r="C473" s="3" t="str" cm="1">
        <f t="array" ref="C473">_xlfn.XLOOKUP(1,(pivot!$A$2:$A$1946=Table3[[#This Row],[Müştəri adı]])*(pivot!$C$2:$C$1946=_xlfn.MAXIFS(pivot!$C$2:$C$1946,pivot!$A$2:$A$1946,Table3[[#This Row],[Müştəri adı]])),pivot!$B$2:$B$1946)</f>
        <v>ChildrenInHH</v>
      </c>
      <c r="D473" s="22" cm="1">
        <f t="array" ref="D473">_xlfn.XLOOKUP(1,
  (pivot!$A$2:$A$1946=endirim!B473) * (pivot!$C$2:$C$1946 = _xlfn.MAXIFS(pivot!$C$2:$C$1946, pivot!$A$2:$A$1946, endirim!B473)),
  pivot!$D$2:$D$1946)</f>
        <v>10</v>
      </c>
      <c r="E473" s="3" t="str" cm="1">
        <f t="array" ref="E473">_xlfn.XLOOKUP(1,
    (pivot!$A$2:$A$1946=endirim!B473) * (pivot!$D$2:$D$1946 = _xlfn.MAXIFS(pivot!$D$2:$D$1946, pivot!$A$2:$A$1946, endirim!B473)),
    pivot!$B$2:$B$1946)</f>
        <v>OwnsMotorcycle</v>
      </c>
      <c r="F473" s="22">
        <f>_xlfn.MAXIFS(pivot!$D$2:$D$1946, pivot!$A$2:$A$1946, endirim!B473)</f>
        <v>14</v>
      </c>
      <c r="G473" s="3" t="str">
        <f t="shared" si="7"/>
        <v>OwnsMotorcycle Kompaniyasını 20% endirimlə təklif et</v>
      </c>
    </row>
    <row r="474" spans="2:7" x14ac:dyDescent="0.3">
      <c r="B474" t="s">
        <v>528</v>
      </c>
      <c r="C474" s="3" t="str" cm="1">
        <f t="array" ref="C474">_xlfn.XLOOKUP(1,(pivot!$A$2:$A$1946=Table3[[#This Row],[Müştəri adı]])*(pivot!$C$2:$C$1946=_xlfn.MAXIFS(pivot!$C$2:$C$1946,pivot!$A$2:$A$1946,Table3[[#This Row],[Müştəri adı]])),pivot!$B$2:$B$1946)</f>
        <v>NotNewCellphoneUser</v>
      </c>
      <c r="D474" s="22" cm="1">
        <f t="array" ref="D474">_xlfn.XLOOKUP(1,
  (pivot!$A$2:$A$1946=endirim!B474) * (pivot!$C$2:$C$1946 = _xlfn.MAXIFS(pivot!$C$2:$C$1946, pivot!$A$2:$A$1946, endirim!B474)),
  pivot!$D$2:$D$1946)</f>
        <v>28</v>
      </c>
      <c r="E474" s="3" t="str" cm="1">
        <f t="array" ref="E474">_xlfn.XLOOKUP(1,
    (pivot!$A$2:$A$1946=endirim!B474) * (pivot!$D$2:$D$1946 = _xlfn.MAXIFS(pivot!$D$2:$D$1946, pivot!$A$2:$A$1946, endirim!B474)),
    pivot!$B$2:$B$1946)</f>
        <v>HandsetWebCapable</v>
      </c>
      <c r="F474" s="22">
        <f>_xlfn.MAXIFS(pivot!$D$2:$D$1946, pivot!$A$2:$A$1946, endirim!B474)</f>
        <v>62</v>
      </c>
      <c r="G474" s="3" t="str">
        <f t="shared" si="7"/>
        <v>HandsetWebCapable Kompaniyasını 20% endirimlə təklif et</v>
      </c>
    </row>
    <row r="475" spans="2:7" x14ac:dyDescent="0.3">
      <c r="B475" t="s">
        <v>529</v>
      </c>
      <c r="C475" s="3" t="str" cm="1">
        <f t="array" ref="C475">_xlfn.XLOOKUP(1,(pivot!$A$2:$A$1946=Table3[[#This Row],[Müştəri adı]])*(pivot!$C$2:$C$1946=_xlfn.MAXIFS(pivot!$C$2:$C$1946,pivot!$A$2:$A$1946,Table3[[#This Row],[Müştəri adı]])),pivot!$B$2:$B$1946)</f>
        <v>OwnsMotorcycle</v>
      </c>
      <c r="D475" s="22" cm="1">
        <f t="array" ref="D475">_xlfn.XLOOKUP(1,
  (pivot!$A$2:$A$1946=endirim!B475) * (pivot!$C$2:$C$1946 = _xlfn.MAXIFS(pivot!$C$2:$C$1946, pivot!$A$2:$A$1946, endirim!B475)),
  pivot!$D$2:$D$1946)</f>
        <v>14</v>
      </c>
      <c r="E475" s="3" t="str" cm="1">
        <f t="array" ref="E475">_xlfn.XLOOKUP(1,
    (pivot!$A$2:$A$1946=endirim!B475) * (pivot!$D$2:$D$1946 = _xlfn.MAXIFS(pivot!$D$2:$D$1946, pivot!$A$2:$A$1946, endirim!B475)),
    pivot!$B$2:$B$1946)</f>
        <v>OwnsComputer</v>
      </c>
      <c r="F475" s="22">
        <f>_xlfn.MAXIFS(pivot!$D$2:$D$1946, pivot!$A$2:$A$1946, endirim!B475)</f>
        <v>62</v>
      </c>
      <c r="G475" s="3" t="str">
        <f t="shared" si="7"/>
        <v>OwnsComputer Kompaniyasını 20% endirimlə təklif et</v>
      </c>
    </row>
    <row r="476" spans="2:7" x14ac:dyDescent="0.3">
      <c r="B476" t="s">
        <v>530</v>
      </c>
      <c r="C476" s="3" t="str" cm="1">
        <f t="array" ref="C476">_xlfn.XLOOKUP(1,(pivot!$A$2:$A$1946=Table3[[#This Row],[Müştəri adı]])*(pivot!$C$2:$C$1946=_xlfn.MAXIFS(pivot!$C$2:$C$1946,pivot!$A$2:$A$1946,Table3[[#This Row],[Müştəri adı]])),pivot!$B$2:$B$1946)</f>
        <v>HasCreditCard</v>
      </c>
      <c r="D476" s="22" cm="1">
        <f t="array" ref="D476">_xlfn.XLOOKUP(1,
  (pivot!$A$2:$A$1946=endirim!B476) * (pivot!$C$2:$C$1946 = _xlfn.MAXIFS(pivot!$C$2:$C$1946, pivot!$A$2:$A$1946, endirim!B476)),
  pivot!$D$2:$D$1946)</f>
        <v>65</v>
      </c>
      <c r="E476" s="3" t="str" cm="1">
        <f t="array" ref="E476">_xlfn.XLOOKUP(1,
    (pivot!$A$2:$A$1946=endirim!B476) * (pivot!$D$2:$D$1946 = _xlfn.MAXIFS(pivot!$D$2:$D$1946, pivot!$A$2:$A$1946, endirim!B476)),
    pivot!$B$2:$B$1946)</f>
        <v>HasCreditCard</v>
      </c>
      <c r="F476" s="22">
        <f>_xlfn.MAXIFS(pivot!$D$2:$D$1946, pivot!$A$2:$A$1946, endirim!B476)</f>
        <v>65</v>
      </c>
      <c r="G476" s="3" t="str">
        <f t="shared" si="7"/>
        <v>Təklif yoxdur</v>
      </c>
    </row>
    <row r="477" spans="2:7" x14ac:dyDescent="0.3">
      <c r="B477" t="s">
        <v>531</v>
      </c>
      <c r="C477" s="3" t="str" cm="1">
        <f t="array" ref="C477">_xlfn.XLOOKUP(1,(pivot!$A$2:$A$1946=Table3[[#This Row],[Müştəri adı]])*(pivot!$C$2:$C$1946=_xlfn.MAXIFS(pivot!$C$2:$C$1946,pivot!$A$2:$A$1946,Table3[[#This Row],[Müştəri adı]])),pivot!$B$2:$B$1946)</f>
        <v>OptOutMailings</v>
      </c>
      <c r="D477" s="22" cm="1">
        <f t="array" ref="D477">_xlfn.XLOOKUP(1,
  (pivot!$A$2:$A$1946=endirim!B477) * (pivot!$C$2:$C$1946 = _xlfn.MAXIFS(pivot!$C$2:$C$1946, pivot!$A$2:$A$1946, endirim!B477)),
  pivot!$D$2:$D$1946)</f>
        <v>75</v>
      </c>
      <c r="E477" s="3" t="str" cm="1">
        <f t="array" ref="E477">_xlfn.XLOOKUP(1,
    (pivot!$A$2:$A$1946=endirim!B477) * (pivot!$D$2:$D$1946 = _xlfn.MAXIFS(pivot!$D$2:$D$1946, pivot!$A$2:$A$1946, endirim!B477)),
    pivot!$B$2:$B$1946)</f>
        <v>OptOutMailings</v>
      </c>
      <c r="F477" s="22">
        <f>_xlfn.MAXIFS(pivot!$D$2:$D$1946, pivot!$A$2:$A$1946, endirim!B477)</f>
        <v>75</v>
      </c>
      <c r="G477" s="3" t="str">
        <f t="shared" si="7"/>
        <v>Təklif yoxdur</v>
      </c>
    </row>
    <row r="478" spans="2:7" x14ac:dyDescent="0.3">
      <c r="B478" t="s">
        <v>532</v>
      </c>
      <c r="C478" s="3" t="str" cm="1">
        <f t="array" ref="C478">_xlfn.XLOOKUP(1,(pivot!$A$2:$A$1946=Table3[[#This Row],[Müştəri adı]])*(pivot!$C$2:$C$1946=_xlfn.MAXIFS(pivot!$C$2:$C$1946,pivot!$A$2:$A$1946,Table3[[#This Row],[Müştəri adı]])),pivot!$B$2:$B$1946)</f>
        <v>Homeownership</v>
      </c>
      <c r="D478" s="22" cm="1">
        <f t="array" ref="D478">_xlfn.XLOOKUP(1,
  (pivot!$A$2:$A$1946=endirim!B478) * (pivot!$C$2:$C$1946 = _xlfn.MAXIFS(pivot!$C$2:$C$1946, pivot!$A$2:$A$1946, endirim!B478)),
  pivot!$D$2:$D$1946)</f>
        <v>13</v>
      </c>
      <c r="E478" s="3" t="str" cm="1">
        <f t="array" ref="E478">_xlfn.XLOOKUP(1,
    (pivot!$A$2:$A$1946=endirim!B478) * (pivot!$D$2:$D$1946 = _xlfn.MAXIFS(pivot!$D$2:$D$1946, pivot!$A$2:$A$1946, endirim!B478)),
    pivot!$B$2:$B$1946)</f>
        <v>Homeownership</v>
      </c>
      <c r="F478" s="22">
        <f>_xlfn.MAXIFS(pivot!$D$2:$D$1946, pivot!$A$2:$A$1946, endirim!B478)</f>
        <v>13</v>
      </c>
      <c r="G478" s="3" t="str">
        <f t="shared" si="7"/>
        <v>Təklif yoxdur</v>
      </c>
    </row>
    <row r="479" spans="2:7" x14ac:dyDescent="0.3">
      <c r="B479" t="s">
        <v>533</v>
      </c>
      <c r="C479" s="3" t="str" cm="1">
        <f t="array" ref="C479">_xlfn.XLOOKUP(1,(pivot!$A$2:$A$1946=Table3[[#This Row],[Müştəri adı]])*(pivot!$C$2:$C$1946=_xlfn.MAXIFS(pivot!$C$2:$C$1946,pivot!$A$2:$A$1946,Table3[[#This Row],[Müştəri adı]])),pivot!$B$2:$B$1946)</f>
        <v>RespondsToMailOffers</v>
      </c>
      <c r="D479" s="22" cm="1">
        <f t="array" ref="D479">_xlfn.XLOOKUP(1,
  (pivot!$A$2:$A$1946=endirim!B479) * (pivot!$C$2:$C$1946 = _xlfn.MAXIFS(pivot!$C$2:$C$1946, pivot!$A$2:$A$1946, endirim!B479)),
  pivot!$D$2:$D$1946)</f>
        <v>27</v>
      </c>
      <c r="E479" s="3" t="str" cm="1">
        <f t="array" ref="E479">_xlfn.XLOOKUP(1,
    (pivot!$A$2:$A$1946=endirim!B479) * (pivot!$D$2:$D$1946 = _xlfn.MAXIFS(pivot!$D$2:$D$1946, pivot!$A$2:$A$1946, endirim!B479)),
    pivot!$B$2:$B$1946)</f>
        <v>RespondsToMailOffers</v>
      </c>
      <c r="F479" s="22">
        <f>_xlfn.MAXIFS(pivot!$D$2:$D$1946, pivot!$A$2:$A$1946, endirim!B479)</f>
        <v>27</v>
      </c>
      <c r="G479" s="3" t="str">
        <f t="shared" si="7"/>
        <v>Təklif yoxdur</v>
      </c>
    </row>
    <row r="480" spans="2:7" x14ac:dyDescent="0.3">
      <c r="B480" t="s">
        <v>534</v>
      </c>
      <c r="C480" s="3" t="str" cm="1">
        <f t="array" ref="C480">_xlfn.XLOOKUP(1,(pivot!$A$2:$A$1946=Table3[[#This Row],[Müştəri adı]])*(pivot!$C$2:$C$1946=_xlfn.MAXIFS(pivot!$C$2:$C$1946,pivot!$A$2:$A$1946,Table3[[#This Row],[Müştəri adı]])),pivot!$B$2:$B$1946)</f>
        <v>NewCellphoneUser</v>
      </c>
      <c r="D480" s="22" cm="1">
        <f t="array" ref="D480">_xlfn.XLOOKUP(1,
  (pivot!$A$2:$A$1946=endirim!B480) * (pivot!$C$2:$C$1946 = _xlfn.MAXIFS(pivot!$C$2:$C$1946, pivot!$A$2:$A$1946, endirim!B480)),
  pivot!$D$2:$D$1946)</f>
        <v>25</v>
      </c>
      <c r="E480" s="3" t="str" cm="1">
        <f t="array" ref="E480">_xlfn.XLOOKUP(1,
    (pivot!$A$2:$A$1946=endirim!B480) * (pivot!$D$2:$D$1946 = _xlfn.MAXIFS(pivot!$D$2:$D$1946, pivot!$A$2:$A$1946, endirim!B480)),
    pivot!$B$2:$B$1946)</f>
        <v>NewCellphoneUser</v>
      </c>
      <c r="F480" s="22">
        <f>_xlfn.MAXIFS(pivot!$D$2:$D$1946, pivot!$A$2:$A$1946, endirim!B480)</f>
        <v>25</v>
      </c>
      <c r="G480" s="3" t="str">
        <f t="shared" si="7"/>
        <v>Təklif yoxdur</v>
      </c>
    </row>
    <row r="481" spans="2:7" x14ac:dyDescent="0.3">
      <c r="B481" t="s">
        <v>535</v>
      </c>
      <c r="C481" s="3" t="str" cm="1">
        <f t="array" ref="C481">_xlfn.XLOOKUP(1,(pivot!$A$2:$A$1946=Table3[[#This Row],[Müştəri adı]])*(pivot!$C$2:$C$1946=_xlfn.MAXIFS(pivot!$C$2:$C$1946,pivot!$A$2:$A$1946,Table3[[#This Row],[Müştəri adı]])),pivot!$B$2:$B$1946)</f>
        <v>TruckOwner</v>
      </c>
      <c r="D481" s="22" cm="1">
        <f t="array" ref="D481">_xlfn.XLOOKUP(1,
  (pivot!$A$2:$A$1946=endirim!B481) * (pivot!$C$2:$C$1946 = _xlfn.MAXIFS(pivot!$C$2:$C$1946, pivot!$A$2:$A$1946, endirim!B481)),
  pivot!$D$2:$D$1946)</f>
        <v>26</v>
      </c>
      <c r="E481" s="3" t="str" cm="1">
        <f t="array" ref="E481">_xlfn.XLOOKUP(1,
    (pivot!$A$2:$A$1946=endirim!B481) * (pivot!$D$2:$D$1946 = _xlfn.MAXIFS(pivot!$D$2:$D$1946, pivot!$A$2:$A$1946, endirim!B481)),
    pivot!$B$2:$B$1946)</f>
        <v>NonUSTravel</v>
      </c>
      <c r="F481" s="22">
        <f>_xlfn.MAXIFS(pivot!$D$2:$D$1946, pivot!$A$2:$A$1946, endirim!B481)</f>
        <v>66</v>
      </c>
      <c r="G481" s="3" t="str">
        <f t="shared" si="7"/>
        <v>NonUSTravel Kompaniyasını 20% endirimlə təklif et</v>
      </c>
    </row>
    <row r="482" spans="2:7" x14ac:dyDescent="0.3">
      <c r="B482" t="s">
        <v>536</v>
      </c>
      <c r="C482" s="3" t="str" cm="1">
        <f t="array" ref="C482">_xlfn.XLOOKUP(1,(pivot!$A$2:$A$1946=Table3[[#This Row],[Müştəri adı]])*(pivot!$C$2:$C$1946=_xlfn.MAXIFS(pivot!$C$2:$C$1946,pivot!$A$2:$A$1946,Table3[[#This Row],[Müştəri adı]])),pivot!$B$2:$B$1946)</f>
        <v>MadeCallToRetentionTeam</v>
      </c>
      <c r="D482" s="22" cm="1">
        <f t="array" ref="D482">_xlfn.XLOOKUP(1,
  (pivot!$A$2:$A$1946=endirim!B482) * (pivot!$C$2:$C$1946 = _xlfn.MAXIFS(pivot!$C$2:$C$1946, pivot!$A$2:$A$1946, endirim!B482)),
  pivot!$D$2:$D$1946)</f>
        <v>16</v>
      </c>
      <c r="E482" s="3" t="str" cm="1">
        <f t="array" ref="E482">_xlfn.XLOOKUP(1,
    (pivot!$A$2:$A$1946=endirim!B482) * (pivot!$D$2:$D$1946 = _xlfn.MAXIFS(pivot!$D$2:$D$1946, pivot!$A$2:$A$1946, endirim!B482)),
    pivot!$B$2:$B$1946)</f>
        <v>OwnsComputer</v>
      </c>
      <c r="F482" s="22">
        <f>_xlfn.MAXIFS(pivot!$D$2:$D$1946, pivot!$A$2:$A$1946, endirim!B482)</f>
        <v>62</v>
      </c>
      <c r="G482" s="3" t="str">
        <f t="shared" si="7"/>
        <v>OwnsComputer Kompaniyasını 20% endirimlə təklif et</v>
      </c>
    </row>
    <row r="483" spans="2:7" x14ac:dyDescent="0.3">
      <c r="B483" t="s">
        <v>537</v>
      </c>
      <c r="C483" s="3" t="str" cm="1">
        <f t="array" ref="C483">_xlfn.XLOOKUP(1,(pivot!$A$2:$A$1946=Table3[[#This Row],[Müştəri adı]])*(pivot!$C$2:$C$1946=_xlfn.MAXIFS(pivot!$C$2:$C$1946,pivot!$A$2:$A$1946,Table3[[#This Row],[Müştəri adı]])),pivot!$B$2:$B$1946)</f>
        <v>HandsetWebCapable</v>
      </c>
      <c r="D483" s="22" cm="1">
        <f t="array" ref="D483">_xlfn.XLOOKUP(1,
  (pivot!$A$2:$A$1946=endirim!B483) * (pivot!$C$2:$C$1946 = _xlfn.MAXIFS(pivot!$C$2:$C$1946, pivot!$A$2:$A$1946, endirim!B483)),
  pivot!$D$2:$D$1946)</f>
        <v>62</v>
      </c>
      <c r="E483" s="3" t="str" cm="1">
        <f t="array" ref="E483">_xlfn.XLOOKUP(1,
    (pivot!$A$2:$A$1946=endirim!B483) * (pivot!$D$2:$D$1946 = _xlfn.MAXIFS(pivot!$D$2:$D$1946, pivot!$A$2:$A$1946, endirim!B483)),
    pivot!$B$2:$B$1946)</f>
        <v>HandsetWebCapable</v>
      </c>
      <c r="F483" s="22">
        <f>_xlfn.MAXIFS(pivot!$D$2:$D$1946, pivot!$A$2:$A$1946, endirim!B483)</f>
        <v>62</v>
      </c>
      <c r="G483" s="3" t="str">
        <f t="shared" si="7"/>
        <v>Təklif yoxdur</v>
      </c>
    </row>
    <row r="484" spans="2:7" x14ac:dyDescent="0.3">
      <c r="B484" t="s">
        <v>538</v>
      </c>
      <c r="C484" s="3" t="str" cm="1">
        <f t="array" ref="C484">_xlfn.XLOOKUP(1,(pivot!$A$2:$A$1946=Table3[[#This Row],[Müştəri adı]])*(pivot!$C$2:$C$1946=_xlfn.MAXIFS(pivot!$C$2:$C$1946,pivot!$A$2:$A$1946,Table3[[#This Row],[Müştəri adı]])),pivot!$B$2:$B$1946)</f>
        <v>NewCellphoneUser</v>
      </c>
      <c r="D484" s="22" cm="1">
        <f t="array" ref="D484">_xlfn.XLOOKUP(1,
  (pivot!$A$2:$A$1946=endirim!B484) * (pivot!$C$2:$C$1946 = _xlfn.MAXIFS(pivot!$C$2:$C$1946, pivot!$A$2:$A$1946, endirim!B484)),
  pivot!$D$2:$D$1946)</f>
        <v>25</v>
      </c>
      <c r="E484" s="3" t="str" cm="1">
        <f t="array" ref="E484">_xlfn.XLOOKUP(1,
    (pivot!$A$2:$A$1946=endirim!B484) * (pivot!$D$2:$D$1946 = _xlfn.MAXIFS(pivot!$D$2:$D$1946, pivot!$A$2:$A$1946, endirim!B484)),
    pivot!$B$2:$B$1946)</f>
        <v>HasCreditCard</v>
      </c>
      <c r="F484" s="22">
        <f>_xlfn.MAXIFS(pivot!$D$2:$D$1946, pivot!$A$2:$A$1946, endirim!B484)</f>
        <v>65</v>
      </c>
      <c r="G484" s="3" t="str">
        <f t="shared" si="7"/>
        <v>HasCreditCard Kompaniyasını 20% endirimlə təklif et</v>
      </c>
    </row>
    <row r="485" spans="2:7" x14ac:dyDescent="0.3">
      <c r="B485" t="s">
        <v>539</v>
      </c>
      <c r="C485" s="3" t="str" cm="1">
        <f t="array" ref="C485">_xlfn.XLOOKUP(1,(pivot!$A$2:$A$1946=Table3[[#This Row],[Müştəri adı]])*(pivot!$C$2:$C$1946=_xlfn.MAXIFS(pivot!$C$2:$C$1946,pivot!$A$2:$A$1946,Table3[[#This Row],[Müştəri adı]])),pivot!$B$2:$B$1946)</f>
        <v>NonUSTravel</v>
      </c>
      <c r="D485" s="22" cm="1">
        <f t="array" ref="D485">_xlfn.XLOOKUP(1,
  (pivot!$A$2:$A$1946=endirim!B485) * (pivot!$C$2:$C$1946 = _xlfn.MAXIFS(pivot!$C$2:$C$1946, pivot!$A$2:$A$1946, endirim!B485)),
  pivot!$D$2:$D$1946)</f>
        <v>66</v>
      </c>
      <c r="E485" s="3" t="str" cm="1">
        <f t="array" ref="E485">_xlfn.XLOOKUP(1,
    (pivot!$A$2:$A$1946=endirim!B485) * (pivot!$D$2:$D$1946 = _xlfn.MAXIFS(pivot!$D$2:$D$1946, pivot!$A$2:$A$1946, endirim!B485)),
    pivot!$B$2:$B$1946)</f>
        <v>NonUSTravel</v>
      </c>
      <c r="F485" s="22">
        <f>_xlfn.MAXIFS(pivot!$D$2:$D$1946, pivot!$A$2:$A$1946, endirim!B485)</f>
        <v>66</v>
      </c>
      <c r="G485" s="3" t="str">
        <f t="shared" si="7"/>
        <v>Təklif yoxdur</v>
      </c>
    </row>
    <row r="486" spans="2:7" x14ac:dyDescent="0.3">
      <c r="B486" t="s">
        <v>540</v>
      </c>
      <c r="C486" s="3" t="str" cm="1">
        <f t="array" ref="C486">_xlfn.XLOOKUP(1,(pivot!$A$2:$A$1946=Table3[[#This Row],[Müştəri adı]])*(pivot!$C$2:$C$1946=_xlfn.MAXIFS(pivot!$C$2:$C$1946,pivot!$A$2:$A$1946,Table3[[#This Row],[Müştəri adı]])),pivot!$B$2:$B$1946)</f>
        <v>NewCellphoneUser</v>
      </c>
      <c r="D486" s="22" cm="1">
        <f t="array" ref="D486">_xlfn.XLOOKUP(1,
  (pivot!$A$2:$A$1946=endirim!B486) * (pivot!$C$2:$C$1946 = _xlfn.MAXIFS(pivot!$C$2:$C$1946, pivot!$A$2:$A$1946, endirim!B486)),
  pivot!$D$2:$D$1946)</f>
        <v>25</v>
      </c>
      <c r="E486" s="3" t="str" cm="1">
        <f t="array" ref="E486">_xlfn.XLOOKUP(1,
    (pivot!$A$2:$A$1946=endirim!B486) * (pivot!$D$2:$D$1946 = _xlfn.MAXIFS(pivot!$D$2:$D$1946, pivot!$A$2:$A$1946, endirim!B486)),
    pivot!$B$2:$B$1946)</f>
        <v>NonUSTravel</v>
      </c>
      <c r="F486" s="22">
        <f>_xlfn.MAXIFS(pivot!$D$2:$D$1946, pivot!$A$2:$A$1946, endirim!B486)</f>
        <v>66</v>
      </c>
      <c r="G486" s="3" t="str">
        <f t="shared" si="7"/>
        <v>NonUSTravel Kompaniyasını 20% endirimlə təklif et</v>
      </c>
    </row>
    <row r="487" spans="2:7" x14ac:dyDescent="0.3">
      <c r="B487" t="s">
        <v>541</v>
      </c>
      <c r="C487" s="3" t="str" cm="1">
        <f t="array" ref="C487">_xlfn.XLOOKUP(1,(pivot!$A$2:$A$1946=Table3[[#This Row],[Müştəri adı]])*(pivot!$C$2:$C$1946=_xlfn.MAXIFS(pivot!$C$2:$C$1946,pivot!$A$2:$A$1946,Table3[[#This Row],[Müştəri adı]])),pivot!$B$2:$B$1946)</f>
        <v>RespondsToMailOffers</v>
      </c>
      <c r="D487" s="22" cm="1">
        <f t="array" ref="D487">_xlfn.XLOOKUP(1,
  (pivot!$A$2:$A$1946=endirim!B487) * (pivot!$C$2:$C$1946 = _xlfn.MAXIFS(pivot!$C$2:$C$1946, pivot!$A$2:$A$1946, endirim!B487)),
  pivot!$D$2:$D$1946)</f>
        <v>27</v>
      </c>
      <c r="E487" s="3" t="str" cm="1">
        <f t="array" ref="E487">_xlfn.XLOOKUP(1,
    (pivot!$A$2:$A$1946=endirim!B487) * (pivot!$D$2:$D$1946 = _xlfn.MAXIFS(pivot!$D$2:$D$1946, pivot!$A$2:$A$1946, endirim!B487)),
    pivot!$B$2:$B$1946)</f>
        <v>RespondsToMailOffers</v>
      </c>
      <c r="F487" s="22">
        <f>_xlfn.MAXIFS(pivot!$D$2:$D$1946, pivot!$A$2:$A$1946, endirim!B487)</f>
        <v>27</v>
      </c>
      <c r="G487" s="3" t="str">
        <f t="shared" si="7"/>
        <v>Təklif yoxdur</v>
      </c>
    </row>
    <row r="488" spans="2:7" x14ac:dyDescent="0.3">
      <c r="B488" t="s">
        <v>542</v>
      </c>
      <c r="C488" s="3" t="str" cm="1">
        <f t="array" ref="C488">_xlfn.XLOOKUP(1,(pivot!$A$2:$A$1946=Table3[[#This Row],[Müştəri adı]])*(pivot!$C$2:$C$1946=_xlfn.MAXIFS(pivot!$C$2:$C$1946,pivot!$A$2:$A$1946,Table3[[#This Row],[Müştəri adı]])),pivot!$B$2:$B$1946)</f>
        <v>MaritalStatus</v>
      </c>
      <c r="D488" s="22" cm="1">
        <f t="array" ref="D488">_xlfn.XLOOKUP(1,
  (pivot!$A$2:$A$1946=endirim!B488) * (pivot!$C$2:$C$1946 = _xlfn.MAXIFS(pivot!$C$2:$C$1946, pivot!$A$2:$A$1946, endirim!B488)),
  pivot!$D$2:$D$1946)</f>
        <v>29</v>
      </c>
      <c r="E488" s="3" t="str" cm="1">
        <f t="array" ref="E488">_xlfn.XLOOKUP(1,
    (pivot!$A$2:$A$1946=endirim!B488) * (pivot!$D$2:$D$1946 = _xlfn.MAXIFS(pivot!$D$2:$D$1946, pivot!$A$2:$A$1946, endirim!B488)),
    pivot!$B$2:$B$1946)</f>
        <v>MaritalStatus</v>
      </c>
      <c r="F488" s="22">
        <f>_xlfn.MAXIFS(pivot!$D$2:$D$1946, pivot!$A$2:$A$1946, endirim!B488)</f>
        <v>29</v>
      </c>
      <c r="G488" s="3" t="str">
        <f t="shared" si="7"/>
        <v>Təklif yoxdur</v>
      </c>
    </row>
    <row r="489" spans="2:7" x14ac:dyDescent="0.3">
      <c r="B489" t="s">
        <v>543</v>
      </c>
      <c r="C489" s="3" t="str" cm="1">
        <f t="array" ref="C489">_xlfn.XLOOKUP(1,(pivot!$A$2:$A$1946=Table3[[#This Row],[Müştəri adı]])*(pivot!$C$2:$C$1946=_xlfn.MAXIFS(pivot!$C$2:$C$1946,pivot!$A$2:$A$1946,Table3[[#This Row],[Müştəri adı]])),pivot!$B$2:$B$1946)</f>
        <v>HasCreditCard</v>
      </c>
      <c r="D489" s="22" cm="1">
        <f t="array" ref="D489">_xlfn.XLOOKUP(1,
  (pivot!$A$2:$A$1946=endirim!B489) * (pivot!$C$2:$C$1946 = _xlfn.MAXIFS(pivot!$C$2:$C$1946, pivot!$A$2:$A$1946, endirim!B489)),
  pivot!$D$2:$D$1946)</f>
        <v>65</v>
      </c>
      <c r="E489" s="3" t="str" cm="1">
        <f t="array" ref="E489">_xlfn.XLOOKUP(1,
    (pivot!$A$2:$A$1946=endirim!B489) * (pivot!$D$2:$D$1946 = _xlfn.MAXIFS(pivot!$D$2:$D$1946, pivot!$A$2:$A$1946, endirim!B489)),
    pivot!$B$2:$B$1946)</f>
        <v>HasCreditCard</v>
      </c>
      <c r="F489" s="22">
        <f>_xlfn.MAXIFS(pivot!$D$2:$D$1946, pivot!$A$2:$A$1946, endirim!B489)</f>
        <v>65</v>
      </c>
      <c r="G489" s="3" t="str">
        <f t="shared" si="7"/>
        <v>Təklif yoxdur</v>
      </c>
    </row>
    <row r="490" spans="2:7" x14ac:dyDescent="0.3">
      <c r="B490" t="s">
        <v>544</v>
      </c>
      <c r="C490" s="3" t="str" cm="1">
        <f t="array" ref="C490">_xlfn.XLOOKUP(1,(pivot!$A$2:$A$1946=Table3[[#This Row],[Müştəri adı]])*(pivot!$C$2:$C$1946=_xlfn.MAXIFS(pivot!$C$2:$C$1946,pivot!$A$2:$A$1946,Table3[[#This Row],[Müştəri adı]])),pivot!$B$2:$B$1946)</f>
        <v>NotNewCellphoneUser</v>
      </c>
      <c r="D490" s="22" cm="1">
        <f t="array" ref="D490">_xlfn.XLOOKUP(1,
  (pivot!$A$2:$A$1946=endirim!B490) * (pivot!$C$2:$C$1946 = _xlfn.MAXIFS(pivot!$C$2:$C$1946, pivot!$A$2:$A$1946, endirim!B490)),
  pivot!$D$2:$D$1946)</f>
        <v>28</v>
      </c>
      <c r="E490" s="3" t="str" cm="1">
        <f t="array" ref="E490">_xlfn.XLOOKUP(1,
    (pivot!$A$2:$A$1946=endirim!B490) * (pivot!$D$2:$D$1946 = _xlfn.MAXIFS(pivot!$D$2:$D$1946, pivot!$A$2:$A$1946, endirim!B490)),
    pivot!$B$2:$B$1946)</f>
        <v>NotNewCellphoneUser</v>
      </c>
      <c r="F490" s="22">
        <f>_xlfn.MAXIFS(pivot!$D$2:$D$1946, pivot!$A$2:$A$1946, endirim!B490)</f>
        <v>28</v>
      </c>
      <c r="G490" s="3" t="str">
        <f t="shared" si="7"/>
        <v>Təklif yoxdur</v>
      </c>
    </row>
    <row r="491" spans="2:7" x14ac:dyDescent="0.3">
      <c r="B491" t="s">
        <v>545</v>
      </c>
      <c r="C491" s="3" t="str" cm="1">
        <f t="array" ref="C491">_xlfn.XLOOKUP(1,(pivot!$A$2:$A$1946=Table3[[#This Row],[Müştəri adı]])*(pivot!$C$2:$C$1946=_xlfn.MAXIFS(pivot!$C$2:$C$1946,pivot!$A$2:$A$1946,Table3[[#This Row],[Müştəri adı]])),pivot!$B$2:$B$1946)</f>
        <v>TruckOwner</v>
      </c>
      <c r="D491" s="22" cm="1">
        <f t="array" ref="D491">_xlfn.XLOOKUP(1,
  (pivot!$A$2:$A$1946=endirim!B491) * (pivot!$C$2:$C$1946 = _xlfn.MAXIFS(pivot!$C$2:$C$1946, pivot!$A$2:$A$1946, endirim!B491)),
  pivot!$D$2:$D$1946)</f>
        <v>26</v>
      </c>
      <c r="E491" s="3" t="str" cm="1">
        <f t="array" ref="E491">_xlfn.XLOOKUP(1,
    (pivot!$A$2:$A$1946=endirim!B491) * (pivot!$D$2:$D$1946 = _xlfn.MAXIFS(pivot!$D$2:$D$1946, pivot!$A$2:$A$1946, endirim!B491)),
    pivot!$B$2:$B$1946)</f>
        <v>HasCreditCard</v>
      </c>
      <c r="F491" s="22">
        <f>_xlfn.MAXIFS(pivot!$D$2:$D$1946, pivot!$A$2:$A$1946, endirim!B491)</f>
        <v>65</v>
      </c>
      <c r="G491" s="3" t="str">
        <f t="shared" si="7"/>
        <v>HasCreditCard Kompaniyasını 20% endirimlə təklif et</v>
      </c>
    </row>
    <row r="492" spans="2:7" x14ac:dyDescent="0.3">
      <c r="B492" t="s">
        <v>546</v>
      </c>
      <c r="C492" s="3" t="str" cm="1">
        <f t="array" ref="C492">_xlfn.XLOOKUP(1,(pivot!$A$2:$A$1946=Table3[[#This Row],[Müştəri adı]])*(pivot!$C$2:$C$1946=_xlfn.MAXIFS(pivot!$C$2:$C$1946,pivot!$A$2:$A$1946,Table3[[#This Row],[Müştəri adı]])),pivot!$B$2:$B$1946)</f>
        <v>RVOwner</v>
      </c>
      <c r="D492" s="22" cm="1">
        <f t="array" ref="D492">_xlfn.XLOOKUP(1,
  (pivot!$A$2:$A$1946=endirim!B492) * (pivot!$C$2:$C$1946 = _xlfn.MAXIFS(pivot!$C$2:$C$1946, pivot!$A$2:$A$1946, endirim!B492)),
  pivot!$D$2:$D$1946)</f>
        <v>22</v>
      </c>
      <c r="E492" s="3" t="str" cm="1">
        <f t="array" ref="E492">_xlfn.XLOOKUP(1,
    (pivot!$A$2:$A$1946=endirim!B492) * (pivot!$D$2:$D$1946 = _xlfn.MAXIFS(pivot!$D$2:$D$1946, pivot!$A$2:$A$1946, endirim!B492)),
    pivot!$B$2:$B$1946)</f>
        <v>TruckOwner</v>
      </c>
      <c r="F492" s="22">
        <f>_xlfn.MAXIFS(pivot!$D$2:$D$1946, pivot!$A$2:$A$1946, endirim!B492)</f>
        <v>26</v>
      </c>
      <c r="G492" s="3" t="str">
        <f t="shared" si="7"/>
        <v>TruckOwner Kompaniyasını 20% endirimlə təklif et</v>
      </c>
    </row>
    <row r="493" spans="2:7" x14ac:dyDescent="0.3">
      <c r="B493" t="s">
        <v>547</v>
      </c>
      <c r="C493" s="3" t="str" cm="1">
        <f t="array" ref="C493">_xlfn.XLOOKUP(1,(pivot!$A$2:$A$1946=Table3[[#This Row],[Müştəri adı]])*(pivot!$C$2:$C$1946=_xlfn.MAXIFS(pivot!$C$2:$C$1946,pivot!$A$2:$A$1946,Table3[[#This Row],[Müştəri adı]])),pivot!$B$2:$B$1946)</f>
        <v>ChildrenInHH</v>
      </c>
      <c r="D493" s="22" cm="1">
        <f t="array" ref="D493">_xlfn.XLOOKUP(1,
  (pivot!$A$2:$A$1946=endirim!B493) * (pivot!$C$2:$C$1946 = _xlfn.MAXIFS(pivot!$C$2:$C$1946, pivot!$A$2:$A$1946, endirim!B493)),
  pivot!$D$2:$D$1946)</f>
        <v>10</v>
      </c>
      <c r="E493" s="3" t="str" cm="1">
        <f t="array" ref="E493">_xlfn.XLOOKUP(1,
    (pivot!$A$2:$A$1946=endirim!B493) * (pivot!$D$2:$D$1946 = _xlfn.MAXIFS(pivot!$D$2:$D$1946, pivot!$A$2:$A$1946, endirim!B493)),
    pivot!$B$2:$B$1946)</f>
        <v>MaritalStatus</v>
      </c>
      <c r="F493" s="22">
        <f>_xlfn.MAXIFS(pivot!$D$2:$D$1946, pivot!$A$2:$A$1946, endirim!B493)</f>
        <v>29</v>
      </c>
      <c r="G493" s="3" t="str">
        <f t="shared" si="7"/>
        <v>MaritalStatus Kompaniyasını 20% endirimlə təklif et</v>
      </c>
    </row>
    <row r="494" spans="2:7" x14ac:dyDescent="0.3">
      <c r="B494" t="s">
        <v>548</v>
      </c>
      <c r="C494" s="3" t="str" cm="1">
        <f t="array" ref="C494">_xlfn.XLOOKUP(1,(pivot!$A$2:$A$1946=Table3[[#This Row],[Müştəri adı]])*(pivot!$C$2:$C$1946=_xlfn.MAXIFS(pivot!$C$2:$C$1946,pivot!$A$2:$A$1946,Table3[[#This Row],[Müştəri adı]])),pivot!$B$2:$B$1946)</f>
        <v>TruckOwner</v>
      </c>
      <c r="D494" s="22" cm="1">
        <f t="array" ref="D494">_xlfn.XLOOKUP(1,
  (pivot!$A$2:$A$1946=endirim!B494) * (pivot!$C$2:$C$1946 = _xlfn.MAXIFS(pivot!$C$2:$C$1946, pivot!$A$2:$A$1946, endirim!B494)),
  pivot!$D$2:$D$1946)</f>
        <v>26</v>
      </c>
      <c r="E494" s="3" t="str" cm="1">
        <f t="array" ref="E494">_xlfn.XLOOKUP(1,
    (pivot!$A$2:$A$1946=endirim!B494) * (pivot!$D$2:$D$1946 = _xlfn.MAXIFS(pivot!$D$2:$D$1946, pivot!$A$2:$A$1946, endirim!B494)),
    pivot!$B$2:$B$1946)</f>
        <v>TruckOwner</v>
      </c>
      <c r="F494" s="22">
        <f>_xlfn.MAXIFS(pivot!$D$2:$D$1946, pivot!$A$2:$A$1946, endirim!B494)</f>
        <v>26</v>
      </c>
      <c r="G494" s="3" t="str">
        <f t="shared" si="7"/>
        <v>Təklif yoxdur</v>
      </c>
    </row>
    <row r="495" spans="2:7" x14ac:dyDescent="0.3">
      <c r="B495" t="s">
        <v>549</v>
      </c>
      <c r="C495" s="3" t="str" cm="1">
        <f t="array" ref="C495">_xlfn.XLOOKUP(1,(pivot!$A$2:$A$1946=Table3[[#This Row],[Müştəri adı]])*(pivot!$C$2:$C$1946=_xlfn.MAXIFS(pivot!$C$2:$C$1946,pivot!$A$2:$A$1946,Table3[[#This Row],[Müştəri adı]])),pivot!$B$2:$B$1946)</f>
        <v>Homeownership</v>
      </c>
      <c r="D495" s="22" cm="1">
        <f t="array" ref="D495">_xlfn.XLOOKUP(1,
  (pivot!$A$2:$A$1946=endirim!B495) * (pivot!$C$2:$C$1946 = _xlfn.MAXIFS(pivot!$C$2:$C$1946, pivot!$A$2:$A$1946, endirim!B495)),
  pivot!$D$2:$D$1946)</f>
        <v>13</v>
      </c>
      <c r="E495" s="3" t="str" cm="1">
        <f t="array" ref="E495">_xlfn.XLOOKUP(1,
    (pivot!$A$2:$A$1946=endirim!B495) * (pivot!$D$2:$D$1946 = _xlfn.MAXIFS(pivot!$D$2:$D$1946, pivot!$A$2:$A$1946, endirim!B495)),
    pivot!$B$2:$B$1946)</f>
        <v>OptOutMailings</v>
      </c>
      <c r="F495" s="22">
        <f>_xlfn.MAXIFS(pivot!$D$2:$D$1946, pivot!$A$2:$A$1946, endirim!B495)</f>
        <v>75</v>
      </c>
      <c r="G495" s="3" t="str">
        <f t="shared" si="7"/>
        <v>OptOutMailings Kompaniyasını 20% endirimlə təklif et</v>
      </c>
    </row>
    <row r="496" spans="2:7" x14ac:dyDescent="0.3">
      <c r="B496" t="s">
        <v>550</v>
      </c>
      <c r="C496" s="3" t="str" cm="1">
        <f t="array" ref="C496">_xlfn.XLOOKUP(1,(pivot!$A$2:$A$1946=Table3[[#This Row],[Müştəri adı]])*(pivot!$C$2:$C$1946=_xlfn.MAXIFS(pivot!$C$2:$C$1946,pivot!$A$2:$A$1946,Table3[[#This Row],[Müştəri adı]])),pivot!$B$2:$B$1946)</f>
        <v>MaritalStatus</v>
      </c>
      <c r="D496" s="22" cm="1">
        <f t="array" ref="D496">_xlfn.XLOOKUP(1,
  (pivot!$A$2:$A$1946=endirim!B496) * (pivot!$C$2:$C$1946 = _xlfn.MAXIFS(pivot!$C$2:$C$1946, pivot!$A$2:$A$1946, endirim!B496)),
  pivot!$D$2:$D$1946)</f>
        <v>29</v>
      </c>
      <c r="E496" s="3" t="str" cm="1">
        <f t="array" ref="E496">_xlfn.XLOOKUP(1,
    (pivot!$A$2:$A$1946=endirim!B496) * (pivot!$D$2:$D$1946 = _xlfn.MAXIFS(pivot!$D$2:$D$1946, pivot!$A$2:$A$1946, endirim!B496)),
    pivot!$B$2:$B$1946)</f>
        <v>OwnsComputer</v>
      </c>
      <c r="F496" s="22">
        <f>_xlfn.MAXIFS(pivot!$D$2:$D$1946, pivot!$A$2:$A$1946, endirim!B496)</f>
        <v>62</v>
      </c>
      <c r="G496" s="3" t="str">
        <f t="shared" si="7"/>
        <v>OwnsComputer Kompaniyasını 20% endirimlə təklif et</v>
      </c>
    </row>
    <row r="497" spans="2:7" x14ac:dyDescent="0.3">
      <c r="B497" t="s">
        <v>551</v>
      </c>
      <c r="C497" s="3" t="str" cm="1">
        <f t="array" ref="C497">_xlfn.XLOOKUP(1,(pivot!$A$2:$A$1946=Table3[[#This Row],[Müştəri adı]])*(pivot!$C$2:$C$1946=_xlfn.MAXIFS(pivot!$C$2:$C$1946,pivot!$A$2:$A$1946,Table3[[#This Row],[Müştəri adı]])),pivot!$B$2:$B$1946)</f>
        <v>TruckOwner</v>
      </c>
      <c r="D497" s="22" cm="1">
        <f t="array" ref="D497">_xlfn.XLOOKUP(1,
  (pivot!$A$2:$A$1946=endirim!B497) * (pivot!$C$2:$C$1946 = _xlfn.MAXIFS(pivot!$C$2:$C$1946, pivot!$A$2:$A$1946, endirim!B497)),
  pivot!$D$2:$D$1946)</f>
        <v>26</v>
      </c>
      <c r="E497" s="3" t="str" cm="1">
        <f t="array" ref="E497">_xlfn.XLOOKUP(1,
    (pivot!$A$2:$A$1946=endirim!B497) * (pivot!$D$2:$D$1946 = _xlfn.MAXIFS(pivot!$D$2:$D$1946, pivot!$A$2:$A$1946, endirim!B497)),
    pivot!$B$2:$B$1946)</f>
        <v>NotNewCellphoneUser</v>
      </c>
      <c r="F497" s="22">
        <f>_xlfn.MAXIFS(pivot!$D$2:$D$1946, pivot!$A$2:$A$1946, endirim!B497)</f>
        <v>28</v>
      </c>
      <c r="G497" s="3" t="str">
        <f t="shared" si="7"/>
        <v>NotNewCellphoneUser Kompaniyasını 20% endirimlə təklif et</v>
      </c>
    </row>
    <row r="498" spans="2:7" x14ac:dyDescent="0.3">
      <c r="B498" t="s">
        <v>552</v>
      </c>
      <c r="C498" s="3" t="str" cm="1">
        <f t="array" ref="C498">_xlfn.XLOOKUP(1,(pivot!$A$2:$A$1946=Table3[[#This Row],[Müştəri adı]])*(pivot!$C$2:$C$1946=_xlfn.MAXIFS(pivot!$C$2:$C$1946,pivot!$A$2:$A$1946,Table3[[#This Row],[Müştəri adı]])),pivot!$B$2:$B$1946)</f>
        <v>Homeownership</v>
      </c>
      <c r="D498" s="22" cm="1">
        <f t="array" ref="D498">_xlfn.XLOOKUP(1,
  (pivot!$A$2:$A$1946=endirim!B498) * (pivot!$C$2:$C$1946 = _xlfn.MAXIFS(pivot!$C$2:$C$1946, pivot!$A$2:$A$1946, endirim!B498)),
  pivot!$D$2:$D$1946)</f>
        <v>13</v>
      </c>
      <c r="E498" s="3" t="str" cm="1">
        <f t="array" ref="E498">_xlfn.XLOOKUP(1,
    (pivot!$A$2:$A$1946=endirim!B498) * (pivot!$D$2:$D$1946 = _xlfn.MAXIFS(pivot!$D$2:$D$1946, pivot!$A$2:$A$1946, endirim!B498)),
    pivot!$B$2:$B$1946)</f>
        <v>Homeownership</v>
      </c>
      <c r="F498" s="22">
        <f>_xlfn.MAXIFS(pivot!$D$2:$D$1946, pivot!$A$2:$A$1946, endirim!B498)</f>
        <v>13</v>
      </c>
      <c r="G498" s="3" t="str">
        <f t="shared" si="7"/>
        <v>Təklif yoxdur</v>
      </c>
    </row>
    <row r="499" spans="2:7" x14ac:dyDescent="0.3">
      <c r="B499" t="s">
        <v>553</v>
      </c>
      <c r="C499" s="3" t="str" cm="1">
        <f t="array" ref="C499">_xlfn.XLOOKUP(1,(pivot!$A$2:$A$1946=Table3[[#This Row],[Müştəri adı]])*(pivot!$C$2:$C$1946=_xlfn.MAXIFS(pivot!$C$2:$C$1946,pivot!$A$2:$A$1946,Table3[[#This Row],[Müştəri adı]])),pivot!$B$2:$B$1946)</f>
        <v>ChildrenInHH</v>
      </c>
      <c r="D499" s="22" cm="1">
        <f t="array" ref="D499">_xlfn.XLOOKUP(1,
  (pivot!$A$2:$A$1946=endirim!B499) * (pivot!$C$2:$C$1946 = _xlfn.MAXIFS(pivot!$C$2:$C$1946, pivot!$A$2:$A$1946, endirim!B499)),
  pivot!$D$2:$D$1946)</f>
        <v>10</v>
      </c>
      <c r="E499" s="3" t="str" cm="1">
        <f t="array" ref="E499">_xlfn.XLOOKUP(1,
    (pivot!$A$2:$A$1946=endirim!B499) * (pivot!$D$2:$D$1946 = _xlfn.MAXIFS(pivot!$D$2:$D$1946, pivot!$A$2:$A$1946, endirim!B499)),
    pivot!$B$2:$B$1946)</f>
        <v>Homeownership</v>
      </c>
      <c r="F499" s="22">
        <f>_xlfn.MAXIFS(pivot!$D$2:$D$1946, pivot!$A$2:$A$1946, endirim!B499)</f>
        <v>13</v>
      </c>
      <c r="G499" s="3" t="str">
        <f t="shared" si="7"/>
        <v>Homeownership Kompaniyasını 20% endirimlə təklif et</v>
      </c>
    </row>
    <row r="500" spans="2:7" x14ac:dyDescent="0.3">
      <c r="B500" t="s">
        <v>554</v>
      </c>
      <c r="C500" s="3" t="str" cm="1">
        <f t="array" ref="C500">_xlfn.XLOOKUP(1,(pivot!$A$2:$A$1946=Table3[[#This Row],[Müştəri adı]])*(pivot!$C$2:$C$1946=_xlfn.MAXIFS(pivot!$C$2:$C$1946,pivot!$A$2:$A$1946,Table3[[#This Row],[Müştəri adı]])),pivot!$B$2:$B$1946)</f>
        <v>NotNewCellphoneUser</v>
      </c>
      <c r="D500" s="22" cm="1">
        <f t="array" ref="D500">_xlfn.XLOOKUP(1,
  (pivot!$A$2:$A$1946=endirim!B500) * (pivot!$C$2:$C$1946 = _xlfn.MAXIFS(pivot!$C$2:$C$1946, pivot!$A$2:$A$1946, endirim!B500)),
  pivot!$D$2:$D$1946)</f>
        <v>28</v>
      </c>
      <c r="E500" s="3" t="str" cm="1">
        <f t="array" ref="E500">_xlfn.XLOOKUP(1,
    (pivot!$A$2:$A$1946=endirim!B500) * (pivot!$D$2:$D$1946 = _xlfn.MAXIFS(pivot!$D$2:$D$1946, pivot!$A$2:$A$1946, endirim!B500)),
    pivot!$B$2:$B$1946)</f>
        <v>OwnsComputer</v>
      </c>
      <c r="F500" s="22">
        <f>_xlfn.MAXIFS(pivot!$D$2:$D$1946, pivot!$A$2:$A$1946, endirim!B500)</f>
        <v>62</v>
      </c>
      <c r="G500" s="3" t="str">
        <f t="shared" si="7"/>
        <v>OwnsComputer Kompaniyasını 20% endirimlə təklif et</v>
      </c>
    </row>
    <row r="501" spans="2:7" x14ac:dyDescent="0.3">
      <c r="B501" t="s">
        <v>555</v>
      </c>
      <c r="C501" s="3" t="str" cm="1">
        <f t="array" ref="C501">_xlfn.XLOOKUP(1,(pivot!$A$2:$A$1946=Table3[[#This Row],[Müştəri adı]])*(pivot!$C$2:$C$1946=_xlfn.MAXIFS(pivot!$C$2:$C$1946,pivot!$A$2:$A$1946,Table3[[#This Row],[Müştəri adı]])),pivot!$B$2:$B$1946)</f>
        <v>RespondsToMailOffers</v>
      </c>
      <c r="D501" s="22" cm="1">
        <f t="array" ref="D501">_xlfn.XLOOKUP(1,
  (pivot!$A$2:$A$1946=endirim!B501) * (pivot!$C$2:$C$1946 = _xlfn.MAXIFS(pivot!$C$2:$C$1946, pivot!$A$2:$A$1946, endirim!B501)),
  pivot!$D$2:$D$1946)</f>
        <v>27</v>
      </c>
      <c r="E501" s="3" t="str" cm="1">
        <f t="array" ref="E501">_xlfn.XLOOKUP(1,
    (pivot!$A$2:$A$1946=endirim!B501) * (pivot!$D$2:$D$1946 = _xlfn.MAXIFS(pivot!$D$2:$D$1946, pivot!$A$2:$A$1946, endirim!B501)),
    pivot!$B$2:$B$1946)</f>
        <v>NotNewCellphoneUser</v>
      </c>
      <c r="F501" s="22">
        <f>_xlfn.MAXIFS(pivot!$D$2:$D$1946, pivot!$A$2:$A$1946, endirim!B501)</f>
        <v>28</v>
      </c>
      <c r="G501" s="3" t="str">
        <f t="shared" si="7"/>
        <v>NotNewCellphoneUser Kompaniyasını 20% endirimlə təklif et</v>
      </c>
    </row>
    <row r="502" spans="2:7" x14ac:dyDescent="0.3">
      <c r="B502" t="s">
        <v>556</v>
      </c>
      <c r="C502" s="3" t="str" cm="1">
        <f t="array" ref="C502">_xlfn.XLOOKUP(1,(pivot!$A$2:$A$1946=Table3[[#This Row],[Müştəri adı]])*(pivot!$C$2:$C$1946=_xlfn.MAXIFS(pivot!$C$2:$C$1946,pivot!$A$2:$A$1946,Table3[[#This Row],[Müştəri adı]])),pivot!$B$2:$B$1946)</f>
        <v>HasCreditCard</v>
      </c>
      <c r="D502" s="22" cm="1">
        <f t="array" ref="D502">_xlfn.XLOOKUP(1,
  (pivot!$A$2:$A$1946=endirim!B502) * (pivot!$C$2:$C$1946 = _xlfn.MAXIFS(pivot!$C$2:$C$1946, pivot!$A$2:$A$1946, endirim!B502)),
  pivot!$D$2:$D$1946)</f>
        <v>65</v>
      </c>
      <c r="E502" s="3" t="str" cm="1">
        <f t="array" ref="E502">_xlfn.XLOOKUP(1,
    (pivot!$A$2:$A$1946=endirim!B502) * (pivot!$D$2:$D$1946 = _xlfn.MAXIFS(pivot!$D$2:$D$1946, pivot!$A$2:$A$1946, endirim!B502)),
    pivot!$B$2:$B$1946)</f>
        <v>HasCreditCard</v>
      </c>
      <c r="F502" s="22">
        <f>_xlfn.MAXIFS(pivot!$D$2:$D$1946, pivot!$A$2:$A$1946, endirim!B502)</f>
        <v>65</v>
      </c>
      <c r="G502" s="3" t="str">
        <f t="shared" si="7"/>
        <v>Təklif yoxdur</v>
      </c>
    </row>
    <row r="503" spans="2:7" x14ac:dyDescent="0.3">
      <c r="B503" t="s">
        <v>557</v>
      </c>
      <c r="C503" s="3" t="str" cm="1">
        <f t="array" ref="C503">_xlfn.XLOOKUP(1,(pivot!$A$2:$A$1946=Table3[[#This Row],[Müştəri adı]])*(pivot!$C$2:$C$1946=_xlfn.MAXIFS(pivot!$C$2:$C$1946,pivot!$A$2:$A$1946,Table3[[#This Row],[Müştəri adı]])),pivot!$B$2:$B$1946)</f>
        <v>Homeownership</v>
      </c>
      <c r="D503" s="22" cm="1">
        <f t="array" ref="D503">_xlfn.XLOOKUP(1,
  (pivot!$A$2:$A$1946=endirim!B503) * (pivot!$C$2:$C$1946 = _xlfn.MAXIFS(pivot!$C$2:$C$1946, pivot!$A$2:$A$1946, endirim!B503)),
  pivot!$D$2:$D$1946)</f>
        <v>13</v>
      </c>
      <c r="E503" s="3" t="str" cm="1">
        <f t="array" ref="E503">_xlfn.XLOOKUP(1,
    (pivot!$A$2:$A$1946=endirim!B503) * (pivot!$D$2:$D$1946 = _xlfn.MAXIFS(pivot!$D$2:$D$1946, pivot!$A$2:$A$1946, endirim!B503)),
    pivot!$B$2:$B$1946)</f>
        <v>OwnsComputer</v>
      </c>
      <c r="F503" s="22">
        <f>_xlfn.MAXIFS(pivot!$D$2:$D$1946, pivot!$A$2:$A$1946, endirim!B503)</f>
        <v>62</v>
      </c>
      <c r="G503" s="3" t="str">
        <f t="shared" si="7"/>
        <v>OwnsComputer Kompaniyasını 20% endirimlə təklif et</v>
      </c>
    </row>
    <row r="504" spans="2:7" x14ac:dyDescent="0.3">
      <c r="B504" t="s">
        <v>558</v>
      </c>
      <c r="C504" s="3" t="str" cm="1">
        <f t="array" ref="C504">_xlfn.XLOOKUP(1,(pivot!$A$2:$A$1946=Table3[[#This Row],[Müştəri adı]])*(pivot!$C$2:$C$1946=_xlfn.MAXIFS(pivot!$C$2:$C$1946,pivot!$A$2:$A$1946,Table3[[#This Row],[Müştəri adı]])),pivot!$B$2:$B$1946)</f>
        <v>OptOutMailings</v>
      </c>
      <c r="D504" s="22" cm="1">
        <f t="array" ref="D504">_xlfn.XLOOKUP(1,
  (pivot!$A$2:$A$1946=endirim!B504) * (pivot!$C$2:$C$1946 = _xlfn.MAXIFS(pivot!$C$2:$C$1946, pivot!$A$2:$A$1946, endirim!B504)),
  pivot!$D$2:$D$1946)</f>
        <v>75</v>
      </c>
      <c r="E504" s="3" t="str" cm="1">
        <f t="array" ref="E504">_xlfn.XLOOKUP(1,
    (pivot!$A$2:$A$1946=endirim!B504) * (pivot!$D$2:$D$1946 = _xlfn.MAXIFS(pivot!$D$2:$D$1946, pivot!$A$2:$A$1946, endirim!B504)),
    pivot!$B$2:$B$1946)</f>
        <v>OptOutMailings</v>
      </c>
      <c r="F504" s="22">
        <f>_xlfn.MAXIFS(pivot!$D$2:$D$1946, pivot!$A$2:$A$1946, endirim!B504)</f>
        <v>75</v>
      </c>
      <c r="G504" s="3" t="str">
        <f t="shared" si="7"/>
        <v>Təklif yoxdur</v>
      </c>
    </row>
    <row r="505" spans="2:7" x14ac:dyDescent="0.3">
      <c r="B505" t="s">
        <v>559</v>
      </c>
      <c r="C505" s="3" t="str" cm="1">
        <f t="array" ref="C505">_xlfn.XLOOKUP(1,(pivot!$A$2:$A$1946=Table3[[#This Row],[Müştəri adı]])*(pivot!$C$2:$C$1946=_xlfn.MAXIFS(pivot!$C$2:$C$1946,pivot!$A$2:$A$1946,Table3[[#This Row],[Müştəri adı]])),pivot!$B$2:$B$1946)</f>
        <v>HandsetWebCapable</v>
      </c>
      <c r="D505" s="22" cm="1">
        <f t="array" ref="D505">_xlfn.XLOOKUP(1,
  (pivot!$A$2:$A$1946=endirim!B505) * (pivot!$C$2:$C$1946 = _xlfn.MAXIFS(pivot!$C$2:$C$1946, pivot!$A$2:$A$1946, endirim!B505)),
  pivot!$D$2:$D$1946)</f>
        <v>62</v>
      </c>
      <c r="E505" s="3" t="str" cm="1">
        <f t="array" ref="E505">_xlfn.XLOOKUP(1,
    (pivot!$A$2:$A$1946=endirim!B505) * (pivot!$D$2:$D$1946 = _xlfn.MAXIFS(pivot!$D$2:$D$1946, pivot!$A$2:$A$1946, endirim!B505)),
    pivot!$B$2:$B$1946)</f>
        <v>HandsetWebCapable</v>
      </c>
      <c r="F505" s="22">
        <f>_xlfn.MAXIFS(pivot!$D$2:$D$1946, pivot!$A$2:$A$1946, endirim!B505)</f>
        <v>62</v>
      </c>
      <c r="G505" s="3" t="str">
        <f t="shared" si="7"/>
        <v>Təklif yoxdur</v>
      </c>
    </row>
    <row r="506" spans="2:7" x14ac:dyDescent="0.3">
      <c r="B506" t="s">
        <v>560</v>
      </c>
      <c r="C506" s="3" t="str" cm="1">
        <f t="array" ref="C506">_xlfn.XLOOKUP(1,(pivot!$A$2:$A$1946=Table3[[#This Row],[Müştəri adı]])*(pivot!$C$2:$C$1946=_xlfn.MAXIFS(pivot!$C$2:$C$1946,pivot!$A$2:$A$1946,Table3[[#This Row],[Müştəri adı]])),pivot!$B$2:$B$1946)</f>
        <v>RespondsToMailOffers</v>
      </c>
      <c r="D506" s="22" cm="1">
        <f t="array" ref="D506">_xlfn.XLOOKUP(1,
  (pivot!$A$2:$A$1946=endirim!B506) * (pivot!$C$2:$C$1946 = _xlfn.MAXIFS(pivot!$C$2:$C$1946, pivot!$A$2:$A$1946, endirim!B506)),
  pivot!$D$2:$D$1946)</f>
        <v>27</v>
      </c>
      <c r="E506" s="3" t="str" cm="1">
        <f t="array" ref="E506">_xlfn.XLOOKUP(1,
    (pivot!$A$2:$A$1946=endirim!B506) * (pivot!$D$2:$D$1946 = _xlfn.MAXIFS(pivot!$D$2:$D$1946, pivot!$A$2:$A$1946, endirim!B506)),
    pivot!$B$2:$B$1946)</f>
        <v>RespondsToMailOffers</v>
      </c>
      <c r="F506" s="22">
        <f>_xlfn.MAXIFS(pivot!$D$2:$D$1946, pivot!$A$2:$A$1946, endirim!B506)</f>
        <v>27</v>
      </c>
      <c r="G506" s="3" t="str">
        <f t="shared" si="7"/>
        <v>Təklif yoxdur</v>
      </c>
    </row>
    <row r="507" spans="2:7" x14ac:dyDescent="0.3">
      <c r="B507" t="s">
        <v>561</v>
      </c>
      <c r="C507" s="3" t="str" cm="1">
        <f t="array" ref="C507">_xlfn.XLOOKUP(1,(pivot!$A$2:$A$1946=Table3[[#This Row],[Müştəri adı]])*(pivot!$C$2:$C$1946=_xlfn.MAXIFS(pivot!$C$2:$C$1946,pivot!$A$2:$A$1946,Table3[[#This Row],[Müştəri adı]])),pivot!$B$2:$B$1946)</f>
        <v>OwnsMotorcycle</v>
      </c>
      <c r="D507" s="22" cm="1">
        <f t="array" ref="D507">_xlfn.XLOOKUP(1,
  (pivot!$A$2:$A$1946=endirim!B507) * (pivot!$C$2:$C$1946 = _xlfn.MAXIFS(pivot!$C$2:$C$1946, pivot!$A$2:$A$1946, endirim!B507)),
  pivot!$D$2:$D$1946)</f>
        <v>14</v>
      </c>
      <c r="E507" s="3" t="str" cm="1">
        <f t="array" ref="E507">_xlfn.XLOOKUP(1,
    (pivot!$A$2:$A$1946=endirim!B507) * (pivot!$D$2:$D$1946 = _xlfn.MAXIFS(pivot!$D$2:$D$1946, pivot!$A$2:$A$1946, endirim!B507)),
    pivot!$B$2:$B$1946)</f>
        <v>OwnsMotorcycle</v>
      </c>
      <c r="F507" s="22">
        <f>_xlfn.MAXIFS(pivot!$D$2:$D$1946, pivot!$A$2:$A$1946, endirim!B507)</f>
        <v>14</v>
      </c>
      <c r="G507" s="3" t="str">
        <f t="shared" si="7"/>
        <v>Təklif yoxdur</v>
      </c>
    </row>
    <row r="508" spans="2:7" x14ac:dyDescent="0.3">
      <c r="B508" t="s">
        <v>562</v>
      </c>
      <c r="C508" s="3" t="str" cm="1">
        <f t="array" ref="C508">_xlfn.XLOOKUP(1,(pivot!$A$2:$A$1946=Table3[[#This Row],[Müştəri adı]])*(pivot!$C$2:$C$1946=_xlfn.MAXIFS(pivot!$C$2:$C$1946,pivot!$A$2:$A$1946,Table3[[#This Row],[Müştəri adı]])),pivot!$B$2:$B$1946)</f>
        <v>HandsetWebCapable</v>
      </c>
      <c r="D508" s="22" cm="1">
        <f t="array" ref="D508">_xlfn.XLOOKUP(1,
  (pivot!$A$2:$A$1946=endirim!B508) * (pivot!$C$2:$C$1946 = _xlfn.MAXIFS(pivot!$C$2:$C$1946, pivot!$A$2:$A$1946, endirim!B508)),
  pivot!$D$2:$D$1946)</f>
        <v>62</v>
      </c>
      <c r="E508" s="3" t="str" cm="1">
        <f t="array" ref="E508">_xlfn.XLOOKUP(1,
    (pivot!$A$2:$A$1946=endirim!B508) * (pivot!$D$2:$D$1946 = _xlfn.MAXIFS(pivot!$D$2:$D$1946, pivot!$A$2:$A$1946, endirim!B508)),
    pivot!$B$2:$B$1946)</f>
        <v>NonUSTravel</v>
      </c>
      <c r="F508" s="22">
        <f>_xlfn.MAXIFS(pivot!$D$2:$D$1946, pivot!$A$2:$A$1946, endirim!B508)</f>
        <v>66</v>
      </c>
      <c r="G508" s="3" t="str">
        <f t="shared" si="7"/>
        <v>NonUSTravel Kompaniyasını 20% endirimlə təklif et</v>
      </c>
    </row>
    <row r="509" spans="2:7" x14ac:dyDescent="0.3">
      <c r="B509" t="s">
        <v>563</v>
      </c>
      <c r="C509" s="3" t="str" cm="1">
        <f t="array" ref="C509">_xlfn.XLOOKUP(1,(pivot!$A$2:$A$1946=Table3[[#This Row],[Müştəri adı]])*(pivot!$C$2:$C$1946=_xlfn.MAXIFS(pivot!$C$2:$C$1946,pivot!$A$2:$A$1946,Table3[[#This Row],[Müştəri adı]])),pivot!$B$2:$B$1946)</f>
        <v>OwnsMotorcycle</v>
      </c>
      <c r="D509" s="22" cm="1">
        <f t="array" ref="D509">_xlfn.XLOOKUP(1,
  (pivot!$A$2:$A$1946=endirim!B509) * (pivot!$C$2:$C$1946 = _xlfn.MAXIFS(pivot!$C$2:$C$1946, pivot!$A$2:$A$1946, endirim!B509)),
  pivot!$D$2:$D$1946)</f>
        <v>14</v>
      </c>
      <c r="E509" s="3" t="str" cm="1">
        <f t="array" ref="E509">_xlfn.XLOOKUP(1,
    (pivot!$A$2:$A$1946=endirim!B509) * (pivot!$D$2:$D$1946 = _xlfn.MAXIFS(pivot!$D$2:$D$1946, pivot!$A$2:$A$1946, endirim!B509)),
    pivot!$B$2:$B$1946)</f>
        <v>TruckOwner</v>
      </c>
      <c r="F509" s="22">
        <f>_xlfn.MAXIFS(pivot!$D$2:$D$1946, pivot!$A$2:$A$1946, endirim!B509)</f>
        <v>26</v>
      </c>
      <c r="G509" s="3" t="str">
        <f t="shared" si="7"/>
        <v>TruckOwner Kompaniyasını 20% endirimlə təklif et</v>
      </c>
    </row>
    <row r="510" spans="2:7" x14ac:dyDescent="0.3">
      <c r="B510" t="s">
        <v>564</v>
      </c>
      <c r="C510" s="3" t="str" cm="1">
        <f t="array" ref="C510">_xlfn.XLOOKUP(1,(pivot!$A$2:$A$1946=Table3[[#This Row],[Müştəri adı]])*(pivot!$C$2:$C$1946=_xlfn.MAXIFS(pivot!$C$2:$C$1946,pivot!$A$2:$A$1946,Table3[[#This Row],[Müştəri adı]])),pivot!$B$2:$B$1946)</f>
        <v>BuysViaMailOrder</v>
      </c>
      <c r="D510" s="22" cm="1">
        <f t="array" ref="D510">_xlfn.XLOOKUP(1,
  (pivot!$A$2:$A$1946=endirim!B510) * (pivot!$C$2:$C$1946 = _xlfn.MAXIFS(pivot!$C$2:$C$1946, pivot!$A$2:$A$1946, endirim!B510)),
  pivot!$D$2:$D$1946)</f>
        <v>25</v>
      </c>
      <c r="E510" s="3" t="str" cm="1">
        <f t="array" ref="E510">_xlfn.XLOOKUP(1,
    (pivot!$A$2:$A$1946=endirim!B510) * (pivot!$D$2:$D$1946 = _xlfn.MAXIFS(pivot!$D$2:$D$1946, pivot!$A$2:$A$1946, endirim!B510)),
    pivot!$B$2:$B$1946)</f>
        <v>HasCreditCard</v>
      </c>
      <c r="F510" s="22">
        <f>_xlfn.MAXIFS(pivot!$D$2:$D$1946, pivot!$A$2:$A$1946, endirim!B510)</f>
        <v>65</v>
      </c>
      <c r="G510" s="3" t="str">
        <f t="shared" si="7"/>
        <v>HasCreditCard Kompaniyasını 20% endirimlə təklif et</v>
      </c>
    </row>
    <row r="511" spans="2:7" x14ac:dyDescent="0.3">
      <c r="B511" t="s">
        <v>565</v>
      </c>
      <c r="C511" s="3" t="str" cm="1">
        <f t="array" ref="C511">_xlfn.XLOOKUP(1,(pivot!$A$2:$A$1946=Table3[[#This Row],[Müştəri adı]])*(pivot!$C$2:$C$1946=_xlfn.MAXIFS(pivot!$C$2:$C$1946,pivot!$A$2:$A$1946,Table3[[#This Row],[Müştəri adı]])),pivot!$B$2:$B$1946)</f>
        <v>OwnsComputer</v>
      </c>
      <c r="D511" s="22" cm="1">
        <f t="array" ref="D511">_xlfn.XLOOKUP(1,
  (pivot!$A$2:$A$1946=endirim!B511) * (pivot!$C$2:$C$1946 = _xlfn.MAXIFS(pivot!$C$2:$C$1946, pivot!$A$2:$A$1946, endirim!B511)),
  pivot!$D$2:$D$1946)</f>
        <v>62</v>
      </c>
      <c r="E511" s="3" t="str" cm="1">
        <f t="array" ref="E511">_xlfn.XLOOKUP(1,
    (pivot!$A$2:$A$1946=endirim!B511) * (pivot!$D$2:$D$1946 = _xlfn.MAXIFS(pivot!$D$2:$D$1946, pivot!$A$2:$A$1946, endirim!B511)),
    pivot!$B$2:$B$1946)</f>
        <v>OwnsComputer</v>
      </c>
      <c r="F511" s="22">
        <f>_xlfn.MAXIFS(pivot!$D$2:$D$1946, pivot!$A$2:$A$1946, endirim!B511)</f>
        <v>62</v>
      </c>
      <c r="G511" s="3" t="str">
        <f t="shared" si="7"/>
        <v>Təklif yoxdur</v>
      </c>
    </row>
    <row r="512" spans="2:7" x14ac:dyDescent="0.3">
      <c r="B512" t="s">
        <v>566</v>
      </c>
      <c r="C512" s="3" t="str" cm="1">
        <f t="array" ref="C512">_xlfn.XLOOKUP(1,(pivot!$A$2:$A$1946=Table3[[#This Row],[Müştəri adı]])*(pivot!$C$2:$C$1946=_xlfn.MAXIFS(pivot!$C$2:$C$1946,pivot!$A$2:$A$1946,Table3[[#This Row],[Müştəri adı]])),pivot!$B$2:$B$1946)</f>
        <v>HandsetWebCapable</v>
      </c>
      <c r="D512" s="22" cm="1">
        <f t="array" ref="D512">_xlfn.XLOOKUP(1,
  (pivot!$A$2:$A$1946=endirim!B512) * (pivot!$C$2:$C$1946 = _xlfn.MAXIFS(pivot!$C$2:$C$1946, pivot!$A$2:$A$1946, endirim!B512)),
  pivot!$D$2:$D$1946)</f>
        <v>62</v>
      </c>
      <c r="E512" s="3" t="str" cm="1">
        <f t="array" ref="E512">_xlfn.XLOOKUP(1,
    (pivot!$A$2:$A$1946=endirim!B512) * (pivot!$D$2:$D$1946 = _xlfn.MAXIFS(pivot!$D$2:$D$1946, pivot!$A$2:$A$1946, endirim!B512)),
    pivot!$B$2:$B$1946)</f>
        <v>HandsetWebCapable</v>
      </c>
      <c r="F512" s="22">
        <f>_xlfn.MAXIFS(pivot!$D$2:$D$1946, pivot!$A$2:$A$1946, endirim!B512)</f>
        <v>62</v>
      </c>
      <c r="G512" s="3" t="str">
        <f t="shared" si="7"/>
        <v>Təklif yoxdur</v>
      </c>
    </row>
    <row r="513" spans="2:7" x14ac:dyDescent="0.3">
      <c r="B513" t="s">
        <v>567</v>
      </c>
      <c r="C513" s="3" t="str" cm="1">
        <f t="array" ref="C513">_xlfn.XLOOKUP(1,(pivot!$A$2:$A$1946=Table3[[#This Row],[Müştəri adı]])*(pivot!$C$2:$C$1946=_xlfn.MAXIFS(pivot!$C$2:$C$1946,pivot!$A$2:$A$1946,Table3[[#This Row],[Müştəri adı]])),pivot!$B$2:$B$1946)</f>
        <v>RVOwner</v>
      </c>
      <c r="D513" s="22" cm="1">
        <f t="array" ref="D513">_xlfn.XLOOKUP(1,
  (pivot!$A$2:$A$1946=endirim!B513) * (pivot!$C$2:$C$1946 = _xlfn.MAXIFS(pivot!$C$2:$C$1946, pivot!$A$2:$A$1946, endirim!B513)),
  pivot!$D$2:$D$1946)</f>
        <v>22</v>
      </c>
      <c r="E513" s="3" t="str" cm="1">
        <f t="array" ref="E513">_xlfn.XLOOKUP(1,
    (pivot!$A$2:$A$1946=endirim!B513) * (pivot!$D$2:$D$1946 = _xlfn.MAXIFS(pivot!$D$2:$D$1946, pivot!$A$2:$A$1946, endirim!B513)),
    pivot!$B$2:$B$1946)</f>
        <v>HasCreditCard</v>
      </c>
      <c r="F513" s="22">
        <f>_xlfn.MAXIFS(pivot!$D$2:$D$1946, pivot!$A$2:$A$1946, endirim!B513)</f>
        <v>65</v>
      </c>
      <c r="G513" s="3" t="str">
        <f t="shared" si="7"/>
        <v>HasCreditCard Kompaniyasını 20% endirimlə təklif et</v>
      </c>
    </row>
    <row r="514" spans="2:7" x14ac:dyDescent="0.3">
      <c r="B514" t="s">
        <v>568</v>
      </c>
      <c r="C514" s="3" t="str" cm="1">
        <f t="array" ref="C514">_xlfn.XLOOKUP(1,(pivot!$A$2:$A$1946=Table3[[#This Row],[Müştəri adı]])*(pivot!$C$2:$C$1946=_xlfn.MAXIFS(pivot!$C$2:$C$1946,pivot!$A$2:$A$1946,Table3[[#This Row],[Müştəri adı]])),pivot!$B$2:$B$1946)</f>
        <v>NotNewCellphoneUser</v>
      </c>
      <c r="D514" s="22" cm="1">
        <f t="array" ref="D514">_xlfn.XLOOKUP(1,
  (pivot!$A$2:$A$1946=endirim!B514) * (pivot!$C$2:$C$1946 = _xlfn.MAXIFS(pivot!$C$2:$C$1946, pivot!$A$2:$A$1946, endirim!B514)),
  pivot!$D$2:$D$1946)</f>
        <v>28</v>
      </c>
      <c r="E514" s="3" t="str" cm="1">
        <f t="array" ref="E514">_xlfn.XLOOKUP(1,
    (pivot!$A$2:$A$1946=endirim!B514) * (pivot!$D$2:$D$1946 = _xlfn.MAXIFS(pivot!$D$2:$D$1946, pivot!$A$2:$A$1946, endirim!B514)),
    pivot!$B$2:$B$1946)</f>
        <v>NotNewCellphoneUser</v>
      </c>
      <c r="F514" s="22">
        <f>_xlfn.MAXIFS(pivot!$D$2:$D$1946, pivot!$A$2:$A$1946, endirim!B514)</f>
        <v>28</v>
      </c>
      <c r="G514" s="3" t="str">
        <f t="shared" si="7"/>
        <v>Təklif yoxdur</v>
      </c>
    </row>
    <row r="515" spans="2:7" x14ac:dyDescent="0.3">
      <c r="B515" t="s">
        <v>569</v>
      </c>
      <c r="C515" s="3" t="str" cm="1">
        <f t="array" ref="C515">_xlfn.XLOOKUP(1,(pivot!$A$2:$A$1946=Table3[[#This Row],[Müştəri adı]])*(pivot!$C$2:$C$1946=_xlfn.MAXIFS(pivot!$C$2:$C$1946,pivot!$A$2:$A$1946,Table3[[#This Row],[Müştəri adı]])),pivot!$B$2:$B$1946)</f>
        <v>MaritalStatus</v>
      </c>
      <c r="D515" s="22" cm="1">
        <f t="array" ref="D515">_xlfn.XLOOKUP(1,
  (pivot!$A$2:$A$1946=endirim!B515) * (pivot!$C$2:$C$1946 = _xlfn.MAXIFS(pivot!$C$2:$C$1946, pivot!$A$2:$A$1946, endirim!B515)),
  pivot!$D$2:$D$1946)</f>
        <v>29</v>
      </c>
      <c r="E515" s="3" t="str" cm="1">
        <f t="array" ref="E515">_xlfn.XLOOKUP(1,
    (pivot!$A$2:$A$1946=endirim!B515) * (pivot!$D$2:$D$1946 = _xlfn.MAXIFS(pivot!$D$2:$D$1946, pivot!$A$2:$A$1946, endirim!B515)),
    pivot!$B$2:$B$1946)</f>
        <v>MaritalStatus</v>
      </c>
      <c r="F515" s="22">
        <f>_xlfn.MAXIFS(pivot!$D$2:$D$1946, pivot!$A$2:$A$1946, endirim!B515)</f>
        <v>29</v>
      </c>
      <c r="G515" s="3" t="str">
        <f t="shared" si="7"/>
        <v>Təklif yoxdur</v>
      </c>
    </row>
    <row r="516" spans="2:7" x14ac:dyDescent="0.3">
      <c r="B516" t="s">
        <v>570</v>
      </c>
      <c r="C516" s="3" t="str" cm="1">
        <f t="array" ref="C516">_xlfn.XLOOKUP(1,(pivot!$A$2:$A$1946=Table3[[#This Row],[Müştəri adı]])*(pivot!$C$2:$C$1946=_xlfn.MAXIFS(pivot!$C$2:$C$1946,pivot!$A$2:$A$1946,Table3[[#This Row],[Müştəri adı]])),pivot!$B$2:$B$1946)</f>
        <v>HandsetWebCapable</v>
      </c>
      <c r="D516" s="22" cm="1">
        <f t="array" ref="D516">_xlfn.XLOOKUP(1,
  (pivot!$A$2:$A$1946=endirim!B516) * (pivot!$C$2:$C$1946 = _xlfn.MAXIFS(pivot!$C$2:$C$1946, pivot!$A$2:$A$1946, endirim!B516)),
  pivot!$D$2:$D$1946)</f>
        <v>62</v>
      </c>
      <c r="E516" s="3" t="str" cm="1">
        <f t="array" ref="E516">_xlfn.XLOOKUP(1,
    (pivot!$A$2:$A$1946=endirim!B516) * (pivot!$D$2:$D$1946 = _xlfn.MAXIFS(pivot!$D$2:$D$1946, pivot!$A$2:$A$1946, endirim!B516)),
    pivot!$B$2:$B$1946)</f>
        <v>HandsetWebCapable</v>
      </c>
      <c r="F516" s="22">
        <f>_xlfn.MAXIFS(pivot!$D$2:$D$1946, pivot!$A$2:$A$1946, endirim!B516)</f>
        <v>62</v>
      </c>
      <c r="G516" s="3" t="str">
        <f t="shared" ref="G516:G579" si="8">IF(D516=F516, "Təklif yoxdur", E516&amp;" Kompaniyasını 20% endirimlə təklif et")</f>
        <v>Təklif yoxdur</v>
      </c>
    </row>
    <row r="517" spans="2:7" x14ac:dyDescent="0.3">
      <c r="B517" t="s">
        <v>571</v>
      </c>
      <c r="C517" s="3" t="str" cm="1">
        <f t="array" ref="C517">_xlfn.XLOOKUP(1,(pivot!$A$2:$A$1946=Table3[[#This Row],[Müştəri adı]])*(pivot!$C$2:$C$1946=_xlfn.MAXIFS(pivot!$C$2:$C$1946,pivot!$A$2:$A$1946,Table3[[#This Row],[Müştəri adı]])),pivot!$B$2:$B$1946)</f>
        <v>HandsetRefurbished</v>
      </c>
      <c r="D517" s="22" cm="1">
        <f t="array" ref="D517">_xlfn.XLOOKUP(1,
  (pivot!$A$2:$A$1946=endirim!B517) * (pivot!$C$2:$C$1946 = _xlfn.MAXIFS(pivot!$C$2:$C$1946, pivot!$A$2:$A$1946, endirim!B517)),
  pivot!$D$2:$D$1946)</f>
        <v>26</v>
      </c>
      <c r="E517" s="3" t="str" cm="1">
        <f t="array" ref="E517">_xlfn.XLOOKUP(1,
    (pivot!$A$2:$A$1946=endirim!B517) * (pivot!$D$2:$D$1946 = _xlfn.MAXIFS(pivot!$D$2:$D$1946, pivot!$A$2:$A$1946, endirim!B517)),
    pivot!$B$2:$B$1946)</f>
        <v>TruckOwner</v>
      </c>
      <c r="F517" s="22">
        <f>_xlfn.MAXIFS(pivot!$D$2:$D$1946, pivot!$A$2:$A$1946, endirim!B517)</f>
        <v>26</v>
      </c>
      <c r="G517" s="3" t="str">
        <f t="shared" si="8"/>
        <v>Təklif yoxdur</v>
      </c>
    </row>
    <row r="518" spans="2:7" x14ac:dyDescent="0.3">
      <c r="B518" t="s">
        <v>572</v>
      </c>
      <c r="C518" s="3" t="str" cm="1">
        <f t="array" ref="C518">_xlfn.XLOOKUP(1,(pivot!$A$2:$A$1946=Table3[[#This Row],[Müştəri adı]])*(pivot!$C$2:$C$1946=_xlfn.MAXIFS(pivot!$C$2:$C$1946,pivot!$A$2:$A$1946,Table3[[#This Row],[Müştəri adı]])),pivot!$B$2:$B$1946)</f>
        <v>RespondsToMailOffers</v>
      </c>
      <c r="D518" s="22" cm="1">
        <f t="array" ref="D518">_xlfn.XLOOKUP(1,
  (pivot!$A$2:$A$1946=endirim!B518) * (pivot!$C$2:$C$1946 = _xlfn.MAXIFS(pivot!$C$2:$C$1946, pivot!$A$2:$A$1946, endirim!B518)),
  pivot!$D$2:$D$1946)</f>
        <v>27</v>
      </c>
      <c r="E518" s="3" t="str" cm="1">
        <f t="array" ref="E518">_xlfn.XLOOKUP(1,
    (pivot!$A$2:$A$1946=endirim!B518) * (pivot!$D$2:$D$1946 = _xlfn.MAXIFS(pivot!$D$2:$D$1946, pivot!$A$2:$A$1946, endirim!B518)),
    pivot!$B$2:$B$1946)</f>
        <v>RespondsToMailOffers</v>
      </c>
      <c r="F518" s="22">
        <f>_xlfn.MAXIFS(pivot!$D$2:$D$1946, pivot!$A$2:$A$1946, endirim!B518)</f>
        <v>27</v>
      </c>
      <c r="G518" s="3" t="str">
        <f t="shared" si="8"/>
        <v>Təklif yoxdur</v>
      </c>
    </row>
    <row r="519" spans="2:7" x14ac:dyDescent="0.3">
      <c r="B519" t="s">
        <v>573</v>
      </c>
      <c r="C519" s="3" t="str" cm="1">
        <f t="array" ref="C519">_xlfn.XLOOKUP(1,(pivot!$A$2:$A$1946=Table3[[#This Row],[Müştəri adı]])*(pivot!$C$2:$C$1946=_xlfn.MAXIFS(pivot!$C$2:$C$1946,pivot!$A$2:$A$1946,Table3[[#This Row],[Müştəri adı]])),pivot!$B$2:$B$1946)</f>
        <v>BuysViaMailOrder</v>
      </c>
      <c r="D519" s="22" cm="1">
        <f t="array" ref="D519">_xlfn.XLOOKUP(1,
  (pivot!$A$2:$A$1946=endirim!B519) * (pivot!$C$2:$C$1946 = _xlfn.MAXIFS(pivot!$C$2:$C$1946, pivot!$A$2:$A$1946, endirim!B519)),
  pivot!$D$2:$D$1946)</f>
        <v>25</v>
      </c>
      <c r="E519" s="3" t="str" cm="1">
        <f t="array" ref="E519">_xlfn.XLOOKUP(1,
    (pivot!$A$2:$A$1946=endirim!B519) * (pivot!$D$2:$D$1946 = _xlfn.MAXIFS(pivot!$D$2:$D$1946, pivot!$A$2:$A$1946, endirim!B519)),
    pivot!$B$2:$B$1946)</f>
        <v>NotNewCellphoneUser</v>
      </c>
      <c r="F519" s="22">
        <f>_xlfn.MAXIFS(pivot!$D$2:$D$1946, pivot!$A$2:$A$1946, endirim!B519)</f>
        <v>28</v>
      </c>
      <c r="G519" s="3" t="str">
        <f t="shared" si="8"/>
        <v>NotNewCellphoneUser Kompaniyasını 20% endirimlə təklif et</v>
      </c>
    </row>
    <row r="520" spans="2:7" x14ac:dyDescent="0.3">
      <c r="B520" t="s">
        <v>574</v>
      </c>
      <c r="C520" s="3" t="str" cm="1">
        <f t="array" ref="C520">_xlfn.XLOOKUP(1,(pivot!$A$2:$A$1946=Table3[[#This Row],[Müştəri adı]])*(pivot!$C$2:$C$1946=_xlfn.MAXIFS(pivot!$C$2:$C$1946,pivot!$A$2:$A$1946,Table3[[#This Row],[Müştəri adı]])),pivot!$B$2:$B$1946)</f>
        <v>OptOutMailings</v>
      </c>
      <c r="D520" s="22" cm="1">
        <f t="array" ref="D520">_xlfn.XLOOKUP(1,
  (pivot!$A$2:$A$1946=endirim!B520) * (pivot!$C$2:$C$1946 = _xlfn.MAXIFS(pivot!$C$2:$C$1946, pivot!$A$2:$A$1946, endirim!B520)),
  pivot!$D$2:$D$1946)</f>
        <v>75</v>
      </c>
      <c r="E520" s="3" t="str" cm="1">
        <f t="array" ref="E520">_xlfn.XLOOKUP(1,
    (pivot!$A$2:$A$1946=endirim!B520) * (pivot!$D$2:$D$1946 = _xlfn.MAXIFS(pivot!$D$2:$D$1946, pivot!$A$2:$A$1946, endirim!B520)),
    pivot!$B$2:$B$1946)</f>
        <v>OptOutMailings</v>
      </c>
      <c r="F520" s="22">
        <f>_xlfn.MAXIFS(pivot!$D$2:$D$1946, pivot!$A$2:$A$1946, endirim!B520)</f>
        <v>75</v>
      </c>
      <c r="G520" s="3" t="str">
        <f t="shared" si="8"/>
        <v>Təklif yoxdur</v>
      </c>
    </row>
    <row r="521" spans="2:7" x14ac:dyDescent="0.3">
      <c r="B521" t="s">
        <v>575</v>
      </c>
      <c r="C521" s="3" t="str" cm="1">
        <f t="array" ref="C521">_xlfn.XLOOKUP(1,(pivot!$A$2:$A$1946=Table3[[#This Row],[Müştəri adı]])*(pivot!$C$2:$C$1946=_xlfn.MAXIFS(pivot!$C$2:$C$1946,pivot!$A$2:$A$1946,Table3[[#This Row],[Müştəri adı]])),pivot!$B$2:$B$1946)</f>
        <v>NewCellphoneUser</v>
      </c>
      <c r="D521" s="22" cm="1">
        <f t="array" ref="D521">_xlfn.XLOOKUP(1,
  (pivot!$A$2:$A$1946=endirim!B521) * (pivot!$C$2:$C$1946 = _xlfn.MAXIFS(pivot!$C$2:$C$1946, pivot!$A$2:$A$1946, endirim!B521)),
  pivot!$D$2:$D$1946)</f>
        <v>25</v>
      </c>
      <c r="E521" s="3" t="str" cm="1">
        <f t="array" ref="E521">_xlfn.XLOOKUP(1,
    (pivot!$A$2:$A$1946=endirim!B521) * (pivot!$D$2:$D$1946 = _xlfn.MAXIFS(pivot!$D$2:$D$1946, pivot!$A$2:$A$1946, endirim!B521)),
    pivot!$B$2:$B$1946)</f>
        <v>HandsetRefurbished</v>
      </c>
      <c r="F521" s="22">
        <f>_xlfn.MAXIFS(pivot!$D$2:$D$1946, pivot!$A$2:$A$1946, endirim!B521)</f>
        <v>26</v>
      </c>
      <c r="G521" s="3" t="str">
        <f t="shared" si="8"/>
        <v>HandsetRefurbished Kompaniyasını 20% endirimlə təklif et</v>
      </c>
    </row>
    <row r="522" spans="2:7" x14ac:dyDescent="0.3">
      <c r="B522" t="s">
        <v>576</v>
      </c>
      <c r="C522" s="3" t="str" cm="1">
        <f t="array" ref="C522">_xlfn.XLOOKUP(1,(pivot!$A$2:$A$1946=Table3[[#This Row],[Müştəri adı]])*(pivot!$C$2:$C$1946=_xlfn.MAXIFS(pivot!$C$2:$C$1946,pivot!$A$2:$A$1946,Table3[[#This Row],[Müştəri adı]])),pivot!$B$2:$B$1946)</f>
        <v>OwnsMotorcycle</v>
      </c>
      <c r="D522" s="22" cm="1">
        <f t="array" ref="D522">_xlfn.XLOOKUP(1,
  (pivot!$A$2:$A$1946=endirim!B522) * (pivot!$C$2:$C$1946 = _xlfn.MAXIFS(pivot!$C$2:$C$1946, pivot!$A$2:$A$1946, endirim!B522)),
  pivot!$D$2:$D$1946)</f>
        <v>14</v>
      </c>
      <c r="E522" s="3" t="str" cm="1">
        <f t="array" ref="E522">_xlfn.XLOOKUP(1,
    (pivot!$A$2:$A$1946=endirim!B522) * (pivot!$D$2:$D$1946 = _xlfn.MAXIFS(pivot!$D$2:$D$1946, pivot!$A$2:$A$1946, endirim!B522)),
    pivot!$B$2:$B$1946)</f>
        <v>OwnsMotorcycle</v>
      </c>
      <c r="F522" s="22">
        <f>_xlfn.MAXIFS(pivot!$D$2:$D$1946, pivot!$A$2:$A$1946, endirim!B522)</f>
        <v>14</v>
      </c>
      <c r="G522" s="3" t="str">
        <f t="shared" si="8"/>
        <v>Təklif yoxdur</v>
      </c>
    </row>
    <row r="523" spans="2:7" x14ac:dyDescent="0.3">
      <c r="B523" t="s">
        <v>577</v>
      </c>
      <c r="C523" s="3" t="str" cm="1">
        <f t="array" ref="C523">_xlfn.XLOOKUP(1,(pivot!$A$2:$A$1946=Table3[[#This Row],[Müştəri adı]])*(pivot!$C$2:$C$1946=_xlfn.MAXIFS(pivot!$C$2:$C$1946,pivot!$A$2:$A$1946,Table3[[#This Row],[Müştəri adı]])),pivot!$B$2:$B$1946)</f>
        <v>ChildrenInHH</v>
      </c>
      <c r="D523" s="22" cm="1">
        <f t="array" ref="D523">_xlfn.XLOOKUP(1,
  (pivot!$A$2:$A$1946=endirim!B523) * (pivot!$C$2:$C$1946 = _xlfn.MAXIFS(pivot!$C$2:$C$1946, pivot!$A$2:$A$1946, endirim!B523)),
  pivot!$D$2:$D$1946)</f>
        <v>10</v>
      </c>
      <c r="E523" s="3" t="str" cm="1">
        <f t="array" ref="E523">_xlfn.XLOOKUP(1,
    (pivot!$A$2:$A$1946=endirim!B523) * (pivot!$D$2:$D$1946 = _xlfn.MAXIFS(pivot!$D$2:$D$1946, pivot!$A$2:$A$1946, endirim!B523)),
    pivot!$B$2:$B$1946)</f>
        <v>NonUSTravel</v>
      </c>
      <c r="F523" s="22">
        <f>_xlfn.MAXIFS(pivot!$D$2:$D$1946, pivot!$A$2:$A$1946, endirim!B523)</f>
        <v>66</v>
      </c>
      <c r="G523" s="3" t="str">
        <f t="shared" si="8"/>
        <v>NonUSTravel Kompaniyasını 20% endirimlə təklif et</v>
      </c>
    </row>
    <row r="524" spans="2:7" x14ac:dyDescent="0.3">
      <c r="B524" t="s">
        <v>578</v>
      </c>
      <c r="C524" s="3" t="str" cm="1">
        <f t="array" ref="C524">_xlfn.XLOOKUP(1,(pivot!$A$2:$A$1946=Table3[[#This Row],[Müştəri adı]])*(pivot!$C$2:$C$1946=_xlfn.MAXIFS(pivot!$C$2:$C$1946,pivot!$A$2:$A$1946,Table3[[#This Row],[Müştəri adı]])),pivot!$B$2:$B$1946)</f>
        <v>MadeCallToRetentionTeam</v>
      </c>
      <c r="D524" s="22" cm="1">
        <f t="array" ref="D524">_xlfn.XLOOKUP(1,
  (pivot!$A$2:$A$1946=endirim!B524) * (pivot!$C$2:$C$1946 = _xlfn.MAXIFS(pivot!$C$2:$C$1946, pivot!$A$2:$A$1946, endirim!B524)),
  pivot!$D$2:$D$1946)</f>
        <v>16</v>
      </c>
      <c r="E524" s="3" t="str" cm="1">
        <f t="array" ref="E524">_xlfn.XLOOKUP(1,
    (pivot!$A$2:$A$1946=endirim!B524) * (pivot!$D$2:$D$1946 = _xlfn.MAXIFS(pivot!$D$2:$D$1946, pivot!$A$2:$A$1946, endirim!B524)),
    pivot!$B$2:$B$1946)</f>
        <v>HandsetRefurbished</v>
      </c>
      <c r="F524" s="22">
        <f>_xlfn.MAXIFS(pivot!$D$2:$D$1946, pivot!$A$2:$A$1946, endirim!B524)</f>
        <v>26</v>
      </c>
      <c r="G524" s="3" t="str">
        <f t="shared" si="8"/>
        <v>HandsetRefurbished Kompaniyasını 20% endirimlə təklif et</v>
      </c>
    </row>
    <row r="525" spans="2:7" x14ac:dyDescent="0.3">
      <c r="B525" t="s">
        <v>579</v>
      </c>
      <c r="C525" s="3" t="str" cm="1">
        <f t="array" ref="C525">_xlfn.XLOOKUP(1,(pivot!$A$2:$A$1946=Table3[[#This Row],[Müştəri adı]])*(pivot!$C$2:$C$1946=_xlfn.MAXIFS(pivot!$C$2:$C$1946,pivot!$A$2:$A$1946,Table3[[#This Row],[Müştəri adı]])),pivot!$B$2:$B$1946)</f>
        <v>RVOwner</v>
      </c>
      <c r="D525" s="22" cm="1">
        <f t="array" ref="D525">_xlfn.XLOOKUP(1,
  (pivot!$A$2:$A$1946=endirim!B525) * (pivot!$C$2:$C$1946 = _xlfn.MAXIFS(pivot!$C$2:$C$1946, pivot!$A$2:$A$1946, endirim!B525)),
  pivot!$D$2:$D$1946)</f>
        <v>22</v>
      </c>
      <c r="E525" s="3" t="str" cm="1">
        <f t="array" ref="E525">_xlfn.XLOOKUP(1,
    (pivot!$A$2:$A$1946=endirim!B525) * (pivot!$D$2:$D$1946 = _xlfn.MAXIFS(pivot!$D$2:$D$1946, pivot!$A$2:$A$1946, endirim!B525)),
    pivot!$B$2:$B$1946)</f>
        <v>HandsetWebCapable</v>
      </c>
      <c r="F525" s="22">
        <f>_xlfn.MAXIFS(pivot!$D$2:$D$1946, pivot!$A$2:$A$1946, endirim!B525)</f>
        <v>62</v>
      </c>
      <c r="G525" s="3" t="str">
        <f t="shared" si="8"/>
        <v>HandsetWebCapable Kompaniyasını 20% endirimlə təklif et</v>
      </c>
    </row>
    <row r="526" spans="2:7" x14ac:dyDescent="0.3">
      <c r="B526" t="s">
        <v>580</v>
      </c>
      <c r="C526" s="3" t="str" cm="1">
        <f t="array" ref="C526">_xlfn.XLOOKUP(1,(pivot!$A$2:$A$1946=Table3[[#This Row],[Müştəri adı]])*(pivot!$C$2:$C$1946=_xlfn.MAXIFS(pivot!$C$2:$C$1946,pivot!$A$2:$A$1946,Table3[[#This Row],[Müştəri adı]])),pivot!$B$2:$B$1946)</f>
        <v>Homeownership</v>
      </c>
      <c r="D526" s="22" cm="1">
        <f t="array" ref="D526">_xlfn.XLOOKUP(1,
  (pivot!$A$2:$A$1946=endirim!B526) * (pivot!$C$2:$C$1946 = _xlfn.MAXIFS(pivot!$C$2:$C$1946, pivot!$A$2:$A$1946, endirim!B526)),
  pivot!$D$2:$D$1946)</f>
        <v>13</v>
      </c>
      <c r="E526" s="3" t="str" cm="1">
        <f t="array" ref="E526">_xlfn.XLOOKUP(1,
    (pivot!$A$2:$A$1946=endirim!B526) * (pivot!$D$2:$D$1946 = _xlfn.MAXIFS(pivot!$D$2:$D$1946, pivot!$A$2:$A$1946, endirim!B526)),
    pivot!$B$2:$B$1946)</f>
        <v>HandsetRefurbished</v>
      </c>
      <c r="F526" s="22">
        <f>_xlfn.MAXIFS(pivot!$D$2:$D$1946, pivot!$A$2:$A$1946, endirim!B526)</f>
        <v>26</v>
      </c>
      <c r="G526" s="3" t="str">
        <f t="shared" si="8"/>
        <v>HandsetRefurbished Kompaniyasını 20% endirimlə təklif et</v>
      </c>
    </row>
    <row r="527" spans="2:7" x14ac:dyDescent="0.3">
      <c r="B527" t="s">
        <v>581</v>
      </c>
      <c r="C527" s="3" t="str" cm="1">
        <f t="array" ref="C527">_xlfn.XLOOKUP(1,(pivot!$A$2:$A$1946=Table3[[#This Row],[Müştəri adı]])*(pivot!$C$2:$C$1946=_xlfn.MAXIFS(pivot!$C$2:$C$1946,pivot!$A$2:$A$1946,Table3[[#This Row],[Müştəri adı]])),pivot!$B$2:$B$1946)</f>
        <v>OwnsMotorcycle</v>
      </c>
      <c r="D527" s="22" cm="1">
        <f t="array" ref="D527">_xlfn.XLOOKUP(1,
  (pivot!$A$2:$A$1946=endirim!B527) * (pivot!$C$2:$C$1946 = _xlfn.MAXIFS(pivot!$C$2:$C$1946, pivot!$A$2:$A$1946, endirim!B527)),
  pivot!$D$2:$D$1946)</f>
        <v>14</v>
      </c>
      <c r="E527" s="3" t="str" cm="1">
        <f t="array" ref="E527">_xlfn.XLOOKUP(1,
    (pivot!$A$2:$A$1946=endirim!B527) * (pivot!$D$2:$D$1946 = _xlfn.MAXIFS(pivot!$D$2:$D$1946, pivot!$A$2:$A$1946, endirim!B527)),
    pivot!$B$2:$B$1946)</f>
        <v>OwnsMotorcycle</v>
      </c>
      <c r="F527" s="22">
        <f>_xlfn.MAXIFS(pivot!$D$2:$D$1946, pivot!$A$2:$A$1946, endirim!B527)</f>
        <v>14</v>
      </c>
      <c r="G527" s="3" t="str">
        <f t="shared" si="8"/>
        <v>Təklif yoxdur</v>
      </c>
    </row>
    <row r="528" spans="2:7" x14ac:dyDescent="0.3">
      <c r="B528" t="s">
        <v>582</v>
      </c>
      <c r="C528" s="3" t="str" cm="1">
        <f t="array" ref="C528">_xlfn.XLOOKUP(1,(pivot!$A$2:$A$1946=Table3[[#This Row],[Müştəri adı]])*(pivot!$C$2:$C$1946=_xlfn.MAXIFS(pivot!$C$2:$C$1946,pivot!$A$2:$A$1946,Table3[[#This Row],[Müştəri adı]])),pivot!$B$2:$B$1946)</f>
        <v>NonUSTravel</v>
      </c>
      <c r="D528" s="22" cm="1">
        <f t="array" ref="D528">_xlfn.XLOOKUP(1,
  (pivot!$A$2:$A$1946=endirim!B528) * (pivot!$C$2:$C$1946 = _xlfn.MAXIFS(pivot!$C$2:$C$1946, pivot!$A$2:$A$1946, endirim!B528)),
  pivot!$D$2:$D$1946)</f>
        <v>66</v>
      </c>
      <c r="E528" s="3" t="str" cm="1">
        <f t="array" ref="E528">_xlfn.XLOOKUP(1,
    (pivot!$A$2:$A$1946=endirim!B528) * (pivot!$D$2:$D$1946 = _xlfn.MAXIFS(pivot!$D$2:$D$1946, pivot!$A$2:$A$1946, endirim!B528)),
    pivot!$B$2:$B$1946)</f>
        <v>NonUSTravel</v>
      </c>
      <c r="F528" s="22">
        <f>_xlfn.MAXIFS(pivot!$D$2:$D$1946, pivot!$A$2:$A$1946, endirim!B528)</f>
        <v>66</v>
      </c>
      <c r="G528" s="3" t="str">
        <f t="shared" si="8"/>
        <v>Təklif yoxdur</v>
      </c>
    </row>
    <row r="529" spans="2:7" x14ac:dyDescent="0.3">
      <c r="B529" t="s">
        <v>583</v>
      </c>
      <c r="C529" s="3" t="str" cm="1">
        <f t="array" ref="C529">_xlfn.XLOOKUP(1,(pivot!$A$2:$A$1946=Table3[[#This Row],[Müştəri adı]])*(pivot!$C$2:$C$1946=_xlfn.MAXIFS(pivot!$C$2:$C$1946,pivot!$A$2:$A$1946,Table3[[#This Row],[Müştəri adı]])),pivot!$B$2:$B$1946)</f>
        <v>MaritalStatus</v>
      </c>
      <c r="D529" s="22" cm="1">
        <f t="array" ref="D529">_xlfn.XLOOKUP(1,
  (pivot!$A$2:$A$1946=endirim!B529) * (pivot!$C$2:$C$1946 = _xlfn.MAXIFS(pivot!$C$2:$C$1946, pivot!$A$2:$A$1946, endirim!B529)),
  pivot!$D$2:$D$1946)</f>
        <v>29</v>
      </c>
      <c r="E529" s="3" t="str" cm="1">
        <f t="array" ref="E529">_xlfn.XLOOKUP(1,
    (pivot!$A$2:$A$1946=endirim!B529) * (pivot!$D$2:$D$1946 = _xlfn.MAXIFS(pivot!$D$2:$D$1946, pivot!$A$2:$A$1946, endirim!B529)),
    pivot!$B$2:$B$1946)</f>
        <v>OwnsComputer</v>
      </c>
      <c r="F529" s="22">
        <f>_xlfn.MAXIFS(pivot!$D$2:$D$1946, pivot!$A$2:$A$1946, endirim!B529)</f>
        <v>62</v>
      </c>
      <c r="G529" s="3" t="str">
        <f t="shared" si="8"/>
        <v>OwnsComputer Kompaniyasını 20% endirimlə təklif et</v>
      </c>
    </row>
    <row r="530" spans="2:7" x14ac:dyDescent="0.3">
      <c r="B530" t="s">
        <v>584</v>
      </c>
      <c r="C530" s="3" t="str" cm="1">
        <f t="array" ref="C530">_xlfn.XLOOKUP(1,(pivot!$A$2:$A$1946=Table3[[#This Row],[Müştəri adı]])*(pivot!$C$2:$C$1946=_xlfn.MAXIFS(pivot!$C$2:$C$1946,pivot!$A$2:$A$1946,Table3[[#This Row],[Müştəri adı]])),pivot!$B$2:$B$1946)</f>
        <v>ChildrenInHH</v>
      </c>
      <c r="D530" s="22" cm="1">
        <f t="array" ref="D530">_xlfn.XLOOKUP(1,
  (pivot!$A$2:$A$1946=endirim!B530) * (pivot!$C$2:$C$1946 = _xlfn.MAXIFS(pivot!$C$2:$C$1946, pivot!$A$2:$A$1946, endirim!B530)),
  pivot!$D$2:$D$1946)</f>
        <v>10</v>
      </c>
      <c r="E530" s="3" t="str" cm="1">
        <f t="array" ref="E530">_xlfn.XLOOKUP(1,
    (pivot!$A$2:$A$1946=endirim!B530) * (pivot!$D$2:$D$1946 = _xlfn.MAXIFS(pivot!$D$2:$D$1946, pivot!$A$2:$A$1946, endirim!B530)),
    pivot!$B$2:$B$1946)</f>
        <v>OwnsComputer</v>
      </c>
      <c r="F530" s="22">
        <f>_xlfn.MAXIFS(pivot!$D$2:$D$1946, pivot!$A$2:$A$1946, endirim!B530)</f>
        <v>62</v>
      </c>
      <c r="G530" s="3" t="str">
        <f t="shared" si="8"/>
        <v>OwnsComputer Kompaniyasını 20% endirimlə təklif et</v>
      </c>
    </row>
    <row r="531" spans="2:7" x14ac:dyDescent="0.3">
      <c r="B531" t="s">
        <v>585</v>
      </c>
      <c r="C531" s="3" t="str" cm="1">
        <f t="array" ref="C531">_xlfn.XLOOKUP(1,(pivot!$A$2:$A$1946=Table3[[#This Row],[Müştəri adı]])*(pivot!$C$2:$C$1946=_xlfn.MAXIFS(pivot!$C$2:$C$1946,pivot!$A$2:$A$1946,Table3[[#This Row],[Müştəri adı]])),pivot!$B$2:$B$1946)</f>
        <v>RespondsToMailOffers</v>
      </c>
      <c r="D531" s="22" cm="1">
        <f t="array" ref="D531">_xlfn.XLOOKUP(1,
  (pivot!$A$2:$A$1946=endirim!B531) * (pivot!$C$2:$C$1946 = _xlfn.MAXIFS(pivot!$C$2:$C$1946, pivot!$A$2:$A$1946, endirim!B531)),
  pivot!$D$2:$D$1946)</f>
        <v>27</v>
      </c>
      <c r="E531" s="3" t="str" cm="1">
        <f t="array" ref="E531">_xlfn.XLOOKUP(1,
    (pivot!$A$2:$A$1946=endirim!B531) * (pivot!$D$2:$D$1946 = _xlfn.MAXIFS(pivot!$D$2:$D$1946, pivot!$A$2:$A$1946, endirim!B531)),
    pivot!$B$2:$B$1946)</f>
        <v>HandsetWebCapable</v>
      </c>
      <c r="F531" s="22">
        <f>_xlfn.MAXIFS(pivot!$D$2:$D$1946, pivot!$A$2:$A$1946, endirim!B531)</f>
        <v>62</v>
      </c>
      <c r="G531" s="3" t="str">
        <f t="shared" si="8"/>
        <v>HandsetWebCapable Kompaniyasını 20% endirimlə təklif et</v>
      </c>
    </row>
    <row r="532" spans="2:7" x14ac:dyDescent="0.3">
      <c r="B532" t="s">
        <v>586</v>
      </c>
      <c r="C532" s="3" t="str" cm="1">
        <f t="array" ref="C532">_xlfn.XLOOKUP(1,(pivot!$A$2:$A$1946=Table3[[#This Row],[Müştəri adı]])*(pivot!$C$2:$C$1946=_xlfn.MAXIFS(pivot!$C$2:$C$1946,pivot!$A$2:$A$1946,Table3[[#This Row],[Müştəri adı]])),pivot!$B$2:$B$1946)</f>
        <v>OwnsMotorcycle</v>
      </c>
      <c r="D532" s="22" cm="1">
        <f t="array" ref="D532">_xlfn.XLOOKUP(1,
  (pivot!$A$2:$A$1946=endirim!B532) * (pivot!$C$2:$C$1946 = _xlfn.MAXIFS(pivot!$C$2:$C$1946, pivot!$A$2:$A$1946, endirim!B532)),
  pivot!$D$2:$D$1946)</f>
        <v>14</v>
      </c>
      <c r="E532" s="3" t="str" cm="1">
        <f t="array" ref="E532">_xlfn.XLOOKUP(1,
    (pivot!$A$2:$A$1946=endirim!B532) * (pivot!$D$2:$D$1946 = _xlfn.MAXIFS(pivot!$D$2:$D$1946, pivot!$A$2:$A$1946, endirim!B532)),
    pivot!$B$2:$B$1946)</f>
        <v>MadeCallToRetentionTeam</v>
      </c>
      <c r="F532" s="22">
        <f>_xlfn.MAXIFS(pivot!$D$2:$D$1946, pivot!$A$2:$A$1946, endirim!B532)</f>
        <v>16</v>
      </c>
      <c r="G532" s="3" t="str">
        <f t="shared" si="8"/>
        <v>MadeCallToRetentionTeam Kompaniyasını 20% endirimlə təklif et</v>
      </c>
    </row>
    <row r="533" spans="2:7" x14ac:dyDescent="0.3">
      <c r="B533" t="s">
        <v>587</v>
      </c>
      <c r="C533" s="3" t="str" cm="1">
        <f t="array" ref="C533">_xlfn.XLOOKUP(1,(pivot!$A$2:$A$1946=Table3[[#This Row],[Müştəri adı]])*(pivot!$C$2:$C$1946=_xlfn.MAXIFS(pivot!$C$2:$C$1946,pivot!$A$2:$A$1946,Table3[[#This Row],[Müştəri adı]])),pivot!$B$2:$B$1946)</f>
        <v>NewCellphoneUser</v>
      </c>
      <c r="D533" s="22" cm="1">
        <f t="array" ref="D533">_xlfn.XLOOKUP(1,
  (pivot!$A$2:$A$1946=endirim!B533) * (pivot!$C$2:$C$1946 = _xlfn.MAXIFS(pivot!$C$2:$C$1946, pivot!$A$2:$A$1946, endirim!B533)),
  pivot!$D$2:$D$1946)</f>
        <v>25</v>
      </c>
      <c r="E533" s="3" t="str" cm="1">
        <f t="array" ref="E533">_xlfn.XLOOKUP(1,
    (pivot!$A$2:$A$1946=endirim!B533) * (pivot!$D$2:$D$1946 = _xlfn.MAXIFS(pivot!$D$2:$D$1946, pivot!$A$2:$A$1946, endirim!B533)),
    pivot!$B$2:$B$1946)</f>
        <v>OptOutMailings</v>
      </c>
      <c r="F533" s="22">
        <f>_xlfn.MAXIFS(pivot!$D$2:$D$1946, pivot!$A$2:$A$1946, endirim!B533)</f>
        <v>75</v>
      </c>
      <c r="G533" s="3" t="str">
        <f t="shared" si="8"/>
        <v>OptOutMailings Kompaniyasını 20% endirimlə təklif et</v>
      </c>
    </row>
    <row r="534" spans="2:7" x14ac:dyDescent="0.3">
      <c r="B534" t="s">
        <v>588</v>
      </c>
      <c r="C534" s="3" t="str" cm="1">
        <f t="array" ref="C534">_xlfn.XLOOKUP(1,(pivot!$A$2:$A$1946=Table3[[#This Row],[Müştəri adı]])*(pivot!$C$2:$C$1946=_xlfn.MAXIFS(pivot!$C$2:$C$1946,pivot!$A$2:$A$1946,Table3[[#This Row],[Müştəri adı]])),pivot!$B$2:$B$1946)</f>
        <v>OptOutMailings</v>
      </c>
      <c r="D534" s="22" cm="1">
        <f t="array" ref="D534">_xlfn.XLOOKUP(1,
  (pivot!$A$2:$A$1946=endirim!B534) * (pivot!$C$2:$C$1946 = _xlfn.MAXIFS(pivot!$C$2:$C$1946, pivot!$A$2:$A$1946, endirim!B534)),
  pivot!$D$2:$D$1946)</f>
        <v>75</v>
      </c>
      <c r="E534" s="3" t="str" cm="1">
        <f t="array" ref="E534">_xlfn.XLOOKUP(1,
    (pivot!$A$2:$A$1946=endirim!B534) * (pivot!$D$2:$D$1946 = _xlfn.MAXIFS(pivot!$D$2:$D$1946, pivot!$A$2:$A$1946, endirim!B534)),
    pivot!$B$2:$B$1946)</f>
        <v>OptOutMailings</v>
      </c>
      <c r="F534" s="22">
        <f>_xlfn.MAXIFS(pivot!$D$2:$D$1946, pivot!$A$2:$A$1946, endirim!B534)</f>
        <v>75</v>
      </c>
      <c r="G534" s="3" t="str">
        <f t="shared" si="8"/>
        <v>Təklif yoxdur</v>
      </c>
    </row>
    <row r="535" spans="2:7" x14ac:dyDescent="0.3">
      <c r="B535" t="s">
        <v>589</v>
      </c>
      <c r="C535" s="3" t="str" cm="1">
        <f t="array" ref="C535">_xlfn.XLOOKUP(1,(pivot!$A$2:$A$1946=Table3[[#This Row],[Müştəri adı]])*(pivot!$C$2:$C$1946=_xlfn.MAXIFS(pivot!$C$2:$C$1946,pivot!$A$2:$A$1946,Table3[[#This Row],[Müştəri adı]])),pivot!$B$2:$B$1946)</f>
        <v>HasCreditCard</v>
      </c>
      <c r="D535" s="22" cm="1">
        <f t="array" ref="D535">_xlfn.XLOOKUP(1,
  (pivot!$A$2:$A$1946=endirim!B535) * (pivot!$C$2:$C$1946 = _xlfn.MAXIFS(pivot!$C$2:$C$1946, pivot!$A$2:$A$1946, endirim!B535)),
  pivot!$D$2:$D$1946)</f>
        <v>65</v>
      </c>
      <c r="E535" s="3" t="str" cm="1">
        <f t="array" ref="E535">_xlfn.XLOOKUP(1,
    (pivot!$A$2:$A$1946=endirim!B535) * (pivot!$D$2:$D$1946 = _xlfn.MAXIFS(pivot!$D$2:$D$1946, pivot!$A$2:$A$1946, endirim!B535)),
    pivot!$B$2:$B$1946)</f>
        <v>HasCreditCard</v>
      </c>
      <c r="F535" s="22">
        <f>_xlfn.MAXIFS(pivot!$D$2:$D$1946, pivot!$A$2:$A$1946, endirim!B535)</f>
        <v>65</v>
      </c>
      <c r="G535" s="3" t="str">
        <f t="shared" si="8"/>
        <v>Təklif yoxdur</v>
      </c>
    </row>
    <row r="536" spans="2:7" x14ac:dyDescent="0.3">
      <c r="B536" t="s">
        <v>590</v>
      </c>
      <c r="C536" s="3" t="str" cm="1">
        <f t="array" ref="C536">_xlfn.XLOOKUP(1,(pivot!$A$2:$A$1946=Table3[[#This Row],[Müştəri adı]])*(pivot!$C$2:$C$1946=_xlfn.MAXIFS(pivot!$C$2:$C$1946,pivot!$A$2:$A$1946,Table3[[#This Row],[Müştəri adı]])),pivot!$B$2:$B$1946)</f>
        <v>RespondsToMailOffers</v>
      </c>
      <c r="D536" s="22" cm="1">
        <f t="array" ref="D536">_xlfn.XLOOKUP(1,
  (pivot!$A$2:$A$1946=endirim!B536) * (pivot!$C$2:$C$1946 = _xlfn.MAXIFS(pivot!$C$2:$C$1946, pivot!$A$2:$A$1946, endirim!B536)),
  pivot!$D$2:$D$1946)</f>
        <v>27</v>
      </c>
      <c r="E536" s="3" t="str" cm="1">
        <f t="array" ref="E536">_xlfn.XLOOKUP(1,
    (pivot!$A$2:$A$1946=endirim!B536) * (pivot!$D$2:$D$1946 = _xlfn.MAXIFS(pivot!$D$2:$D$1946, pivot!$A$2:$A$1946, endirim!B536)),
    pivot!$B$2:$B$1946)</f>
        <v>OwnsComputer</v>
      </c>
      <c r="F536" s="22">
        <f>_xlfn.MAXIFS(pivot!$D$2:$D$1946, pivot!$A$2:$A$1946, endirim!B536)</f>
        <v>62</v>
      </c>
      <c r="G536" s="3" t="str">
        <f t="shared" si="8"/>
        <v>OwnsComputer Kompaniyasını 20% endirimlə təklif et</v>
      </c>
    </row>
    <row r="537" spans="2:7" x14ac:dyDescent="0.3">
      <c r="B537" t="s">
        <v>591</v>
      </c>
      <c r="C537" s="3" t="str" cm="1">
        <f t="array" ref="C537">_xlfn.XLOOKUP(1,(pivot!$A$2:$A$1946=Table3[[#This Row],[Müştəri adı]])*(pivot!$C$2:$C$1946=_xlfn.MAXIFS(pivot!$C$2:$C$1946,pivot!$A$2:$A$1946,Table3[[#This Row],[Müştəri adı]])),pivot!$B$2:$B$1946)</f>
        <v>OptOutMailings</v>
      </c>
      <c r="D537" s="22" cm="1">
        <f t="array" ref="D537">_xlfn.XLOOKUP(1,
  (pivot!$A$2:$A$1946=endirim!B537) * (pivot!$C$2:$C$1946 = _xlfn.MAXIFS(pivot!$C$2:$C$1946, pivot!$A$2:$A$1946, endirim!B537)),
  pivot!$D$2:$D$1946)</f>
        <v>75</v>
      </c>
      <c r="E537" s="3" t="str" cm="1">
        <f t="array" ref="E537">_xlfn.XLOOKUP(1,
    (pivot!$A$2:$A$1946=endirim!B537) * (pivot!$D$2:$D$1946 = _xlfn.MAXIFS(pivot!$D$2:$D$1946, pivot!$A$2:$A$1946, endirim!B537)),
    pivot!$B$2:$B$1946)</f>
        <v>OptOutMailings</v>
      </c>
      <c r="F537" s="22">
        <f>_xlfn.MAXIFS(pivot!$D$2:$D$1946, pivot!$A$2:$A$1946, endirim!B537)</f>
        <v>75</v>
      </c>
      <c r="G537" s="3" t="str">
        <f t="shared" si="8"/>
        <v>Təklif yoxdur</v>
      </c>
    </row>
    <row r="538" spans="2:7" x14ac:dyDescent="0.3">
      <c r="B538" t="s">
        <v>592</v>
      </c>
      <c r="C538" s="3" t="str" cm="1">
        <f t="array" ref="C538">_xlfn.XLOOKUP(1,(pivot!$A$2:$A$1946=Table3[[#This Row],[Müştəri adı]])*(pivot!$C$2:$C$1946=_xlfn.MAXIFS(pivot!$C$2:$C$1946,pivot!$A$2:$A$1946,Table3[[#This Row],[Müştəri adı]])),pivot!$B$2:$B$1946)</f>
        <v>HasCreditCard</v>
      </c>
      <c r="D538" s="22" cm="1">
        <f t="array" ref="D538">_xlfn.XLOOKUP(1,
  (pivot!$A$2:$A$1946=endirim!B538) * (pivot!$C$2:$C$1946 = _xlfn.MAXIFS(pivot!$C$2:$C$1946, pivot!$A$2:$A$1946, endirim!B538)),
  pivot!$D$2:$D$1946)</f>
        <v>65</v>
      </c>
      <c r="E538" s="3" t="str" cm="1">
        <f t="array" ref="E538">_xlfn.XLOOKUP(1,
    (pivot!$A$2:$A$1946=endirim!B538) * (pivot!$D$2:$D$1946 = _xlfn.MAXIFS(pivot!$D$2:$D$1946, pivot!$A$2:$A$1946, endirim!B538)),
    pivot!$B$2:$B$1946)</f>
        <v>HasCreditCard</v>
      </c>
      <c r="F538" s="22">
        <f>_xlfn.MAXIFS(pivot!$D$2:$D$1946, pivot!$A$2:$A$1946, endirim!B538)</f>
        <v>65</v>
      </c>
      <c r="G538" s="3" t="str">
        <f t="shared" si="8"/>
        <v>Təklif yoxdur</v>
      </c>
    </row>
    <row r="539" spans="2:7" x14ac:dyDescent="0.3">
      <c r="B539" t="s">
        <v>593</v>
      </c>
      <c r="C539" s="3" t="str" cm="1">
        <f t="array" ref="C539">_xlfn.XLOOKUP(1,(pivot!$A$2:$A$1946=Table3[[#This Row],[Müştəri adı]])*(pivot!$C$2:$C$1946=_xlfn.MAXIFS(pivot!$C$2:$C$1946,pivot!$A$2:$A$1946,Table3[[#This Row],[Müştəri adı]])),pivot!$B$2:$B$1946)</f>
        <v>OwnsMotorcycle</v>
      </c>
      <c r="D539" s="22" cm="1">
        <f t="array" ref="D539">_xlfn.XLOOKUP(1,
  (pivot!$A$2:$A$1946=endirim!B539) * (pivot!$C$2:$C$1946 = _xlfn.MAXIFS(pivot!$C$2:$C$1946, pivot!$A$2:$A$1946, endirim!B539)),
  pivot!$D$2:$D$1946)</f>
        <v>14</v>
      </c>
      <c r="E539" s="3" t="str" cm="1">
        <f t="array" ref="E539">_xlfn.XLOOKUP(1,
    (pivot!$A$2:$A$1946=endirim!B539) * (pivot!$D$2:$D$1946 = _xlfn.MAXIFS(pivot!$D$2:$D$1946, pivot!$A$2:$A$1946, endirim!B539)),
    pivot!$B$2:$B$1946)</f>
        <v>NonUSTravel</v>
      </c>
      <c r="F539" s="22">
        <f>_xlfn.MAXIFS(pivot!$D$2:$D$1946, pivot!$A$2:$A$1946, endirim!B539)</f>
        <v>66</v>
      </c>
      <c r="G539" s="3" t="str">
        <f t="shared" si="8"/>
        <v>NonUSTravel Kompaniyasını 20% endirimlə təklif et</v>
      </c>
    </row>
    <row r="540" spans="2:7" x14ac:dyDescent="0.3">
      <c r="B540" t="s">
        <v>594</v>
      </c>
      <c r="C540" s="3" t="str" cm="1">
        <f t="array" ref="C540">_xlfn.XLOOKUP(1,(pivot!$A$2:$A$1946=Table3[[#This Row],[Müştəri adı]])*(pivot!$C$2:$C$1946=_xlfn.MAXIFS(pivot!$C$2:$C$1946,pivot!$A$2:$A$1946,Table3[[#This Row],[Müştəri adı]])),pivot!$B$2:$B$1946)</f>
        <v>RespondsToMailOffers</v>
      </c>
      <c r="D540" s="22" cm="1">
        <f t="array" ref="D540">_xlfn.XLOOKUP(1,
  (pivot!$A$2:$A$1946=endirim!B540) * (pivot!$C$2:$C$1946 = _xlfn.MAXIFS(pivot!$C$2:$C$1946, pivot!$A$2:$A$1946, endirim!B540)),
  pivot!$D$2:$D$1946)</f>
        <v>27</v>
      </c>
      <c r="E540" s="3" t="str" cm="1">
        <f t="array" ref="E540">_xlfn.XLOOKUP(1,
    (pivot!$A$2:$A$1946=endirim!B540) * (pivot!$D$2:$D$1946 = _xlfn.MAXIFS(pivot!$D$2:$D$1946, pivot!$A$2:$A$1946, endirim!B540)),
    pivot!$B$2:$B$1946)</f>
        <v>RespondsToMailOffers</v>
      </c>
      <c r="F540" s="22">
        <f>_xlfn.MAXIFS(pivot!$D$2:$D$1946, pivot!$A$2:$A$1946, endirim!B540)</f>
        <v>27</v>
      </c>
      <c r="G540" s="3" t="str">
        <f t="shared" si="8"/>
        <v>Təklif yoxdur</v>
      </c>
    </row>
    <row r="541" spans="2:7" x14ac:dyDescent="0.3">
      <c r="B541" t="s">
        <v>595</v>
      </c>
      <c r="C541" s="3" t="str" cm="1">
        <f t="array" ref="C541">_xlfn.XLOOKUP(1,(pivot!$A$2:$A$1946=Table3[[#This Row],[Müştəri adı]])*(pivot!$C$2:$C$1946=_xlfn.MAXIFS(pivot!$C$2:$C$1946,pivot!$A$2:$A$1946,Table3[[#This Row],[Müştəri adı]])),pivot!$B$2:$B$1946)</f>
        <v>OwnsComputer</v>
      </c>
      <c r="D541" s="22" cm="1">
        <f t="array" ref="D541">_xlfn.XLOOKUP(1,
  (pivot!$A$2:$A$1946=endirim!B541) * (pivot!$C$2:$C$1946 = _xlfn.MAXIFS(pivot!$C$2:$C$1946, pivot!$A$2:$A$1946, endirim!B541)),
  pivot!$D$2:$D$1946)</f>
        <v>62</v>
      </c>
      <c r="E541" s="3" t="str" cm="1">
        <f t="array" ref="E541">_xlfn.XLOOKUP(1,
    (pivot!$A$2:$A$1946=endirim!B541) * (pivot!$D$2:$D$1946 = _xlfn.MAXIFS(pivot!$D$2:$D$1946, pivot!$A$2:$A$1946, endirim!B541)),
    pivot!$B$2:$B$1946)</f>
        <v>OwnsComputer</v>
      </c>
      <c r="F541" s="22">
        <f>_xlfn.MAXIFS(pivot!$D$2:$D$1946, pivot!$A$2:$A$1946, endirim!B541)</f>
        <v>62</v>
      </c>
      <c r="G541" s="3" t="str">
        <f t="shared" si="8"/>
        <v>Təklif yoxdur</v>
      </c>
    </row>
    <row r="542" spans="2:7" x14ac:dyDescent="0.3">
      <c r="B542" t="s">
        <v>596</v>
      </c>
      <c r="C542" s="3" t="str" cm="1">
        <f t="array" ref="C542">_xlfn.XLOOKUP(1,(pivot!$A$2:$A$1946=Table3[[#This Row],[Müştəri adı]])*(pivot!$C$2:$C$1946=_xlfn.MAXIFS(pivot!$C$2:$C$1946,pivot!$A$2:$A$1946,Table3[[#This Row],[Müştəri adı]])),pivot!$B$2:$B$1946)</f>
        <v>HandsetRefurbished</v>
      </c>
      <c r="D542" s="22" cm="1">
        <f t="array" ref="D542">_xlfn.XLOOKUP(1,
  (pivot!$A$2:$A$1946=endirim!B542) * (pivot!$C$2:$C$1946 = _xlfn.MAXIFS(pivot!$C$2:$C$1946, pivot!$A$2:$A$1946, endirim!B542)),
  pivot!$D$2:$D$1946)</f>
        <v>26</v>
      </c>
      <c r="E542" s="3" t="str" cm="1">
        <f t="array" ref="E542">_xlfn.XLOOKUP(1,
    (pivot!$A$2:$A$1946=endirim!B542) * (pivot!$D$2:$D$1946 = _xlfn.MAXIFS(pivot!$D$2:$D$1946, pivot!$A$2:$A$1946, endirim!B542)),
    pivot!$B$2:$B$1946)</f>
        <v>TruckOwner</v>
      </c>
      <c r="F542" s="22">
        <f>_xlfn.MAXIFS(pivot!$D$2:$D$1946, pivot!$A$2:$A$1946, endirim!B542)</f>
        <v>26</v>
      </c>
      <c r="G542" s="3" t="str">
        <f t="shared" si="8"/>
        <v>Təklif yoxdur</v>
      </c>
    </row>
    <row r="543" spans="2:7" x14ac:dyDescent="0.3">
      <c r="B543" t="s">
        <v>597</v>
      </c>
      <c r="C543" s="3" t="str" cm="1">
        <f t="array" ref="C543">_xlfn.XLOOKUP(1,(pivot!$A$2:$A$1946=Table3[[#This Row],[Müştəri adı]])*(pivot!$C$2:$C$1946=_xlfn.MAXIFS(pivot!$C$2:$C$1946,pivot!$A$2:$A$1946,Table3[[#This Row],[Müştəri adı]])),pivot!$B$2:$B$1946)</f>
        <v>ChildrenInHH</v>
      </c>
      <c r="D543" s="22" cm="1">
        <f t="array" ref="D543">_xlfn.XLOOKUP(1,
  (pivot!$A$2:$A$1946=endirim!B543) * (pivot!$C$2:$C$1946 = _xlfn.MAXIFS(pivot!$C$2:$C$1946, pivot!$A$2:$A$1946, endirim!B543)),
  pivot!$D$2:$D$1946)</f>
        <v>10</v>
      </c>
      <c r="E543" s="3" t="str" cm="1">
        <f t="array" ref="E543">_xlfn.XLOOKUP(1,
    (pivot!$A$2:$A$1946=endirim!B543) * (pivot!$D$2:$D$1946 = _xlfn.MAXIFS(pivot!$D$2:$D$1946, pivot!$A$2:$A$1946, endirim!B543)),
    pivot!$B$2:$B$1946)</f>
        <v>OptOutMailings</v>
      </c>
      <c r="F543" s="22">
        <f>_xlfn.MAXIFS(pivot!$D$2:$D$1946, pivot!$A$2:$A$1946, endirim!B543)</f>
        <v>75</v>
      </c>
      <c r="G543" s="3" t="str">
        <f t="shared" si="8"/>
        <v>OptOutMailings Kompaniyasını 20% endirimlə təklif et</v>
      </c>
    </row>
    <row r="544" spans="2:7" x14ac:dyDescent="0.3">
      <c r="B544" t="s">
        <v>598</v>
      </c>
      <c r="C544" s="3" t="str" cm="1">
        <f t="array" ref="C544">_xlfn.XLOOKUP(1,(pivot!$A$2:$A$1946=Table3[[#This Row],[Müştəri adı]])*(pivot!$C$2:$C$1946=_xlfn.MAXIFS(pivot!$C$2:$C$1946,pivot!$A$2:$A$1946,Table3[[#This Row],[Müştəri adı]])),pivot!$B$2:$B$1946)</f>
        <v>NonUSTravel</v>
      </c>
      <c r="D544" s="22" cm="1">
        <f t="array" ref="D544">_xlfn.XLOOKUP(1,
  (pivot!$A$2:$A$1946=endirim!B544) * (pivot!$C$2:$C$1946 = _xlfn.MAXIFS(pivot!$C$2:$C$1946, pivot!$A$2:$A$1946, endirim!B544)),
  pivot!$D$2:$D$1946)</f>
        <v>66</v>
      </c>
      <c r="E544" s="3" t="str" cm="1">
        <f t="array" ref="E544">_xlfn.XLOOKUP(1,
    (pivot!$A$2:$A$1946=endirim!B544) * (pivot!$D$2:$D$1946 = _xlfn.MAXIFS(pivot!$D$2:$D$1946, pivot!$A$2:$A$1946, endirim!B544)),
    pivot!$B$2:$B$1946)</f>
        <v>NonUSTravel</v>
      </c>
      <c r="F544" s="22">
        <f>_xlfn.MAXIFS(pivot!$D$2:$D$1946, pivot!$A$2:$A$1946, endirim!B544)</f>
        <v>66</v>
      </c>
      <c r="G544" s="3" t="str">
        <f t="shared" si="8"/>
        <v>Təklif yoxdur</v>
      </c>
    </row>
    <row r="545" spans="2:7" x14ac:dyDescent="0.3">
      <c r="B545" t="s">
        <v>599</v>
      </c>
      <c r="C545" s="3" t="str" cm="1">
        <f t="array" ref="C545">_xlfn.XLOOKUP(1,(pivot!$A$2:$A$1946=Table3[[#This Row],[Müştəri adı]])*(pivot!$C$2:$C$1946=_xlfn.MAXIFS(pivot!$C$2:$C$1946,pivot!$A$2:$A$1946,Table3[[#This Row],[Müştəri adı]])),pivot!$B$2:$B$1946)</f>
        <v>ChildrenInHH</v>
      </c>
      <c r="D545" s="22" cm="1">
        <f t="array" ref="D545">_xlfn.XLOOKUP(1,
  (pivot!$A$2:$A$1946=endirim!B545) * (pivot!$C$2:$C$1946 = _xlfn.MAXIFS(pivot!$C$2:$C$1946, pivot!$A$2:$A$1946, endirim!B545)),
  pivot!$D$2:$D$1946)</f>
        <v>10</v>
      </c>
      <c r="E545" s="3" t="str" cm="1">
        <f t="array" ref="E545">_xlfn.XLOOKUP(1,
    (pivot!$A$2:$A$1946=endirim!B545) * (pivot!$D$2:$D$1946 = _xlfn.MAXIFS(pivot!$D$2:$D$1946, pivot!$A$2:$A$1946, endirim!B545)),
    pivot!$B$2:$B$1946)</f>
        <v>Homeownership</v>
      </c>
      <c r="F545" s="22">
        <f>_xlfn.MAXIFS(pivot!$D$2:$D$1946, pivot!$A$2:$A$1946, endirim!B545)</f>
        <v>13</v>
      </c>
      <c r="G545" s="3" t="str">
        <f t="shared" si="8"/>
        <v>Homeownership Kompaniyasını 20% endirimlə təklif et</v>
      </c>
    </row>
    <row r="546" spans="2:7" x14ac:dyDescent="0.3">
      <c r="B546" t="s">
        <v>600</v>
      </c>
      <c r="C546" s="3" t="str" cm="1">
        <f t="array" ref="C546">_xlfn.XLOOKUP(1,(pivot!$A$2:$A$1946=Table3[[#This Row],[Müştəri adı]])*(pivot!$C$2:$C$1946=_xlfn.MAXIFS(pivot!$C$2:$C$1946,pivot!$A$2:$A$1946,Table3[[#This Row],[Müştəri adı]])),pivot!$B$2:$B$1946)</f>
        <v>HasCreditCard</v>
      </c>
      <c r="D546" s="22" cm="1">
        <f t="array" ref="D546">_xlfn.XLOOKUP(1,
  (pivot!$A$2:$A$1946=endirim!B546) * (pivot!$C$2:$C$1946 = _xlfn.MAXIFS(pivot!$C$2:$C$1946, pivot!$A$2:$A$1946, endirim!B546)),
  pivot!$D$2:$D$1946)</f>
        <v>65</v>
      </c>
      <c r="E546" s="3" t="str" cm="1">
        <f t="array" ref="E546">_xlfn.XLOOKUP(1,
    (pivot!$A$2:$A$1946=endirim!B546) * (pivot!$D$2:$D$1946 = _xlfn.MAXIFS(pivot!$D$2:$D$1946, pivot!$A$2:$A$1946, endirim!B546)),
    pivot!$B$2:$B$1946)</f>
        <v>HasCreditCard</v>
      </c>
      <c r="F546" s="22">
        <f>_xlfn.MAXIFS(pivot!$D$2:$D$1946, pivot!$A$2:$A$1946, endirim!B546)</f>
        <v>65</v>
      </c>
      <c r="G546" s="3" t="str">
        <f t="shared" si="8"/>
        <v>Təklif yoxdur</v>
      </c>
    </row>
    <row r="547" spans="2:7" x14ac:dyDescent="0.3">
      <c r="B547" t="s">
        <v>601</v>
      </c>
      <c r="C547" s="3" t="str" cm="1">
        <f t="array" ref="C547">_xlfn.XLOOKUP(1,(pivot!$A$2:$A$1946=Table3[[#This Row],[Müştəri adı]])*(pivot!$C$2:$C$1946=_xlfn.MAXIFS(pivot!$C$2:$C$1946,pivot!$A$2:$A$1946,Table3[[#This Row],[Müştəri adı]])),pivot!$B$2:$B$1946)</f>
        <v>MadeCallToRetentionTeam</v>
      </c>
      <c r="D547" s="22" cm="1">
        <f t="array" ref="D547">_xlfn.XLOOKUP(1,
  (pivot!$A$2:$A$1946=endirim!B547) * (pivot!$C$2:$C$1946 = _xlfn.MAXIFS(pivot!$C$2:$C$1946, pivot!$A$2:$A$1946, endirim!B547)),
  pivot!$D$2:$D$1946)</f>
        <v>16</v>
      </c>
      <c r="E547" s="3" t="str" cm="1">
        <f t="array" ref="E547">_xlfn.XLOOKUP(1,
    (pivot!$A$2:$A$1946=endirim!B547) * (pivot!$D$2:$D$1946 = _xlfn.MAXIFS(pivot!$D$2:$D$1946, pivot!$A$2:$A$1946, endirim!B547)),
    pivot!$B$2:$B$1946)</f>
        <v>OptOutMailings</v>
      </c>
      <c r="F547" s="22">
        <f>_xlfn.MAXIFS(pivot!$D$2:$D$1946, pivot!$A$2:$A$1946, endirim!B547)</f>
        <v>75</v>
      </c>
      <c r="G547" s="3" t="str">
        <f t="shared" si="8"/>
        <v>OptOutMailings Kompaniyasını 20% endirimlə təklif et</v>
      </c>
    </row>
    <row r="548" spans="2:7" x14ac:dyDescent="0.3">
      <c r="B548" t="s">
        <v>602</v>
      </c>
      <c r="C548" s="3" t="str" cm="1">
        <f t="array" ref="C548">_xlfn.XLOOKUP(1,(pivot!$A$2:$A$1946=Table3[[#This Row],[Müştəri adı]])*(pivot!$C$2:$C$1946=_xlfn.MAXIFS(pivot!$C$2:$C$1946,pivot!$A$2:$A$1946,Table3[[#This Row],[Müştəri adı]])),pivot!$B$2:$B$1946)</f>
        <v>OptOutMailings</v>
      </c>
      <c r="D548" s="22" cm="1">
        <f t="array" ref="D548">_xlfn.XLOOKUP(1,
  (pivot!$A$2:$A$1946=endirim!B548) * (pivot!$C$2:$C$1946 = _xlfn.MAXIFS(pivot!$C$2:$C$1946, pivot!$A$2:$A$1946, endirim!B548)),
  pivot!$D$2:$D$1946)</f>
        <v>75</v>
      </c>
      <c r="E548" s="3" t="str" cm="1">
        <f t="array" ref="E548">_xlfn.XLOOKUP(1,
    (pivot!$A$2:$A$1946=endirim!B548) * (pivot!$D$2:$D$1946 = _xlfn.MAXIFS(pivot!$D$2:$D$1946, pivot!$A$2:$A$1946, endirim!B548)),
    pivot!$B$2:$B$1946)</f>
        <v>OptOutMailings</v>
      </c>
      <c r="F548" s="22">
        <f>_xlfn.MAXIFS(pivot!$D$2:$D$1946, pivot!$A$2:$A$1946, endirim!B548)</f>
        <v>75</v>
      </c>
      <c r="G548" s="3" t="str">
        <f t="shared" si="8"/>
        <v>Təklif yoxdur</v>
      </c>
    </row>
    <row r="549" spans="2:7" x14ac:dyDescent="0.3">
      <c r="B549" t="s">
        <v>603</v>
      </c>
      <c r="C549" s="3" t="str" cm="1">
        <f t="array" ref="C549">_xlfn.XLOOKUP(1,(pivot!$A$2:$A$1946=Table3[[#This Row],[Müştəri adı]])*(pivot!$C$2:$C$1946=_xlfn.MAXIFS(pivot!$C$2:$C$1946,pivot!$A$2:$A$1946,Table3[[#This Row],[Müştəri adı]])),pivot!$B$2:$B$1946)</f>
        <v>NotNewCellphoneUser</v>
      </c>
      <c r="D549" s="22" cm="1">
        <f t="array" ref="D549">_xlfn.XLOOKUP(1,
  (pivot!$A$2:$A$1946=endirim!B549) * (pivot!$C$2:$C$1946 = _xlfn.MAXIFS(pivot!$C$2:$C$1946, pivot!$A$2:$A$1946, endirim!B549)),
  pivot!$D$2:$D$1946)</f>
        <v>28</v>
      </c>
      <c r="E549" s="3" t="str" cm="1">
        <f t="array" ref="E549">_xlfn.XLOOKUP(1,
    (pivot!$A$2:$A$1946=endirim!B549) * (pivot!$D$2:$D$1946 = _xlfn.MAXIFS(pivot!$D$2:$D$1946, pivot!$A$2:$A$1946, endirim!B549)),
    pivot!$B$2:$B$1946)</f>
        <v>NonUSTravel</v>
      </c>
      <c r="F549" s="22">
        <f>_xlfn.MAXIFS(pivot!$D$2:$D$1946, pivot!$A$2:$A$1946, endirim!B549)</f>
        <v>66</v>
      </c>
      <c r="G549" s="3" t="str">
        <f t="shared" si="8"/>
        <v>NonUSTravel Kompaniyasını 20% endirimlə təklif et</v>
      </c>
    </row>
    <row r="550" spans="2:7" x14ac:dyDescent="0.3">
      <c r="B550" t="s">
        <v>604</v>
      </c>
      <c r="C550" s="3" t="str" cm="1">
        <f t="array" ref="C550">_xlfn.XLOOKUP(1,(pivot!$A$2:$A$1946=Table3[[#This Row],[Müştəri adı]])*(pivot!$C$2:$C$1946=_xlfn.MAXIFS(pivot!$C$2:$C$1946,pivot!$A$2:$A$1946,Table3[[#This Row],[Müştəri adı]])),pivot!$B$2:$B$1946)</f>
        <v>MaritalStatus</v>
      </c>
      <c r="D550" s="22" cm="1">
        <f t="array" ref="D550">_xlfn.XLOOKUP(1,
  (pivot!$A$2:$A$1946=endirim!B550) * (pivot!$C$2:$C$1946 = _xlfn.MAXIFS(pivot!$C$2:$C$1946, pivot!$A$2:$A$1946, endirim!B550)),
  pivot!$D$2:$D$1946)</f>
        <v>29</v>
      </c>
      <c r="E550" s="3" t="str" cm="1">
        <f t="array" ref="E550">_xlfn.XLOOKUP(1,
    (pivot!$A$2:$A$1946=endirim!B550) * (pivot!$D$2:$D$1946 = _xlfn.MAXIFS(pivot!$D$2:$D$1946, pivot!$A$2:$A$1946, endirim!B550)),
    pivot!$B$2:$B$1946)</f>
        <v>HandsetWebCapable</v>
      </c>
      <c r="F550" s="22">
        <f>_xlfn.MAXIFS(pivot!$D$2:$D$1946, pivot!$A$2:$A$1946, endirim!B550)</f>
        <v>62</v>
      </c>
      <c r="G550" s="3" t="str">
        <f t="shared" si="8"/>
        <v>HandsetWebCapable Kompaniyasını 20% endirimlə təklif et</v>
      </c>
    </row>
    <row r="551" spans="2:7" x14ac:dyDescent="0.3">
      <c r="B551" t="s">
        <v>605</v>
      </c>
      <c r="C551" s="3" t="str" cm="1">
        <f t="array" ref="C551">_xlfn.XLOOKUP(1,(pivot!$A$2:$A$1946=Table3[[#This Row],[Müştəri adı]])*(pivot!$C$2:$C$1946=_xlfn.MAXIFS(pivot!$C$2:$C$1946,pivot!$A$2:$A$1946,Table3[[#This Row],[Müştəri adı]])),pivot!$B$2:$B$1946)</f>
        <v>MaritalStatus</v>
      </c>
      <c r="D551" s="22" cm="1">
        <f t="array" ref="D551">_xlfn.XLOOKUP(1,
  (pivot!$A$2:$A$1946=endirim!B551) * (pivot!$C$2:$C$1946 = _xlfn.MAXIFS(pivot!$C$2:$C$1946, pivot!$A$2:$A$1946, endirim!B551)),
  pivot!$D$2:$D$1946)</f>
        <v>29</v>
      </c>
      <c r="E551" s="3" t="str" cm="1">
        <f t="array" ref="E551">_xlfn.XLOOKUP(1,
    (pivot!$A$2:$A$1946=endirim!B551) * (pivot!$D$2:$D$1946 = _xlfn.MAXIFS(pivot!$D$2:$D$1946, pivot!$A$2:$A$1946, endirim!B551)),
    pivot!$B$2:$B$1946)</f>
        <v>MaritalStatus</v>
      </c>
      <c r="F551" s="22">
        <f>_xlfn.MAXIFS(pivot!$D$2:$D$1946, pivot!$A$2:$A$1946, endirim!B551)</f>
        <v>29</v>
      </c>
      <c r="G551" s="3" t="str">
        <f t="shared" si="8"/>
        <v>Təklif yoxdur</v>
      </c>
    </row>
    <row r="552" spans="2:7" x14ac:dyDescent="0.3">
      <c r="B552" t="s">
        <v>606</v>
      </c>
      <c r="C552" s="3" t="str" cm="1">
        <f t="array" ref="C552">_xlfn.XLOOKUP(1,(pivot!$A$2:$A$1946=Table3[[#This Row],[Müştəri adı]])*(pivot!$C$2:$C$1946=_xlfn.MAXIFS(pivot!$C$2:$C$1946,pivot!$A$2:$A$1946,Table3[[#This Row],[Müştəri adı]])),pivot!$B$2:$B$1946)</f>
        <v>NonUSTravel</v>
      </c>
      <c r="D552" s="22" cm="1">
        <f t="array" ref="D552">_xlfn.XLOOKUP(1,
  (pivot!$A$2:$A$1946=endirim!B552) * (pivot!$C$2:$C$1946 = _xlfn.MAXIFS(pivot!$C$2:$C$1946, pivot!$A$2:$A$1946, endirim!B552)),
  pivot!$D$2:$D$1946)</f>
        <v>66</v>
      </c>
      <c r="E552" s="3" t="str" cm="1">
        <f t="array" ref="E552">_xlfn.XLOOKUP(1,
    (pivot!$A$2:$A$1946=endirim!B552) * (pivot!$D$2:$D$1946 = _xlfn.MAXIFS(pivot!$D$2:$D$1946, pivot!$A$2:$A$1946, endirim!B552)),
    pivot!$B$2:$B$1946)</f>
        <v>NonUSTravel</v>
      </c>
      <c r="F552" s="22">
        <f>_xlfn.MAXIFS(pivot!$D$2:$D$1946, pivot!$A$2:$A$1946, endirim!B552)</f>
        <v>66</v>
      </c>
      <c r="G552" s="3" t="str">
        <f t="shared" si="8"/>
        <v>Təklif yoxdur</v>
      </c>
    </row>
    <row r="553" spans="2:7" x14ac:dyDescent="0.3">
      <c r="B553" t="s">
        <v>607</v>
      </c>
      <c r="C553" s="3" t="str" cm="1">
        <f t="array" ref="C553">_xlfn.XLOOKUP(1,(pivot!$A$2:$A$1946=Table3[[#This Row],[Müştəri adı]])*(pivot!$C$2:$C$1946=_xlfn.MAXIFS(pivot!$C$2:$C$1946,pivot!$A$2:$A$1946,Table3[[#This Row],[Müştəri adı]])),pivot!$B$2:$B$1946)</f>
        <v>RespondsToMailOffers</v>
      </c>
      <c r="D553" s="22" cm="1">
        <f t="array" ref="D553">_xlfn.XLOOKUP(1,
  (pivot!$A$2:$A$1946=endirim!B553) * (pivot!$C$2:$C$1946 = _xlfn.MAXIFS(pivot!$C$2:$C$1946, pivot!$A$2:$A$1946, endirim!B553)),
  pivot!$D$2:$D$1946)</f>
        <v>27</v>
      </c>
      <c r="E553" s="3" t="str" cm="1">
        <f t="array" ref="E553">_xlfn.XLOOKUP(1,
    (pivot!$A$2:$A$1946=endirim!B553) * (pivot!$D$2:$D$1946 = _xlfn.MAXIFS(pivot!$D$2:$D$1946, pivot!$A$2:$A$1946, endirim!B553)),
    pivot!$B$2:$B$1946)</f>
        <v>RespondsToMailOffers</v>
      </c>
      <c r="F553" s="22">
        <f>_xlfn.MAXIFS(pivot!$D$2:$D$1946, pivot!$A$2:$A$1946, endirim!B553)</f>
        <v>27</v>
      </c>
      <c r="G553" s="3" t="str">
        <f t="shared" si="8"/>
        <v>Təklif yoxdur</v>
      </c>
    </row>
    <row r="554" spans="2:7" x14ac:dyDescent="0.3">
      <c r="B554" t="s">
        <v>608</v>
      </c>
      <c r="C554" s="3" t="str" cm="1">
        <f t="array" ref="C554">_xlfn.XLOOKUP(1,(pivot!$A$2:$A$1946=Table3[[#This Row],[Müştəri adı]])*(pivot!$C$2:$C$1946=_xlfn.MAXIFS(pivot!$C$2:$C$1946,pivot!$A$2:$A$1946,Table3[[#This Row],[Müştəri adı]])),pivot!$B$2:$B$1946)</f>
        <v>NotNewCellphoneUser</v>
      </c>
      <c r="D554" s="22" cm="1">
        <f t="array" ref="D554">_xlfn.XLOOKUP(1,
  (pivot!$A$2:$A$1946=endirim!B554) * (pivot!$C$2:$C$1946 = _xlfn.MAXIFS(pivot!$C$2:$C$1946, pivot!$A$2:$A$1946, endirim!B554)),
  pivot!$D$2:$D$1946)</f>
        <v>28</v>
      </c>
      <c r="E554" s="3" t="str" cm="1">
        <f t="array" ref="E554">_xlfn.XLOOKUP(1,
    (pivot!$A$2:$A$1946=endirim!B554) * (pivot!$D$2:$D$1946 = _xlfn.MAXIFS(pivot!$D$2:$D$1946, pivot!$A$2:$A$1946, endirim!B554)),
    pivot!$B$2:$B$1946)</f>
        <v>OwnsComputer</v>
      </c>
      <c r="F554" s="22">
        <f>_xlfn.MAXIFS(pivot!$D$2:$D$1946, pivot!$A$2:$A$1946, endirim!B554)</f>
        <v>62</v>
      </c>
      <c r="G554" s="3" t="str">
        <f t="shared" si="8"/>
        <v>OwnsComputer Kompaniyasını 20% endirimlə təklif et</v>
      </c>
    </row>
    <row r="555" spans="2:7" x14ac:dyDescent="0.3">
      <c r="B555" t="s">
        <v>609</v>
      </c>
      <c r="C555" s="3" t="str" cm="1">
        <f t="array" ref="C555">_xlfn.XLOOKUP(1,(pivot!$A$2:$A$1946=Table3[[#This Row],[Müştəri adı]])*(pivot!$C$2:$C$1946=_xlfn.MAXIFS(pivot!$C$2:$C$1946,pivot!$A$2:$A$1946,Table3[[#This Row],[Müştəri adı]])),pivot!$B$2:$B$1946)</f>
        <v>TruckOwner</v>
      </c>
      <c r="D555" s="22" cm="1">
        <f t="array" ref="D555">_xlfn.XLOOKUP(1,
  (pivot!$A$2:$A$1946=endirim!B555) * (pivot!$C$2:$C$1946 = _xlfn.MAXIFS(pivot!$C$2:$C$1946, pivot!$A$2:$A$1946, endirim!B555)),
  pivot!$D$2:$D$1946)</f>
        <v>26</v>
      </c>
      <c r="E555" s="3" t="str" cm="1">
        <f t="array" ref="E555">_xlfn.XLOOKUP(1,
    (pivot!$A$2:$A$1946=endirim!B555) * (pivot!$D$2:$D$1946 = _xlfn.MAXIFS(pivot!$D$2:$D$1946, pivot!$A$2:$A$1946, endirim!B555)),
    pivot!$B$2:$B$1946)</f>
        <v>TruckOwner</v>
      </c>
      <c r="F555" s="22">
        <f>_xlfn.MAXIFS(pivot!$D$2:$D$1946, pivot!$A$2:$A$1946, endirim!B555)</f>
        <v>26</v>
      </c>
      <c r="G555" s="3" t="str">
        <f t="shared" si="8"/>
        <v>Təklif yoxdur</v>
      </c>
    </row>
    <row r="556" spans="2:7" x14ac:dyDescent="0.3">
      <c r="B556" t="s">
        <v>610</v>
      </c>
      <c r="C556" s="3" t="str" cm="1">
        <f t="array" ref="C556">_xlfn.XLOOKUP(1,(pivot!$A$2:$A$1946=Table3[[#This Row],[Müştəri adı]])*(pivot!$C$2:$C$1946=_xlfn.MAXIFS(pivot!$C$2:$C$1946,pivot!$A$2:$A$1946,Table3[[#This Row],[Müştəri adı]])),pivot!$B$2:$B$1946)</f>
        <v>BuysViaMailOrder</v>
      </c>
      <c r="D556" s="22" cm="1">
        <f t="array" ref="D556">_xlfn.XLOOKUP(1,
  (pivot!$A$2:$A$1946=endirim!B556) * (pivot!$C$2:$C$1946 = _xlfn.MAXIFS(pivot!$C$2:$C$1946, pivot!$A$2:$A$1946, endirim!B556)),
  pivot!$D$2:$D$1946)</f>
        <v>25</v>
      </c>
      <c r="E556" s="3" t="str" cm="1">
        <f t="array" ref="E556">_xlfn.XLOOKUP(1,
    (pivot!$A$2:$A$1946=endirim!B556) * (pivot!$D$2:$D$1946 = _xlfn.MAXIFS(pivot!$D$2:$D$1946, pivot!$A$2:$A$1946, endirim!B556)),
    pivot!$B$2:$B$1946)</f>
        <v>NonUSTravel</v>
      </c>
      <c r="F556" s="22">
        <f>_xlfn.MAXIFS(pivot!$D$2:$D$1946, pivot!$A$2:$A$1946, endirim!B556)</f>
        <v>66</v>
      </c>
      <c r="G556" s="3" t="str">
        <f t="shared" si="8"/>
        <v>NonUSTravel Kompaniyasını 20% endirimlə təklif et</v>
      </c>
    </row>
    <row r="557" spans="2:7" x14ac:dyDescent="0.3">
      <c r="B557" t="s">
        <v>611</v>
      </c>
      <c r="C557" s="3" t="str" cm="1">
        <f t="array" ref="C557">_xlfn.XLOOKUP(1,(pivot!$A$2:$A$1946=Table3[[#This Row],[Müştəri adı]])*(pivot!$C$2:$C$1946=_xlfn.MAXIFS(pivot!$C$2:$C$1946,pivot!$A$2:$A$1946,Table3[[#This Row],[Müştəri adı]])),pivot!$B$2:$B$1946)</f>
        <v>OptOutMailings</v>
      </c>
      <c r="D557" s="22" cm="1">
        <f t="array" ref="D557">_xlfn.XLOOKUP(1,
  (pivot!$A$2:$A$1946=endirim!B557) * (pivot!$C$2:$C$1946 = _xlfn.MAXIFS(pivot!$C$2:$C$1946, pivot!$A$2:$A$1946, endirim!B557)),
  pivot!$D$2:$D$1946)</f>
        <v>75</v>
      </c>
      <c r="E557" s="3" t="str" cm="1">
        <f t="array" ref="E557">_xlfn.XLOOKUP(1,
    (pivot!$A$2:$A$1946=endirim!B557) * (pivot!$D$2:$D$1946 = _xlfn.MAXIFS(pivot!$D$2:$D$1946, pivot!$A$2:$A$1946, endirim!B557)),
    pivot!$B$2:$B$1946)</f>
        <v>OptOutMailings</v>
      </c>
      <c r="F557" s="22">
        <f>_xlfn.MAXIFS(pivot!$D$2:$D$1946, pivot!$A$2:$A$1946, endirim!B557)</f>
        <v>75</v>
      </c>
      <c r="G557" s="3" t="str">
        <f t="shared" si="8"/>
        <v>Təklif yoxdur</v>
      </c>
    </row>
    <row r="558" spans="2:7" x14ac:dyDescent="0.3">
      <c r="B558" t="s">
        <v>612</v>
      </c>
      <c r="C558" s="3" t="str" cm="1">
        <f t="array" ref="C558">_xlfn.XLOOKUP(1,(pivot!$A$2:$A$1946=Table3[[#This Row],[Müştəri adı]])*(pivot!$C$2:$C$1946=_xlfn.MAXIFS(pivot!$C$2:$C$1946,pivot!$A$2:$A$1946,Table3[[#This Row],[Müştəri adı]])),pivot!$B$2:$B$1946)</f>
        <v>RespondsToMailOffers</v>
      </c>
      <c r="D558" s="22" cm="1">
        <f t="array" ref="D558">_xlfn.XLOOKUP(1,
  (pivot!$A$2:$A$1946=endirim!B558) * (pivot!$C$2:$C$1946 = _xlfn.MAXIFS(pivot!$C$2:$C$1946, pivot!$A$2:$A$1946, endirim!B558)),
  pivot!$D$2:$D$1946)</f>
        <v>27</v>
      </c>
      <c r="E558" s="3" t="str" cm="1">
        <f t="array" ref="E558">_xlfn.XLOOKUP(1,
    (pivot!$A$2:$A$1946=endirim!B558) * (pivot!$D$2:$D$1946 = _xlfn.MAXIFS(pivot!$D$2:$D$1946, pivot!$A$2:$A$1946, endirim!B558)),
    pivot!$B$2:$B$1946)</f>
        <v>HasCreditCard</v>
      </c>
      <c r="F558" s="22">
        <f>_xlfn.MAXIFS(pivot!$D$2:$D$1946, pivot!$A$2:$A$1946, endirim!B558)</f>
        <v>65</v>
      </c>
      <c r="G558" s="3" t="str">
        <f t="shared" si="8"/>
        <v>HasCreditCard Kompaniyasını 20% endirimlə təklif et</v>
      </c>
    </row>
    <row r="559" spans="2:7" x14ac:dyDescent="0.3">
      <c r="B559" t="s">
        <v>613</v>
      </c>
      <c r="C559" s="3" t="str" cm="1">
        <f t="array" ref="C559">_xlfn.XLOOKUP(1,(pivot!$A$2:$A$1946=Table3[[#This Row],[Müştəri adı]])*(pivot!$C$2:$C$1946=_xlfn.MAXIFS(pivot!$C$2:$C$1946,pivot!$A$2:$A$1946,Table3[[#This Row],[Müştəri adı]])),pivot!$B$2:$B$1946)</f>
        <v>OwnsComputer</v>
      </c>
      <c r="D559" s="22" cm="1">
        <f t="array" ref="D559">_xlfn.XLOOKUP(1,
  (pivot!$A$2:$A$1946=endirim!B559) * (pivot!$C$2:$C$1946 = _xlfn.MAXIFS(pivot!$C$2:$C$1946, pivot!$A$2:$A$1946, endirim!B559)),
  pivot!$D$2:$D$1946)</f>
        <v>62</v>
      </c>
      <c r="E559" s="3" t="str" cm="1">
        <f t="array" ref="E559">_xlfn.XLOOKUP(1,
    (pivot!$A$2:$A$1946=endirim!B559) * (pivot!$D$2:$D$1946 = _xlfn.MAXIFS(pivot!$D$2:$D$1946, pivot!$A$2:$A$1946, endirim!B559)),
    pivot!$B$2:$B$1946)</f>
        <v>OwnsComputer</v>
      </c>
      <c r="F559" s="22">
        <f>_xlfn.MAXIFS(pivot!$D$2:$D$1946, pivot!$A$2:$A$1946, endirim!B559)</f>
        <v>62</v>
      </c>
      <c r="G559" s="3" t="str">
        <f t="shared" si="8"/>
        <v>Təklif yoxdur</v>
      </c>
    </row>
    <row r="560" spans="2:7" x14ac:dyDescent="0.3">
      <c r="B560" t="s">
        <v>614</v>
      </c>
      <c r="C560" s="3" t="str" cm="1">
        <f t="array" ref="C560">_xlfn.XLOOKUP(1,(pivot!$A$2:$A$1946=Table3[[#This Row],[Müştəri adı]])*(pivot!$C$2:$C$1946=_xlfn.MAXIFS(pivot!$C$2:$C$1946,pivot!$A$2:$A$1946,Table3[[#This Row],[Müştəri adı]])),pivot!$B$2:$B$1946)</f>
        <v>NewCellphoneUser</v>
      </c>
      <c r="D560" s="22" cm="1">
        <f t="array" ref="D560">_xlfn.XLOOKUP(1,
  (pivot!$A$2:$A$1946=endirim!B560) * (pivot!$C$2:$C$1946 = _xlfn.MAXIFS(pivot!$C$2:$C$1946, pivot!$A$2:$A$1946, endirim!B560)),
  pivot!$D$2:$D$1946)</f>
        <v>25</v>
      </c>
      <c r="E560" s="3" t="str" cm="1">
        <f t="array" ref="E560">_xlfn.XLOOKUP(1,
    (pivot!$A$2:$A$1946=endirim!B560) * (pivot!$D$2:$D$1946 = _xlfn.MAXIFS(pivot!$D$2:$D$1946, pivot!$A$2:$A$1946, endirim!B560)),
    pivot!$B$2:$B$1946)</f>
        <v>NonUSTravel</v>
      </c>
      <c r="F560" s="22">
        <f>_xlfn.MAXIFS(pivot!$D$2:$D$1946, pivot!$A$2:$A$1946, endirim!B560)</f>
        <v>66</v>
      </c>
      <c r="G560" s="3" t="str">
        <f t="shared" si="8"/>
        <v>NonUSTravel Kompaniyasını 20% endirimlə təklif et</v>
      </c>
    </row>
    <row r="561" spans="2:7" x14ac:dyDescent="0.3">
      <c r="B561" t="s">
        <v>615</v>
      </c>
      <c r="C561" s="3" t="str" cm="1">
        <f t="array" ref="C561">_xlfn.XLOOKUP(1,(pivot!$A$2:$A$1946=Table3[[#This Row],[Müştəri adı]])*(pivot!$C$2:$C$1946=_xlfn.MAXIFS(pivot!$C$2:$C$1946,pivot!$A$2:$A$1946,Table3[[#This Row],[Müştəri adı]])),pivot!$B$2:$B$1946)</f>
        <v>NotNewCellphoneUser</v>
      </c>
      <c r="D561" s="22" cm="1">
        <f t="array" ref="D561">_xlfn.XLOOKUP(1,
  (pivot!$A$2:$A$1946=endirim!B561) * (pivot!$C$2:$C$1946 = _xlfn.MAXIFS(pivot!$C$2:$C$1946, pivot!$A$2:$A$1946, endirim!B561)),
  pivot!$D$2:$D$1946)</f>
        <v>28</v>
      </c>
      <c r="E561" s="3" t="str" cm="1">
        <f t="array" ref="E561">_xlfn.XLOOKUP(1,
    (pivot!$A$2:$A$1946=endirim!B561) * (pivot!$D$2:$D$1946 = _xlfn.MAXIFS(pivot!$D$2:$D$1946, pivot!$A$2:$A$1946, endirim!B561)),
    pivot!$B$2:$B$1946)</f>
        <v>HasCreditCard</v>
      </c>
      <c r="F561" s="22">
        <f>_xlfn.MAXIFS(pivot!$D$2:$D$1946, pivot!$A$2:$A$1946, endirim!B561)</f>
        <v>65</v>
      </c>
      <c r="G561" s="3" t="str">
        <f t="shared" si="8"/>
        <v>HasCreditCard Kompaniyasını 20% endirimlə təklif et</v>
      </c>
    </row>
    <row r="562" spans="2:7" x14ac:dyDescent="0.3">
      <c r="B562" t="s">
        <v>616</v>
      </c>
      <c r="C562" s="3" t="str" cm="1">
        <f t="array" ref="C562">_xlfn.XLOOKUP(1,(pivot!$A$2:$A$1946=Table3[[#This Row],[Müştəri adı]])*(pivot!$C$2:$C$1946=_xlfn.MAXIFS(pivot!$C$2:$C$1946,pivot!$A$2:$A$1946,Table3[[#This Row],[Müştəri adı]])),pivot!$B$2:$B$1946)</f>
        <v>RespondsToMailOffers</v>
      </c>
      <c r="D562" s="22" cm="1">
        <f t="array" ref="D562">_xlfn.XLOOKUP(1,
  (pivot!$A$2:$A$1946=endirim!B562) * (pivot!$C$2:$C$1946 = _xlfn.MAXIFS(pivot!$C$2:$C$1946, pivot!$A$2:$A$1946, endirim!B562)),
  pivot!$D$2:$D$1946)</f>
        <v>27</v>
      </c>
      <c r="E562" s="3" t="str" cm="1">
        <f t="array" ref="E562">_xlfn.XLOOKUP(1,
    (pivot!$A$2:$A$1946=endirim!B562) * (pivot!$D$2:$D$1946 = _xlfn.MAXIFS(pivot!$D$2:$D$1946, pivot!$A$2:$A$1946, endirim!B562)),
    pivot!$B$2:$B$1946)</f>
        <v>RespondsToMailOffers</v>
      </c>
      <c r="F562" s="22">
        <f>_xlfn.MAXIFS(pivot!$D$2:$D$1946, pivot!$A$2:$A$1946, endirim!B562)</f>
        <v>27</v>
      </c>
      <c r="G562" s="3" t="str">
        <f t="shared" si="8"/>
        <v>Təklif yoxdur</v>
      </c>
    </row>
    <row r="563" spans="2:7" x14ac:dyDescent="0.3">
      <c r="B563" t="s">
        <v>617</v>
      </c>
      <c r="C563" s="3" t="str" cm="1">
        <f t="array" ref="C563">_xlfn.XLOOKUP(1,(pivot!$A$2:$A$1946=Table3[[#This Row],[Müştəri adı]])*(pivot!$C$2:$C$1946=_xlfn.MAXIFS(pivot!$C$2:$C$1946,pivot!$A$2:$A$1946,Table3[[#This Row],[Müştəri adı]])),pivot!$B$2:$B$1946)</f>
        <v>NewCellphoneUser</v>
      </c>
      <c r="D563" s="22" cm="1">
        <f t="array" ref="D563">_xlfn.XLOOKUP(1,
  (pivot!$A$2:$A$1946=endirim!B563) * (pivot!$C$2:$C$1946 = _xlfn.MAXIFS(pivot!$C$2:$C$1946, pivot!$A$2:$A$1946, endirim!B563)),
  pivot!$D$2:$D$1946)</f>
        <v>25</v>
      </c>
      <c r="E563" s="3" t="str" cm="1">
        <f t="array" ref="E563">_xlfn.XLOOKUP(1,
    (pivot!$A$2:$A$1946=endirim!B563) * (pivot!$D$2:$D$1946 = _xlfn.MAXIFS(pivot!$D$2:$D$1946, pivot!$A$2:$A$1946, endirim!B563)),
    pivot!$B$2:$B$1946)</f>
        <v>RespondsToMailOffers</v>
      </c>
      <c r="F563" s="22">
        <f>_xlfn.MAXIFS(pivot!$D$2:$D$1946, pivot!$A$2:$A$1946, endirim!B563)</f>
        <v>27</v>
      </c>
      <c r="G563" s="3" t="str">
        <f t="shared" si="8"/>
        <v>RespondsToMailOffers Kompaniyasını 20% endirimlə təklif et</v>
      </c>
    </row>
    <row r="564" spans="2:7" x14ac:dyDescent="0.3">
      <c r="B564" t="s">
        <v>618</v>
      </c>
      <c r="C564" s="3" t="str" cm="1">
        <f t="array" ref="C564">_xlfn.XLOOKUP(1,(pivot!$A$2:$A$1946=Table3[[#This Row],[Müştəri adı]])*(pivot!$C$2:$C$1946=_xlfn.MAXIFS(pivot!$C$2:$C$1946,pivot!$A$2:$A$1946,Table3[[#This Row],[Müştəri adı]])),pivot!$B$2:$B$1946)</f>
        <v>OwnsMotorcycle</v>
      </c>
      <c r="D564" s="22" cm="1">
        <f t="array" ref="D564">_xlfn.XLOOKUP(1,
  (pivot!$A$2:$A$1946=endirim!B564) * (pivot!$C$2:$C$1946 = _xlfn.MAXIFS(pivot!$C$2:$C$1946, pivot!$A$2:$A$1946, endirim!B564)),
  pivot!$D$2:$D$1946)</f>
        <v>14</v>
      </c>
      <c r="E564" s="3" t="str" cm="1">
        <f t="array" ref="E564">_xlfn.XLOOKUP(1,
    (pivot!$A$2:$A$1946=endirim!B564) * (pivot!$D$2:$D$1946 = _xlfn.MAXIFS(pivot!$D$2:$D$1946, pivot!$A$2:$A$1946, endirim!B564)),
    pivot!$B$2:$B$1946)</f>
        <v>RVOwner</v>
      </c>
      <c r="F564" s="22">
        <f>_xlfn.MAXIFS(pivot!$D$2:$D$1946, pivot!$A$2:$A$1946, endirim!B564)</f>
        <v>22</v>
      </c>
      <c r="G564" s="3" t="str">
        <f t="shared" si="8"/>
        <v>RVOwner Kompaniyasını 20% endirimlə təklif et</v>
      </c>
    </row>
    <row r="565" spans="2:7" x14ac:dyDescent="0.3">
      <c r="B565" t="s">
        <v>619</v>
      </c>
      <c r="C565" s="3" t="str" cm="1">
        <f t="array" ref="C565">_xlfn.XLOOKUP(1,(pivot!$A$2:$A$1946=Table3[[#This Row],[Müştəri adı]])*(pivot!$C$2:$C$1946=_xlfn.MAXIFS(pivot!$C$2:$C$1946,pivot!$A$2:$A$1946,Table3[[#This Row],[Müştəri adı]])),pivot!$B$2:$B$1946)</f>
        <v>NewCellphoneUser</v>
      </c>
      <c r="D565" s="22" cm="1">
        <f t="array" ref="D565">_xlfn.XLOOKUP(1,
  (pivot!$A$2:$A$1946=endirim!B565) * (pivot!$C$2:$C$1946 = _xlfn.MAXIFS(pivot!$C$2:$C$1946, pivot!$A$2:$A$1946, endirim!B565)),
  pivot!$D$2:$D$1946)</f>
        <v>25</v>
      </c>
      <c r="E565" s="3" t="str" cm="1">
        <f t="array" ref="E565">_xlfn.XLOOKUP(1,
    (pivot!$A$2:$A$1946=endirim!B565) * (pivot!$D$2:$D$1946 = _xlfn.MAXIFS(pivot!$D$2:$D$1946, pivot!$A$2:$A$1946, endirim!B565)),
    pivot!$B$2:$B$1946)</f>
        <v>HandsetRefurbished</v>
      </c>
      <c r="F565" s="22">
        <f>_xlfn.MAXIFS(pivot!$D$2:$D$1946, pivot!$A$2:$A$1946, endirim!B565)</f>
        <v>26</v>
      </c>
      <c r="G565" s="3" t="str">
        <f t="shared" si="8"/>
        <v>HandsetRefurbished Kompaniyasını 20% endirimlə təklif et</v>
      </c>
    </row>
    <row r="566" spans="2:7" x14ac:dyDescent="0.3">
      <c r="B566" t="s">
        <v>620</v>
      </c>
      <c r="C566" s="3" t="str" cm="1">
        <f t="array" ref="C566">_xlfn.XLOOKUP(1,(pivot!$A$2:$A$1946=Table3[[#This Row],[Müştəri adı]])*(pivot!$C$2:$C$1946=_xlfn.MAXIFS(pivot!$C$2:$C$1946,pivot!$A$2:$A$1946,Table3[[#This Row],[Müştəri adı]])),pivot!$B$2:$B$1946)</f>
        <v>HandsetWebCapable</v>
      </c>
      <c r="D566" s="22" cm="1">
        <f t="array" ref="D566">_xlfn.XLOOKUP(1,
  (pivot!$A$2:$A$1946=endirim!B566) * (pivot!$C$2:$C$1946 = _xlfn.MAXIFS(pivot!$C$2:$C$1946, pivot!$A$2:$A$1946, endirim!B566)),
  pivot!$D$2:$D$1946)</f>
        <v>62</v>
      </c>
      <c r="E566" s="3" t="str" cm="1">
        <f t="array" ref="E566">_xlfn.XLOOKUP(1,
    (pivot!$A$2:$A$1946=endirim!B566) * (pivot!$D$2:$D$1946 = _xlfn.MAXIFS(pivot!$D$2:$D$1946, pivot!$A$2:$A$1946, endirim!B566)),
    pivot!$B$2:$B$1946)</f>
        <v>NonUSTravel</v>
      </c>
      <c r="F566" s="22">
        <f>_xlfn.MAXIFS(pivot!$D$2:$D$1946, pivot!$A$2:$A$1946, endirim!B566)</f>
        <v>66</v>
      </c>
      <c r="G566" s="3" t="str">
        <f t="shared" si="8"/>
        <v>NonUSTravel Kompaniyasını 20% endirimlə təklif et</v>
      </c>
    </row>
    <row r="567" spans="2:7" x14ac:dyDescent="0.3">
      <c r="B567" t="s">
        <v>621</v>
      </c>
      <c r="C567" s="3" t="str" cm="1">
        <f t="array" ref="C567">_xlfn.XLOOKUP(1,(pivot!$A$2:$A$1946=Table3[[#This Row],[Müştəri adı]])*(pivot!$C$2:$C$1946=_xlfn.MAXIFS(pivot!$C$2:$C$1946,pivot!$A$2:$A$1946,Table3[[#This Row],[Müştəri adı]])),pivot!$B$2:$B$1946)</f>
        <v>ChildrenInHH</v>
      </c>
      <c r="D567" s="22" cm="1">
        <f t="array" ref="D567">_xlfn.XLOOKUP(1,
  (pivot!$A$2:$A$1946=endirim!B567) * (pivot!$C$2:$C$1946 = _xlfn.MAXIFS(pivot!$C$2:$C$1946, pivot!$A$2:$A$1946, endirim!B567)),
  pivot!$D$2:$D$1946)</f>
        <v>10</v>
      </c>
      <c r="E567" s="3" t="str" cm="1">
        <f t="array" ref="E567">_xlfn.XLOOKUP(1,
    (pivot!$A$2:$A$1946=endirim!B567) * (pivot!$D$2:$D$1946 = _xlfn.MAXIFS(pivot!$D$2:$D$1946, pivot!$A$2:$A$1946, endirim!B567)),
    pivot!$B$2:$B$1946)</f>
        <v>OwnsComputer</v>
      </c>
      <c r="F567" s="22">
        <f>_xlfn.MAXIFS(pivot!$D$2:$D$1946, pivot!$A$2:$A$1946, endirim!B567)</f>
        <v>62</v>
      </c>
      <c r="G567" s="3" t="str">
        <f t="shared" si="8"/>
        <v>OwnsComputer Kompaniyasını 20% endirimlə təklif et</v>
      </c>
    </row>
    <row r="568" spans="2:7" x14ac:dyDescent="0.3">
      <c r="B568" t="s">
        <v>622</v>
      </c>
      <c r="C568" s="3" t="str" cm="1">
        <f t="array" ref="C568">_xlfn.XLOOKUP(1,(pivot!$A$2:$A$1946=Table3[[#This Row],[Müştəri adı]])*(pivot!$C$2:$C$1946=_xlfn.MAXIFS(pivot!$C$2:$C$1946,pivot!$A$2:$A$1946,Table3[[#This Row],[Müştəri adı]])),pivot!$B$2:$B$1946)</f>
        <v>HasCreditCard</v>
      </c>
      <c r="D568" s="22" cm="1">
        <f t="array" ref="D568">_xlfn.XLOOKUP(1,
  (pivot!$A$2:$A$1946=endirim!B568) * (pivot!$C$2:$C$1946 = _xlfn.MAXIFS(pivot!$C$2:$C$1946, pivot!$A$2:$A$1946, endirim!B568)),
  pivot!$D$2:$D$1946)</f>
        <v>65</v>
      </c>
      <c r="E568" s="3" t="str" cm="1">
        <f t="array" ref="E568">_xlfn.XLOOKUP(1,
    (pivot!$A$2:$A$1946=endirim!B568) * (pivot!$D$2:$D$1946 = _xlfn.MAXIFS(pivot!$D$2:$D$1946, pivot!$A$2:$A$1946, endirim!B568)),
    pivot!$B$2:$B$1946)</f>
        <v>HasCreditCard</v>
      </c>
      <c r="F568" s="22">
        <f>_xlfn.MAXIFS(pivot!$D$2:$D$1946, pivot!$A$2:$A$1946, endirim!B568)</f>
        <v>65</v>
      </c>
      <c r="G568" s="3" t="str">
        <f t="shared" si="8"/>
        <v>Təklif yoxdur</v>
      </c>
    </row>
    <row r="569" spans="2:7" x14ac:dyDescent="0.3">
      <c r="B569" t="s">
        <v>623</v>
      </c>
      <c r="C569" s="3" t="str" cm="1">
        <f t="array" ref="C569">_xlfn.XLOOKUP(1,(pivot!$A$2:$A$1946=Table3[[#This Row],[Müştəri adı]])*(pivot!$C$2:$C$1946=_xlfn.MAXIFS(pivot!$C$2:$C$1946,pivot!$A$2:$A$1946,Table3[[#This Row],[Müştəri adı]])),pivot!$B$2:$B$1946)</f>
        <v>MaritalStatus</v>
      </c>
      <c r="D569" s="22" cm="1">
        <f t="array" ref="D569">_xlfn.XLOOKUP(1,
  (pivot!$A$2:$A$1946=endirim!B569) * (pivot!$C$2:$C$1946 = _xlfn.MAXIFS(pivot!$C$2:$C$1946, pivot!$A$2:$A$1946, endirim!B569)),
  pivot!$D$2:$D$1946)</f>
        <v>29</v>
      </c>
      <c r="E569" s="3" t="str" cm="1">
        <f t="array" ref="E569">_xlfn.XLOOKUP(1,
    (pivot!$A$2:$A$1946=endirim!B569) * (pivot!$D$2:$D$1946 = _xlfn.MAXIFS(pivot!$D$2:$D$1946, pivot!$A$2:$A$1946, endirim!B569)),
    pivot!$B$2:$B$1946)</f>
        <v>HandsetWebCapable</v>
      </c>
      <c r="F569" s="22">
        <f>_xlfn.MAXIFS(pivot!$D$2:$D$1946, pivot!$A$2:$A$1946, endirim!B569)</f>
        <v>62</v>
      </c>
      <c r="G569" s="3" t="str">
        <f t="shared" si="8"/>
        <v>HandsetWebCapable Kompaniyasını 20% endirimlə təklif et</v>
      </c>
    </row>
    <row r="570" spans="2:7" x14ac:dyDescent="0.3">
      <c r="B570" t="s">
        <v>624</v>
      </c>
      <c r="C570" s="3" t="str" cm="1">
        <f t="array" ref="C570">_xlfn.XLOOKUP(1,(pivot!$A$2:$A$1946=Table3[[#This Row],[Müştəri adı]])*(pivot!$C$2:$C$1946=_xlfn.MAXIFS(pivot!$C$2:$C$1946,pivot!$A$2:$A$1946,Table3[[#This Row],[Müştəri adı]])),pivot!$B$2:$B$1946)</f>
        <v>OwnsComputer</v>
      </c>
      <c r="D570" s="22" cm="1">
        <f t="array" ref="D570">_xlfn.XLOOKUP(1,
  (pivot!$A$2:$A$1946=endirim!B570) * (pivot!$C$2:$C$1946 = _xlfn.MAXIFS(pivot!$C$2:$C$1946, pivot!$A$2:$A$1946, endirim!B570)),
  pivot!$D$2:$D$1946)</f>
        <v>62</v>
      </c>
      <c r="E570" s="3" t="str" cm="1">
        <f t="array" ref="E570">_xlfn.XLOOKUP(1,
    (pivot!$A$2:$A$1946=endirim!B570) * (pivot!$D$2:$D$1946 = _xlfn.MAXIFS(pivot!$D$2:$D$1946, pivot!$A$2:$A$1946, endirim!B570)),
    pivot!$B$2:$B$1946)</f>
        <v>OwnsComputer</v>
      </c>
      <c r="F570" s="22">
        <f>_xlfn.MAXIFS(pivot!$D$2:$D$1946, pivot!$A$2:$A$1946, endirim!B570)</f>
        <v>62</v>
      </c>
      <c r="G570" s="3" t="str">
        <f t="shared" si="8"/>
        <v>Təklif yoxdur</v>
      </c>
    </row>
    <row r="571" spans="2:7" x14ac:dyDescent="0.3">
      <c r="B571" t="s">
        <v>625</v>
      </c>
      <c r="C571" s="3" t="str" cm="1">
        <f t="array" ref="C571">_xlfn.XLOOKUP(1,(pivot!$A$2:$A$1946=Table3[[#This Row],[Müştəri adı]])*(pivot!$C$2:$C$1946=_xlfn.MAXIFS(pivot!$C$2:$C$1946,pivot!$A$2:$A$1946,Table3[[#This Row],[Müştəri adı]])),pivot!$B$2:$B$1946)</f>
        <v>BuysViaMailOrder</v>
      </c>
      <c r="D571" s="22" cm="1">
        <f t="array" ref="D571">_xlfn.XLOOKUP(1,
  (pivot!$A$2:$A$1946=endirim!B571) * (pivot!$C$2:$C$1946 = _xlfn.MAXIFS(pivot!$C$2:$C$1946, pivot!$A$2:$A$1946, endirim!B571)),
  pivot!$D$2:$D$1946)</f>
        <v>25</v>
      </c>
      <c r="E571" s="3" t="str" cm="1">
        <f t="array" ref="E571">_xlfn.XLOOKUP(1,
    (pivot!$A$2:$A$1946=endirim!B571) * (pivot!$D$2:$D$1946 = _xlfn.MAXIFS(pivot!$D$2:$D$1946, pivot!$A$2:$A$1946, endirim!B571)),
    pivot!$B$2:$B$1946)</f>
        <v>NewCellphoneUser</v>
      </c>
      <c r="F571" s="22">
        <f>_xlfn.MAXIFS(pivot!$D$2:$D$1946, pivot!$A$2:$A$1946, endirim!B571)</f>
        <v>25</v>
      </c>
      <c r="G571" s="3" t="str">
        <f t="shared" si="8"/>
        <v>Təklif yoxdur</v>
      </c>
    </row>
    <row r="572" spans="2:7" x14ac:dyDescent="0.3">
      <c r="B572" t="s">
        <v>626</v>
      </c>
      <c r="C572" s="3" t="str" cm="1">
        <f t="array" ref="C572">_xlfn.XLOOKUP(1,(pivot!$A$2:$A$1946=Table3[[#This Row],[Müştəri adı]])*(pivot!$C$2:$C$1946=_xlfn.MAXIFS(pivot!$C$2:$C$1946,pivot!$A$2:$A$1946,Table3[[#This Row],[Müştəri adı]])),pivot!$B$2:$B$1946)</f>
        <v>RespondsToMailOffers</v>
      </c>
      <c r="D572" s="22" cm="1">
        <f t="array" ref="D572">_xlfn.XLOOKUP(1,
  (pivot!$A$2:$A$1946=endirim!B572) * (pivot!$C$2:$C$1946 = _xlfn.MAXIFS(pivot!$C$2:$C$1946, pivot!$A$2:$A$1946, endirim!B572)),
  pivot!$D$2:$D$1946)</f>
        <v>27</v>
      </c>
      <c r="E572" s="3" t="str" cm="1">
        <f t="array" ref="E572">_xlfn.XLOOKUP(1,
    (pivot!$A$2:$A$1946=endirim!B572) * (pivot!$D$2:$D$1946 = _xlfn.MAXIFS(pivot!$D$2:$D$1946, pivot!$A$2:$A$1946, endirim!B572)),
    pivot!$B$2:$B$1946)</f>
        <v>RespondsToMailOffers</v>
      </c>
      <c r="F572" s="22">
        <f>_xlfn.MAXIFS(pivot!$D$2:$D$1946, pivot!$A$2:$A$1946, endirim!B572)</f>
        <v>27</v>
      </c>
      <c r="G572" s="3" t="str">
        <f t="shared" si="8"/>
        <v>Təklif yoxdur</v>
      </c>
    </row>
    <row r="573" spans="2:7" x14ac:dyDescent="0.3">
      <c r="B573" t="s">
        <v>627</v>
      </c>
      <c r="C573" s="3" t="str" cm="1">
        <f t="array" ref="C573">_xlfn.XLOOKUP(1,(pivot!$A$2:$A$1946=Table3[[#This Row],[Müştəri adı]])*(pivot!$C$2:$C$1946=_xlfn.MAXIFS(pivot!$C$2:$C$1946,pivot!$A$2:$A$1946,Table3[[#This Row],[Müştəri adı]])),pivot!$B$2:$B$1946)</f>
        <v>RespondsToMailOffers</v>
      </c>
      <c r="D573" s="22" cm="1">
        <f t="array" ref="D573">_xlfn.XLOOKUP(1,
  (pivot!$A$2:$A$1946=endirim!B573) * (pivot!$C$2:$C$1946 = _xlfn.MAXIFS(pivot!$C$2:$C$1946, pivot!$A$2:$A$1946, endirim!B573)),
  pivot!$D$2:$D$1946)</f>
        <v>27</v>
      </c>
      <c r="E573" s="3" t="str" cm="1">
        <f t="array" ref="E573">_xlfn.XLOOKUP(1,
    (pivot!$A$2:$A$1946=endirim!B573) * (pivot!$D$2:$D$1946 = _xlfn.MAXIFS(pivot!$D$2:$D$1946, pivot!$A$2:$A$1946, endirim!B573)),
    pivot!$B$2:$B$1946)</f>
        <v>RespondsToMailOffers</v>
      </c>
      <c r="F573" s="22">
        <f>_xlfn.MAXIFS(pivot!$D$2:$D$1946, pivot!$A$2:$A$1946, endirim!B573)</f>
        <v>27</v>
      </c>
      <c r="G573" s="3" t="str">
        <f t="shared" si="8"/>
        <v>Təklif yoxdur</v>
      </c>
    </row>
    <row r="574" spans="2:7" x14ac:dyDescent="0.3">
      <c r="B574" t="s">
        <v>628</v>
      </c>
      <c r="C574" s="3" t="str" cm="1">
        <f t="array" ref="C574">_xlfn.XLOOKUP(1,(pivot!$A$2:$A$1946=Table3[[#This Row],[Müştəri adı]])*(pivot!$C$2:$C$1946=_xlfn.MAXIFS(pivot!$C$2:$C$1946,pivot!$A$2:$A$1946,Table3[[#This Row],[Müştəri adı]])),pivot!$B$2:$B$1946)</f>
        <v>TruckOwner</v>
      </c>
      <c r="D574" s="22" cm="1">
        <f t="array" ref="D574">_xlfn.XLOOKUP(1,
  (pivot!$A$2:$A$1946=endirim!B574) * (pivot!$C$2:$C$1946 = _xlfn.MAXIFS(pivot!$C$2:$C$1946, pivot!$A$2:$A$1946, endirim!B574)),
  pivot!$D$2:$D$1946)</f>
        <v>26</v>
      </c>
      <c r="E574" s="3" t="str" cm="1">
        <f t="array" ref="E574">_xlfn.XLOOKUP(1,
    (pivot!$A$2:$A$1946=endirim!B574) * (pivot!$D$2:$D$1946 = _xlfn.MAXIFS(pivot!$D$2:$D$1946, pivot!$A$2:$A$1946, endirim!B574)),
    pivot!$B$2:$B$1946)</f>
        <v>OptOutMailings</v>
      </c>
      <c r="F574" s="22">
        <f>_xlfn.MAXIFS(pivot!$D$2:$D$1946, pivot!$A$2:$A$1946, endirim!B574)</f>
        <v>75</v>
      </c>
      <c r="G574" s="3" t="str">
        <f t="shared" si="8"/>
        <v>OptOutMailings Kompaniyasını 20% endirimlə təklif et</v>
      </c>
    </row>
    <row r="575" spans="2:7" x14ac:dyDescent="0.3">
      <c r="B575" t="s">
        <v>629</v>
      </c>
      <c r="C575" s="3" t="str" cm="1">
        <f t="array" ref="C575">_xlfn.XLOOKUP(1,(pivot!$A$2:$A$1946=Table3[[#This Row],[Müştəri adı]])*(pivot!$C$2:$C$1946=_xlfn.MAXIFS(pivot!$C$2:$C$1946,pivot!$A$2:$A$1946,Table3[[#This Row],[Müştəri adı]])),pivot!$B$2:$B$1946)</f>
        <v>TruckOwner</v>
      </c>
      <c r="D575" s="22" cm="1">
        <f t="array" ref="D575">_xlfn.XLOOKUP(1,
  (pivot!$A$2:$A$1946=endirim!B575) * (pivot!$C$2:$C$1946 = _xlfn.MAXIFS(pivot!$C$2:$C$1946, pivot!$A$2:$A$1946, endirim!B575)),
  pivot!$D$2:$D$1946)</f>
        <v>26</v>
      </c>
      <c r="E575" s="3" t="str" cm="1">
        <f t="array" ref="E575">_xlfn.XLOOKUP(1,
    (pivot!$A$2:$A$1946=endirim!B575) * (pivot!$D$2:$D$1946 = _xlfn.MAXIFS(pivot!$D$2:$D$1946, pivot!$A$2:$A$1946, endirim!B575)),
    pivot!$B$2:$B$1946)</f>
        <v>TruckOwner</v>
      </c>
      <c r="F575" s="22">
        <f>_xlfn.MAXIFS(pivot!$D$2:$D$1946, pivot!$A$2:$A$1946, endirim!B575)</f>
        <v>26</v>
      </c>
      <c r="G575" s="3" t="str">
        <f t="shared" si="8"/>
        <v>Təklif yoxdur</v>
      </c>
    </row>
    <row r="576" spans="2:7" x14ac:dyDescent="0.3">
      <c r="B576" t="s">
        <v>630</v>
      </c>
      <c r="C576" s="3" t="str" cm="1">
        <f t="array" ref="C576">_xlfn.XLOOKUP(1,(pivot!$A$2:$A$1946=Table3[[#This Row],[Müştəri adı]])*(pivot!$C$2:$C$1946=_xlfn.MAXIFS(pivot!$C$2:$C$1946,pivot!$A$2:$A$1946,Table3[[#This Row],[Müştəri adı]])),pivot!$B$2:$B$1946)</f>
        <v>OptOutMailings</v>
      </c>
      <c r="D576" s="22" cm="1">
        <f t="array" ref="D576">_xlfn.XLOOKUP(1,
  (pivot!$A$2:$A$1946=endirim!B576) * (pivot!$C$2:$C$1946 = _xlfn.MAXIFS(pivot!$C$2:$C$1946, pivot!$A$2:$A$1946, endirim!B576)),
  pivot!$D$2:$D$1946)</f>
        <v>75</v>
      </c>
      <c r="E576" s="3" t="str" cm="1">
        <f t="array" ref="E576">_xlfn.XLOOKUP(1,
    (pivot!$A$2:$A$1946=endirim!B576) * (pivot!$D$2:$D$1946 = _xlfn.MAXIFS(pivot!$D$2:$D$1946, pivot!$A$2:$A$1946, endirim!B576)),
    pivot!$B$2:$B$1946)</f>
        <v>OptOutMailings</v>
      </c>
      <c r="F576" s="22">
        <f>_xlfn.MAXIFS(pivot!$D$2:$D$1946, pivot!$A$2:$A$1946, endirim!B576)</f>
        <v>75</v>
      </c>
      <c r="G576" s="3" t="str">
        <f t="shared" si="8"/>
        <v>Təklif yoxdur</v>
      </c>
    </row>
    <row r="577" spans="2:7" x14ac:dyDescent="0.3">
      <c r="B577" t="s">
        <v>631</v>
      </c>
      <c r="C577" s="3" t="str" cm="1">
        <f t="array" ref="C577">_xlfn.XLOOKUP(1,(pivot!$A$2:$A$1946=Table3[[#This Row],[Müştəri adı]])*(pivot!$C$2:$C$1946=_xlfn.MAXIFS(pivot!$C$2:$C$1946,pivot!$A$2:$A$1946,Table3[[#This Row],[Müştəri adı]])),pivot!$B$2:$B$1946)</f>
        <v>HandsetWebCapable</v>
      </c>
      <c r="D577" s="22" cm="1">
        <f t="array" ref="D577">_xlfn.XLOOKUP(1,
  (pivot!$A$2:$A$1946=endirim!B577) * (pivot!$C$2:$C$1946 = _xlfn.MAXIFS(pivot!$C$2:$C$1946, pivot!$A$2:$A$1946, endirim!B577)),
  pivot!$D$2:$D$1946)</f>
        <v>62</v>
      </c>
      <c r="E577" s="3" t="str" cm="1">
        <f t="array" ref="E577">_xlfn.XLOOKUP(1,
    (pivot!$A$2:$A$1946=endirim!B577) * (pivot!$D$2:$D$1946 = _xlfn.MAXIFS(pivot!$D$2:$D$1946, pivot!$A$2:$A$1946, endirim!B577)),
    pivot!$B$2:$B$1946)</f>
        <v>HandsetWebCapable</v>
      </c>
      <c r="F577" s="22">
        <f>_xlfn.MAXIFS(pivot!$D$2:$D$1946, pivot!$A$2:$A$1946, endirim!B577)</f>
        <v>62</v>
      </c>
      <c r="G577" s="3" t="str">
        <f t="shared" si="8"/>
        <v>Təklif yoxdur</v>
      </c>
    </row>
    <row r="578" spans="2:7" x14ac:dyDescent="0.3">
      <c r="B578" t="s">
        <v>632</v>
      </c>
      <c r="C578" s="3" t="str" cm="1">
        <f t="array" ref="C578">_xlfn.XLOOKUP(1,(pivot!$A$2:$A$1946=Table3[[#This Row],[Müştəri adı]])*(pivot!$C$2:$C$1946=_xlfn.MAXIFS(pivot!$C$2:$C$1946,pivot!$A$2:$A$1946,Table3[[#This Row],[Müştəri adı]])),pivot!$B$2:$B$1946)</f>
        <v>TruckOwner</v>
      </c>
      <c r="D578" s="22" cm="1">
        <f t="array" ref="D578">_xlfn.XLOOKUP(1,
  (pivot!$A$2:$A$1946=endirim!B578) * (pivot!$C$2:$C$1946 = _xlfn.MAXIFS(pivot!$C$2:$C$1946, pivot!$A$2:$A$1946, endirim!B578)),
  pivot!$D$2:$D$1946)</f>
        <v>26</v>
      </c>
      <c r="E578" s="3" t="str" cm="1">
        <f t="array" ref="E578">_xlfn.XLOOKUP(1,
    (pivot!$A$2:$A$1946=endirim!B578) * (pivot!$D$2:$D$1946 = _xlfn.MAXIFS(pivot!$D$2:$D$1946, pivot!$A$2:$A$1946, endirim!B578)),
    pivot!$B$2:$B$1946)</f>
        <v>TruckOwner</v>
      </c>
      <c r="F578" s="22">
        <f>_xlfn.MAXIFS(pivot!$D$2:$D$1946, pivot!$A$2:$A$1946, endirim!B578)</f>
        <v>26</v>
      </c>
      <c r="G578" s="3" t="str">
        <f t="shared" si="8"/>
        <v>Təklif yoxdur</v>
      </c>
    </row>
    <row r="579" spans="2:7" x14ac:dyDescent="0.3">
      <c r="B579" t="s">
        <v>633</v>
      </c>
      <c r="C579" s="3" t="str" cm="1">
        <f t="array" ref="C579">_xlfn.XLOOKUP(1,(pivot!$A$2:$A$1946=Table3[[#This Row],[Müştəri adı]])*(pivot!$C$2:$C$1946=_xlfn.MAXIFS(pivot!$C$2:$C$1946,pivot!$A$2:$A$1946,Table3[[#This Row],[Müştəri adı]])),pivot!$B$2:$B$1946)</f>
        <v>ChildrenInHH</v>
      </c>
      <c r="D579" s="22" cm="1">
        <f t="array" ref="D579">_xlfn.XLOOKUP(1,
  (pivot!$A$2:$A$1946=endirim!B579) * (pivot!$C$2:$C$1946 = _xlfn.MAXIFS(pivot!$C$2:$C$1946, pivot!$A$2:$A$1946, endirim!B579)),
  pivot!$D$2:$D$1946)</f>
        <v>10</v>
      </c>
      <c r="E579" s="3" t="str" cm="1">
        <f t="array" ref="E579">_xlfn.XLOOKUP(1,
    (pivot!$A$2:$A$1946=endirim!B579) * (pivot!$D$2:$D$1946 = _xlfn.MAXIFS(pivot!$D$2:$D$1946, pivot!$A$2:$A$1946, endirim!B579)),
    pivot!$B$2:$B$1946)</f>
        <v>RespondsToMailOffers</v>
      </c>
      <c r="F579" s="22">
        <f>_xlfn.MAXIFS(pivot!$D$2:$D$1946, pivot!$A$2:$A$1946, endirim!B579)</f>
        <v>27</v>
      </c>
      <c r="G579" s="3" t="str">
        <f t="shared" si="8"/>
        <v>RespondsToMailOffers Kompaniyasını 20% endirimlə təklif et</v>
      </c>
    </row>
    <row r="580" spans="2:7" x14ac:dyDescent="0.3">
      <c r="B580" t="s">
        <v>634</v>
      </c>
      <c r="C580" s="3" t="str" cm="1">
        <f t="array" ref="C580">_xlfn.XLOOKUP(1,(pivot!$A$2:$A$1946=Table3[[#This Row],[Müştəri adı]])*(pivot!$C$2:$C$1946=_xlfn.MAXIFS(pivot!$C$2:$C$1946,pivot!$A$2:$A$1946,Table3[[#This Row],[Müştəri adı]])),pivot!$B$2:$B$1946)</f>
        <v>NonUSTravel</v>
      </c>
      <c r="D580" s="22" cm="1">
        <f t="array" ref="D580">_xlfn.XLOOKUP(1,
  (pivot!$A$2:$A$1946=endirim!B580) * (pivot!$C$2:$C$1946 = _xlfn.MAXIFS(pivot!$C$2:$C$1946, pivot!$A$2:$A$1946, endirim!B580)),
  pivot!$D$2:$D$1946)</f>
        <v>66</v>
      </c>
      <c r="E580" s="3" t="str" cm="1">
        <f t="array" ref="E580">_xlfn.XLOOKUP(1,
    (pivot!$A$2:$A$1946=endirim!B580) * (pivot!$D$2:$D$1946 = _xlfn.MAXIFS(pivot!$D$2:$D$1946, pivot!$A$2:$A$1946, endirim!B580)),
    pivot!$B$2:$B$1946)</f>
        <v>NonUSTravel</v>
      </c>
      <c r="F580" s="22">
        <f>_xlfn.MAXIFS(pivot!$D$2:$D$1946, pivot!$A$2:$A$1946, endirim!B580)</f>
        <v>66</v>
      </c>
      <c r="G580" s="3" t="str">
        <f t="shared" ref="G580:G643" si="9">IF(D580=F580, "Təklif yoxdur", E580&amp;" Kompaniyasını 20% endirimlə təklif et")</f>
        <v>Təklif yoxdur</v>
      </c>
    </row>
    <row r="581" spans="2:7" x14ac:dyDescent="0.3">
      <c r="B581" t="s">
        <v>635</v>
      </c>
      <c r="C581" s="3" t="str" cm="1">
        <f t="array" ref="C581">_xlfn.XLOOKUP(1,(pivot!$A$2:$A$1946=Table3[[#This Row],[Müştəri adı]])*(pivot!$C$2:$C$1946=_xlfn.MAXIFS(pivot!$C$2:$C$1946,pivot!$A$2:$A$1946,Table3[[#This Row],[Müştəri adı]])),pivot!$B$2:$B$1946)</f>
        <v>TruckOwner</v>
      </c>
      <c r="D581" s="22" cm="1">
        <f t="array" ref="D581">_xlfn.XLOOKUP(1,
  (pivot!$A$2:$A$1946=endirim!B581) * (pivot!$C$2:$C$1946 = _xlfn.MAXIFS(pivot!$C$2:$C$1946, pivot!$A$2:$A$1946, endirim!B581)),
  pivot!$D$2:$D$1946)</f>
        <v>26</v>
      </c>
      <c r="E581" s="3" t="str" cm="1">
        <f t="array" ref="E581">_xlfn.XLOOKUP(1,
    (pivot!$A$2:$A$1946=endirim!B581) * (pivot!$D$2:$D$1946 = _xlfn.MAXIFS(pivot!$D$2:$D$1946, pivot!$A$2:$A$1946, endirim!B581)),
    pivot!$B$2:$B$1946)</f>
        <v>TruckOwner</v>
      </c>
      <c r="F581" s="22">
        <f>_xlfn.MAXIFS(pivot!$D$2:$D$1946, pivot!$A$2:$A$1946, endirim!B581)</f>
        <v>26</v>
      </c>
      <c r="G581" s="3" t="str">
        <f t="shared" si="9"/>
        <v>Təklif yoxdur</v>
      </c>
    </row>
    <row r="582" spans="2:7" x14ac:dyDescent="0.3">
      <c r="B582" t="s">
        <v>636</v>
      </c>
      <c r="C582" s="3" t="str" cm="1">
        <f t="array" ref="C582">_xlfn.XLOOKUP(1,(pivot!$A$2:$A$1946=Table3[[#This Row],[Müştəri adı]])*(pivot!$C$2:$C$1946=_xlfn.MAXIFS(pivot!$C$2:$C$1946,pivot!$A$2:$A$1946,Table3[[#This Row],[Müştəri adı]])),pivot!$B$2:$B$1946)</f>
        <v>MadeCallToRetentionTeam</v>
      </c>
      <c r="D582" s="22" cm="1">
        <f t="array" ref="D582">_xlfn.XLOOKUP(1,
  (pivot!$A$2:$A$1946=endirim!B582) * (pivot!$C$2:$C$1946 = _xlfn.MAXIFS(pivot!$C$2:$C$1946, pivot!$A$2:$A$1946, endirim!B582)),
  pivot!$D$2:$D$1946)</f>
        <v>16</v>
      </c>
      <c r="E582" s="3" t="str" cm="1">
        <f t="array" ref="E582">_xlfn.XLOOKUP(1,
    (pivot!$A$2:$A$1946=endirim!B582) * (pivot!$D$2:$D$1946 = _xlfn.MAXIFS(pivot!$D$2:$D$1946, pivot!$A$2:$A$1946, endirim!B582)),
    pivot!$B$2:$B$1946)</f>
        <v>MadeCallToRetentionTeam</v>
      </c>
      <c r="F582" s="22">
        <f>_xlfn.MAXIFS(pivot!$D$2:$D$1946, pivot!$A$2:$A$1946, endirim!B582)</f>
        <v>16</v>
      </c>
      <c r="G582" s="3" t="str">
        <f t="shared" si="9"/>
        <v>Təklif yoxdur</v>
      </c>
    </row>
    <row r="583" spans="2:7" x14ac:dyDescent="0.3">
      <c r="B583" t="s">
        <v>637</v>
      </c>
      <c r="C583" s="3" t="str" cm="1">
        <f t="array" ref="C583">_xlfn.XLOOKUP(1,(pivot!$A$2:$A$1946=Table3[[#This Row],[Müştəri adı]])*(pivot!$C$2:$C$1946=_xlfn.MAXIFS(pivot!$C$2:$C$1946,pivot!$A$2:$A$1946,Table3[[#This Row],[Müştəri adı]])),pivot!$B$2:$B$1946)</f>
        <v>HandsetWebCapable</v>
      </c>
      <c r="D583" s="22" cm="1">
        <f t="array" ref="D583">_xlfn.XLOOKUP(1,
  (pivot!$A$2:$A$1946=endirim!B583) * (pivot!$C$2:$C$1946 = _xlfn.MAXIFS(pivot!$C$2:$C$1946, pivot!$A$2:$A$1946, endirim!B583)),
  pivot!$D$2:$D$1946)</f>
        <v>62</v>
      </c>
      <c r="E583" s="3" t="str" cm="1">
        <f t="array" ref="E583">_xlfn.XLOOKUP(1,
    (pivot!$A$2:$A$1946=endirim!B583) * (pivot!$D$2:$D$1946 = _xlfn.MAXIFS(pivot!$D$2:$D$1946, pivot!$A$2:$A$1946, endirim!B583)),
    pivot!$B$2:$B$1946)</f>
        <v>HandsetWebCapable</v>
      </c>
      <c r="F583" s="22">
        <f>_xlfn.MAXIFS(pivot!$D$2:$D$1946, pivot!$A$2:$A$1946, endirim!B583)</f>
        <v>62</v>
      </c>
      <c r="G583" s="3" t="str">
        <f t="shared" si="9"/>
        <v>Təklif yoxdur</v>
      </c>
    </row>
    <row r="584" spans="2:7" x14ac:dyDescent="0.3">
      <c r="B584" t="s">
        <v>638</v>
      </c>
      <c r="C584" s="3" t="str" cm="1">
        <f t="array" ref="C584">_xlfn.XLOOKUP(1,(pivot!$A$2:$A$1946=Table3[[#This Row],[Müştəri adı]])*(pivot!$C$2:$C$1946=_xlfn.MAXIFS(pivot!$C$2:$C$1946,pivot!$A$2:$A$1946,Table3[[#This Row],[Müştəri adı]])),pivot!$B$2:$B$1946)</f>
        <v>BuysViaMailOrder</v>
      </c>
      <c r="D584" s="22" cm="1">
        <f t="array" ref="D584">_xlfn.XLOOKUP(1,
  (pivot!$A$2:$A$1946=endirim!B584) * (pivot!$C$2:$C$1946 = _xlfn.MAXIFS(pivot!$C$2:$C$1946, pivot!$A$2:$A$1946, endirim!B584)),
  pivot!$D$2:$D$1946)</f>
        <v>25</v>
      </c>
      <c r="E584" s="3" t="str" cm="1">
        <f t="array" ref="E584">_xlfn.XLOOKUP(1,
    (pivot!$A$2:$A$1946=endirim!B584) * (pivot!$D$2:$D$1946 = _xlfn.MAXIFS(pivot!$D$2:$D$1946, pivot!$A$2:$A$1946, endirim!B584)),
    pivot!$B$2:$B$1946)</f>
        <v>OwnsComputer</v>
      </c>
      <c r="F584" s="22">
        <f>_xlfn.MAXIFS(pivot!$D$2:$D$1946, pivot!$A$2:$A$1946, endirim!B584)</f>
        <v>62</v>
      </c>
      <c r="G584" s="3" t="str">
        <f t="shared" si="9"/>
        <v>OwnsComputer Kompaniyasını 20% endirimlə təklif et</v>
      </c>
    </row>
    <row r="585" spans="2:7" x14ac:dyDescent="0.3">
      <c r="B585" t="s">
        <v>639</v>
      </c>
      <c r="C585" s="3" t="str" cm="1">
        <f t="array" ref="C585">_xlfn.XLOOKUP(1,(pivot!$A$2:$A$1946=Table3[[#This Row],[Müştəri adı]])*(pivot!$C$2:$C$1946=_xlfn.MAXIFS(pivot!$C$2:$C$1946,pivot!$A$2:$A$1946,Table3[[#This Row],[Müştəri adı]])),pivot!$B$2:$B$1946)</f>
        <v>MadeCallToRetentionTeam</v>
      </c>
      <c r="D585" s="22" cm="1">
        <f t="array" ref="D585">_xlfn.XLOOKUP(1,
  (pivot!$A$2:$A$1946=endirim!B585) * (pivot!$C$2:$C$1946 = _xlfn.MAXIFS(pivot!$C$2:$C$1946, pivot!$A$2:$A$1946, endirim!B585)),
  pivot!$D$2:$D$1946)</f>
        <v>16</v>
      </c>
      <c r="E585" s="3" t="str" cm="1">
        <f t="array" ref="E585">_xlfn.XLOOKUP(1,
    (pivot!$A$2:$A$1946=endirim!B585) * (pivot!$D$2:$D$1946 = _xlfn.MAXIFS(pivot!$D$2:$D$1946, pivot!$A$2:$A$1946, endirim!B585)),
    pivot!$B$2:$B$1946)</f>
        <v>NewCellphoneUser</v>
      </c>
      <c r="F585" s="22">
        <f>_xlfn.MAXIFS(pivot!$D$2:$D$1946, pivot!$A$2:$A$1946, endirim!B585)</f>
        <v>25</v>
      </c>
      <c r="G585" s="3" t="str">
        <f t="shared" si="9"/>
        <v>NewCellphoneUser Kompaniyasını 20% endirimlə təklif et</v>
      </c>
    </row>
    <row r="586" spans="2:7" x14ac:dyDescent="0.3">
      <c r="B586" t="s">
        <v>640</v>
      </c>
      <c r="C586" s="3" t="str" cm="1">
        <f t="array" ref="C586">_xlfn.XLOOKUP(1,(pivot!$A$2:$A$1946=Table3[[#This Row],[Müştəri adı]])*(pivot!$C$2:$C$1946=_xlfn.MAXIFS(pivot!$C$2:$C$1946,pivot!$A$2:$A$1946,Table3[[#This Row],[Müştəri adı]])),pivot!$B$2:$B$1946)</f>
        <v>NonUSTravel</v>
      </c>
      <c r="D586" s="22" cm="1">
        <f t="array" ref="D586">_xlfn.XLOOKUP(1,
  (pivot!$A$2:$A$1946=endirim!B586) * (pivot!$C$2:$C$1946 = _xlfn.MAXIFS(pivot!$C$2:$C$1946, pivot!$A$2:$A$1946, endirim!B586)),
  pivot!$D$2:$D$1946)</f>
        <v>66</v>
      </c>
      <c r="E586" s="3" t="str" cm="1">
        <f t="array" ref="E586">_xlfn.XLOOKUP(1,
    (pivot!$A$2:$A$1946=endirim!B586) * (pivot!$D$2:$D$1946 = _xlfn.MAXIFS(pivot!$D$2:$D$1946, pivot!$A$2:$A$1946, endirim!B586)),
    pivot!$B$2:$B$1946)</f>
        <v>NonUSTravel</v>
      </c>
      <c r="F586" s="22">
        <f>_xlfn.MAXIFS(pivot!$D$2:$D$1946, pivot!$A$2:$A$1946, endirim!B586)</f>
        <v>66</v>
      </c>
      <c r="G586" s="3" t="str">
        <f t="shared" si="9"/>
        <v>Təklif yoxdur</v>
      </c>
    </row>
    <row r="587" spans="2:7" x14ac:dyDescent="0.3">
      <c r="B587" t="s">
        <v>641</v>
      </c>
      <c r="C587" s="3" t="str" cm="1">
        <f t="array" ref="C587">_xlfn.XLOOKUP(1,(pivot!$A$2:$A$1946=Table3[[#This Row],[Müştəri adı]])*(pivot!$C$2:$C$1946=_xlfn.MAXIFS(pivot!$C$2:$C$1946,pivot!$A$2:$A$1946,Table3[[#This Row],[Müştəri adı]])),pivot!$B$2:$B$1946)</f>
        <v>NonUSTravel</v>
      </c>
      <c r="D587" s="22" cm="1">
        <f t="array" ref="D587">_xlfn.XLOOKUP(1,
  (pivot!$A$2:$A$1946=endirim!B587) * (pivot!$C$2:$C$1946 = _xlfn.MAXIFS(pivot!$C$2:$C$1946, pivot!$A$2:$A$1946, endirim!B587)),
  pivot!$D$2:$D$1946)</f>
        <v>66</v>
      </c>
      <c r="E587" s="3" t="str" cm="1">
        <f t="array" ref="E587">_xlfn.XLOOKUP(1,
    (pivot!$A$2:$A$1946=endirim!B587) * (pivot!$D$2:$D$1946 = _xlfn.MAXIFS(pivot!$D$2:$D$1946, pivot!$A$2:$A$1946, endirim!B587)),
    pivot!$B$2:$B$1946)</f>
        <v>NonUSTravel</v>
      </c>
      <c r="F587" s="22">
        <f>_xlfn.MAXIFS(pivot!$D$2:$D$1946, pivot!$A$2:$A$1946, endirim!B587)</f>
        <v>66</v>
      </c>
      <c r="G587" s="3" t="str">
        <f t="shared" si="9"/>
        <v>Təklif yoxdur</v>
      </c>
    </row>
    <row r="588" spans="2:7" x14ac:dyDescent="0.3">
      <c r="B588" t="s">
        <v>642</v>
      </c>
      <c r="C588" s="3" t="str" cm="1">
        <f t="array" ref="C588">_xlfn.XLOOKUP(1,(pivot!$A$2:$A$1946=Table3[[#This Row],[Müştəri adı]])*(pivot!$C$2:$C$1946=_xlfn.MAXIFS(pivot!$C$2:$C$1946,pivot!$A$2:$A$1946,Table3[[#This Row],[Müştəri adı]])),pivot!$B$2:$B$1946)</f>
        <v>ChildrenInHH</v>
      </c>
      <c r="D588" s="22" cm="1">
        <f t="array" ref="D588">_xlfn.XLOOKUP(1,
  (pivot!$A$2:$A$1946=endirim!B588) * (pivot!$C$2:$C$1946 = _xlfn.MAXIFS(pivot!$C$2:$C$1946, pivot!$A$2:$A$1946, endirim!B588)),
  pivot!$D$2:$D$1946)</f>
        <v>10</v>
      </c>
      <c r="E588" s="3" t="str" cm="1">
        <f t="array" ref="E588">_xlfn.XLOOKUP(1,
    (pivot!$A$2:$A$1946=endirim!B588) * (pivot!$D$2:$D$1946 = _xlfn.MAXIFS(pivot!$D$2:$D$1946, pivot!$A$2:$A$1946, endirim!B588)),
    pivot!$B$2:$B$1946)</f>
        <v>RespondsToMailOffers</v>
      </c>
      <c r="F588" s="22">
        <f>_xlfn.MAXIFS(pivot!$D$2:$D$1946, pivot!$A$2:$A$1946, endirim!B588)</f>
        <v>27</v>
      </c>
      <c r="G588" s="3" t="str">
        <f t="shared" si="9"/>
        <v>RespondsToMailOffers Kompaniyasını 20% endirimlə təklif et</v>
      </c>
    </row>
    <row r="589" spans="2:7" x14ac:dyDescent="0.3">
      <c r="B589" t="s">
        <v>643</v>
      </c>
      <c r="C589" s="3" t="str" cm="1">
        <f t="array" ref="C589">_xlfn.XLOOKUP(1,(pivot!$A$2:$A$1946=Table3[[#This Row],[Müştəri adı]])*(pivot!$C$2:$C$1946=_xlfn.MAXIFS(pivot!$C$2:$C$1946,pivot!$A$2:$A$1946,Table3[[#This Row],[Müştəri adı]])),pivot!$B$2:$B$1946)</f>
        <v>NonUSTravel</v>
      </c>
      <c r="D589" s="22" cm="1">
        <f t="array" ref="D589">_xlfn.XLOOKUP(1,
  (pivot!$A$2:$A$1946=endirim!B589) * (pivot!$C$2:$C$1946 = _xlfn.MAXIFS(pivot!$C$2:$C$1946, pivot!$A$2:$A$1946, endirim!B589)),
  pivot!$D$2:$D$1946)</f>
        <v>66</v>
      </c>
      <c r="E589" s="3" t="str" cm="1">
        <f t="array" ref="E589">_xlfn.XLOOKUP(1,
    (pivot!$A$2:$A$1946=endirim!B589) * (pivot!$D$2:$D$1946 = _xlfn.MAXIFS(pivot!$D$2:$D$1946, pivot!$A$2:$A$1946, endirim!B589)),
    pivot!$B$2:$B$1946)</f>
        <v>NonUSTravel</v>
      </c>
      <c r="F589" s="22">
        <f>_xlfn.MAXIFS(pivot!$D$2:$D$1946, pivot!$A$2:$A$1946, endirim!B589)</f>
        <v>66</v>
      </c>
      <c r="G589" s="3" t="str">
        <f t="shared" si="9"/>
        <v>Təklif yoxdur</v>
      </c>
    </row>
    <row r="590" spans="2:7" x14ac:dyDescent="0.3">
      <c r="B590" t="s">
        <v>644</v>
      </c>
      <c r="C590" s="3" t="str" cm="1">
        <f t="array" ref="C590">_xlfn.XLOOKUP(1,(pivot!$A$2:$A$1946=Table3[[#This Row],[Müştəri adı]])*(pivot!$C$2:$C$1946=_xlfn.MAXIFS(pivot!$C$2:$C$1946,pivot!$A$2:$A$1946,Table3[[#This Row],[Müştəri adı]])),pivot!$B$2:$B$1946)</f>
        <v>RVOwner</v>
      </c>
      <c r="D590" s="22" cm="1">
        <f t="array" ref="D590">_xlfn.XLOOKUP(1,
  (pivot!$A$2:$A$1946=endirim!B590) * (pivot!$C$2:$C$1946 = _xlfn.MAXIFS(pivot!$C$2:$C$1946, pivot!$A$2:$A$1946, endirim!B590)),
  pivot!$D$2:$D$1946)</f>
        <v>22</v>
      </c>
      <c r="E590" s="3" t="str" cm="1">
        <f t="array" ref="E590">_xlfn.XLOOKUP(1,
    (pivot!$A$2:$A$1946=endirim!B590) * (pivot!$D$2:$D$1946 = _xlfn.MAXIFS(pivot!$D$2:$D$1946, pivot!$A$2:$A$1946, endirim!B590)),
    pivot!$B$2:$B$1946)</f>
        <v>RVOwner</v>
      </c>
      <c r="F590" s="22">
        <f>_xlfn.MAXIFS(pivot!$D$2:$D$1946, pivot!$A$2:$A$1946, endirim!B590)</f>
        <v>22</v>
      </c>
      <c r="G590" s="3" t="str">
        <f t="shared" si="9"/>
        <v>Təklif yoxdur</v>
      </c>
    </row>
    <row r="591" spans="2:7" x14ac:dyDescent="0.3">
      <c r="B591" t="s">
        <v>645</v>
      </c>
      <c r="C591" s="3" t="str" cm="1">
        <f t="array" ref="C591">_xlfn.XLOOKUP(1,(pivot!$A$2:$A$1946=Table3[[#This Row],[Müştəri adı]])*(pivot!$C$2:$C$1946=_xlfn.MAXIFS(pivot!$C$2:$C$1946,pivot!$A$2:$A$1946,Table3[[#This Row],[Müştəri adı]])),pivot!$B$2:$B$1946)</f>
        <v>ChildrenInHH</v>
      </c>
      <c r="D591" s="22" cm="1">
        <f t="array" ref="D591">_xlfn.XLOOKUP(1,
  (pivot!$A$2:$A$1946=endirim!B591) * (pivot!$C$2:$C$1946 = _xlfn.MAXIFS(pivot!$C$2:$C$1946, pivot!$A$2:$A$1946, endirim!B591)),
  pivot!$D$2:$D$1946)</f>
        <v>10</v>
      </c>
      <c r="E591" s="3" t="str" cm="1">
        <f t="array" ref="E591">_xlfn.XLOOKUP(1,
    (pivot!$A$2:$A$1946=endirim!B591) * (pivot!$D$2:$D$1946 = _xlfn.MAXIFS(pivot!$D$2:$D$1946, pivot!$A$2:$A$1946, endirim!B591)),
    pivot!$B$2:$B$1946)</f>
        <v>MadeCallToRetentionTeam</v>
      </c>
      <c r="F591" s="22">
        <f>_xlfn.MAXIFS(pivot!$D$2:$D$1946, pivot!$A$2:$A$1946, endirim!B591)</f>
        <v>16</v>
      </c>
      <c r="G591" s="3" t="str">
        <f t="shared" si="9"/>
        <v>MadeCallToRetentionTeam Kompaniyasını 20% endirimlə təklif et</v>
      </c>
    </row>
    <row r="592" spans="2:7" x14ac:dyDescent="0.3">
      <c r="B592" t="s">
        <v>646</v>
      </c>
      <c r="C592" s="3" t="str" cm="1">
        <f t="array" ref="C592">_xlfn.XLOOKUP(1,(pivot!$A$2:$A$1946=Table3[[#This Row],[Müştəri adı]])*(pivot!$C$2:$C$1946=_xlfn.MAXIFS(pivot!$C$2:$C$1946,pivot!$A$2:$A$1946,Table3[[#This Row],[Müştəri adı]])),pivot!$B$2:$B$1946)</f>
        <v>NewCellphoneUser</v>
      </c>
      <c r="D592" s="22" cm="1">
        <f t="array" ref="D592">_xlfn.XLOOKUP(1,
  (pivot!$A$2:$A$1946=endirim!B592) * (pivot!$C$2:$C$1946 = _xlfn.MAXIFS(pivot!$C$2:$C$1946, pivot!$A$2:$A$1946, endirim!B592)),
  pivot!$D$2:$D$1946)</f>
        <v>25</v>
      </c>
      <c r="E592" s="3" t="str" cm="1">
        <f t="array" ref="E592">_xlfn.XLOOKUP(1,
    (pivot!$A$2:$A$1946=endirim!B592) * (pivot!$D$2:$D$1946 = _xlfn.MAXIFS(pivot!$D$2:$D$1946, pivot!$A$2:$A$1946, endirim!B592)),
    pivot!$B$2:$B$1946)</f>
        <v>NewCellphoneUser</v>
      </c>
      <c r="F592" s="22">
        <f>_xlfn.MAXIFS(pivot!$D$2:$D$1946, pivot!$A$2:$A$1946, endirim!B592)</f>
        <v>25</v>
      </c>
      <c r="G592" s="3" t="str">
        <f t="shared" si="9"/>
        <v>Təklif yoxdur</v>
      </c>
    </row>
    <row r="593" spans="2:7" x14ac:dyDescent="0.3">
      <c r="B593" t="s">
        <v>647</v>
      </c>
      <c r="C593" s="3" t="str" cm="1">
        <f t="array" ref="C593">_xlfn.XLOOKUP(1,(pivot!$A$2:$A$1946=Table3[[#This Row],[Müştəri adı]])*(pivot!$C$2:$C$1946=_xlfn.MAXIFS(pivot!$C$2:$C$1946,pivot!$A$2:$A$1946,Table3[[#This Row],[Müştəri adı]])),pivot!$B$2:$B$1946)</f>
        <v>MadeCallToRetentionTeam</v>
      </c>
      <c r="D593" s="22" cm="1">
        <f t="array" ref="D593">_xlfn.XLOOKUP(1,
  (pivot!$A$2:$A$1946=endirim!B593) * (pivot!$C$2:$C$1946 = _xlfn.MAXIFS(pivot!$C$2:$C$1946, pivot!$A$2:$A$1946, endirim!B593)),
  pivot!$D$2:$D$1946)</f>
        <v>16</v>
      </c>
      <c r="E593" s="3" t="str" cm="1">
        <f t="array" ref="E593">_xlfn.XLOOKUP(1,
    (pivot!$A$2:$A$1946=endirim!B593) * (pivot!$D$2:$D$1946 = _xlfn.MAXIFS(pivot!$D$2:$D$1946, pivot!$A$2:$A$1946, endirim!B593)),
    pivot!$B$2:$B$1946)</f>
        <v>NewCellphoneUser</v>
      </c>
      <c r="F593" s="22">
        <f>_xlfn.MAXIFS(pivot!$D$2:$D$1946, pivot!$A$2:$A$1946, endirim!B593)</f>
        <v>25</v>
      </c>
      <c r="G593" s="3" t="str">
        <f t="shared" si="9"/>
        <v>NewCellphoneUser Kompaniyasını 20% endirimlə təklif et</v>
      </c>
    </row>
    <row r="594" spans="2:7" x14ac:dyDescent="0.3">
      <c r="B594" t="s">
        <v>648</v>
      </c>
      <c r="C594" s="3" t="str" cm="1">
        <f t="array" ref="C594">_xlfn.XLOOKUP(1,(pivot!$A$2:$A$1946=Table3[[#This Row],[Müştəri adı]])*(pivot!$C$2:$C$1946=_xlfn.MAXIFS(pivot!$C$2:$C$1946,pivot!$A$2:$A$1946,Table3[[#This Row],[Müştəri adı]])),pivot!$B$2:$B$1946)</f>
        <v>Homeownership</v>
      </c>
      <c r="D594" s="22" cm="1">
        <f t="array" ref="D594">_xlfn.XLOOKUP(1,
  (pivot!$A$2:$A$1946=endirim!B594) * (pivot!$C$2:$C$1946 = _xlfn.MAXIFS(pivot!$C$2:$C$1946, pivot!$A$2:$A$1946, endirim!B594)),
  pivot!$D$2:$D$1946)</f>
        <v>13</v>
      </c>
      <c r="E594" s="3" t="str" cm="1">
        <f t="array" ref="E594">_xlfn.XLOOKUP(1,
    (pivot!$A$2:$A$1946=endirim!B594) * (pivot!$D$2:$D$1946 = _xlfn.MAXIFS(pivot!$D$2:$D$1946, pivot!$A$2:$A$1946, endirim!B594)),
    pivot!$B$2:$B$1946)</f>
        <v>OwnsComputer</v>
      </c>
      <c r="F594" s="22">
        <f>_xlfn.MAXIFS(pivot!$D$2:$D$1946, pivot!$A$2:$A$1946, endirim!B594)</f>
        <v>62</v>
      </c>
      <c r="G594" s="3" t="str">
        <f t="shared" si="9"/>
        <v>OwnsComputer Kompaniyasını 20% endirimlə təklif et</v>
      </c>
    </row>
    <row r="595" spans="2:7" x14ac:dyDescent="0.3">
      <c r="B595" t="s">
        <v>649</v>
      </c>
      <c r="C595" s="3" t="str" cm="1">
        <f t="array" ref="C595">_xlfn.XLOOKUP(1,(pivot!$A$2:$A$1946=Table3[[#This Row],[Müştəri adı]])*(pivot!$C$2:$C$1946=_xlfn.MAXIFS(pivot!$C$2:$C$1946,pivot!$A$2:$A$1946,Table3[[#This Row],[Müştəri adı]])),pivot!$B$2:$B$1946)</f>
        <v>NotNewCellphoneUser</v>
      </c>
      <c r="D595" s="22" cm="1">
        <f t="array" ref="D595">_xlfn.XLOOKUP(1,
  (pivot!$A$2:$A$1946=endirim!B595) * (pivot!$C$2:$C$1946 = _xlfn.MAXIFS(pivot!$C$2:$C$1946, pivot!$A$2:$A$1946, endirim!B595)),
  pivot!$D$2:$D$1946)</f>
        <v>28</v>
      </c>
      <c r="E595" s="3" t="str" cm="1">
        <f t="array" ref="E595">_xlfn.XLOOKUP(1,
    (pivot!$A$2:$A$1946=endirim!B595) * (pivot!$D$2:$D$1946 = _xlfn.MAXIFS(pivot!$D$2:$D$1946, pivot!$A$2:$A$1946, endirim!B595)),
    pivot!$B$2:$B$1946)</f>
        <v>HandsetWebCapable</v>
      </c>
      <c r="F595" s="22">
        <f>_xlfn.MAXIFS(pivot!$D$2:$D$1946, pivot!$A$2:$A$1946, endirim!B595)</f>
        <v>62</v>
      </c>
      <c r="G595" s="3" t="str">
        <f t="shared" si="9"/>
        <v>HandsetWebCapable Kompaniyasını 20% endirimlə təklif et</v>
      </c>
    </row>
    <row r="596" spans="2:7" x14ac:dyDescent="0.3">
      <c r="B596" t="s">
        <v>650</v>
      </c>
      <c r="C596" s="3" t="str" cm="1">
        <f t="array" ref="C596">_xlfn.XLOOKUP(1,(pivot!$A$2:$A$1946=Table3[[#This Row],[Müştəri adı]])*(pivot!$C$2:$C$1946=_xlfn.MAXIFS(pivot!$C$2:$C$1946,pivot!$A$2:$A$1946,Table3[[#This Row],[Müştəri adı]])),pivot!$B$2:$B$1946)</f>
        <v>Homeownership</v>
      </c>
      <c r="D596" s="22" cm="1">
        <f t="array" ref="D596">_xlfn.XLOOKUP(1,
  (pivot!$A$2:$A$1946=endirim!B596) * (pivot!$C$2:$C$1946 = _xlfn.MAXIFS(pivot!$C$2:$C$1946, pivot!$A$2:$A$1946, endirim!B596)),
  pivot!$D$2:$D$1946)</f>
        <v>13</v>
      </c>
      <c r="E596" s="3" t="str" cm="1">
        <f t="array" ref="E596">_xlfn.XLOOKUP(1,
    (pivot!$A$2:$A$1946=endirim!B596) * (pivot!$D$2:$D$1946 = _xlfn.MAXIFS(pivot!$D$2:$D$1946, pivot!$A$2:$A$1946, endirim!B596)),
    pivot!$B$2:$B$1946)</f>
        <v>MaritalStatus</v>
      </c>
      <c r="F596" s="22">
        <f>_xlfn.MAXIFS(pivot!$D$2:$D$1946, pivot!$A$2:$A$1946, endirim!B596)</f>
        <v>29</v>
      </c>
      <c r="G596" s="3" t="str">
        <f t="shared" si="9"/>
        <v>MaritalStatus Kompaniyasını 20% endirimlə təklif et</v>
      </c>
    </row>
    <row r="597" spans="2:7" x14ac:dyDescent="0.3">
      <c r="B597" t="s">
        <v>651</v>
      </c>
      <c r="C597" s="3" t="str" cm="1">
        <f t="array" ref="C597">_xlfn.XLOOKUP(1,(pivot!$A$2:$A$1946=Table3[[#This Row],[Müştəri adı]])*(pivot!$C$2:$C$1946=_xlfn.MAXIFS(pivot!$C$2:$C$1946,pivot!$A$2:$A$1946,Table3[[#This Row],[Müştəri adı]])),pivot!$B$2:$B$1946)</f>
        <v>TruckOwner</v>
      </c>
      <c r="D597" s="22" cm="1">
        <f t="array" ref="D597">_xlfn.XLOOKUP(1,
  (pivot!$A$2:$A$1946=endirim!B597) * (pivot!$C$2:$C$1946 = _xlfn.MAXIFS(pivot!$C$2:$C$1946, pivot!$A$2:$A$1946, endirim!B597)),
  pivot!$D$2:$D$1946)</f>
        <v>26</v>
      </c>
      <c r="E597" s="3" t="str" cm="1">
        <f t="array" ref="E597">_xlfn.XLOOKUP(1,
    (pivot!$A$2:$A$1946=endirim!B597) * (pivot!$D$2:$D$1946 = _xlfn.MAXIFS(pivot!$D$2:$D$1946, pivot!$A$2:$A$1946, endirim!B597)),
    pivot!$B$2:$B$1946)</f>
        <v>TruckOwner</v>
      </c>
      <c r="F597" s="22">
        <f>_xlfn.MAXIFS(pivot!$D$2:$D$1946, pivot!$A$2:$A$1946, endirim!B597)</f>
        <v>26</v>
      </c>
      <c r="G597" s="3" t="str">
        <f t="shared" si="9"/>
        <v>Təklif yoxdur</v>
      </c>
    </row>
    <row r="598" spans="2:7" x14ac:dyDescent="0.3">
      <c r="B598" t="s">
        <v>652</v>
      </c>
      <c r="C598" s="3" t="str" cm="1">
        <f t="array" ref="C598">_xlfn.XLOOKUP(1,(pivot!$A$2:$A$1946=Table3[[#This Row],[Müştəri adı]])*(pivot!$C$2:$C$1946=_xlfn.MAXIFS(pivot!$C$2:$C$1946,pivot!$A$2:$A$1946,Table3[[#This Row],[Müştəri adı]])),pivot!$B$2:$B$1946)</f>
        <v>BuysViaMailOrder</v>
      </c>
      <c r="D598" s="22" cm="1">
        <f t="array" ref="D598">_xlfn.XLOOKUP(1,
  (pivot!$A$2:$A$1946=endirim!B598) * (pivot!$C$2:$C$1946 = _xlfn.MAXIFS(pivot!$C$2:$C$1946, pivot!$A$2:$A$1946, endirim!B598)),
  pivot!$D$2:$D$1946)</f>
        <v>25</v>
      </c>
      <c r="E598" s="3" t="str" cm="1">
        <f t="array" ref="E598">_xlfn.XLOOKUP(1,
    (pivot!$A$2:$A$1946=endirim!B598) * (pivot!$D$2:$D$1946 = _xlfn.MAXIFS(pivot!$D$2:$D$1946, pivot!$A$2:$A$1946, endirim!B598)),
    pivot!$B$2:$B$1946)</f>
        <v>HandsetWebCapable</v>
      </c>
      <c r="F598" s="22">
        <f>_xlfn.MAXIFS(pivot!$D$2:$D$1946, pivot!$A$2:$A$1946, endirim!B598)</f>
        <v>62</v>
      </c>
      <c r="G598" s="3" t="str">
        <f t="shared" si="9"/>
        <v>HandsetWebCapable Kompaniyasını 20% endirimlə təklif et</v>
      </c>
    </row>
    <row r="599" spans="2:7" x14ac:dyDescent="0.3">
      <c r="B599" t="s">
        <v>653</v>
      </c>
      <c r="C599" s="3" t="str" cm="1">
        <f t="array" ref="C599">_xlfn.XLOOKUP(1,(pivot!$A$2:$A$1946=Table3[[#This Row],[Müştəri adı]])*(pivot!$C$2:$C$1946=_xlfn.MAXIFS(pivot!$C$2:$C$1946,pivot!$A$2:$A$1946,Table3[[#This Row],[Müştəri adı]])),pivot!$B$2:$B$1946)</f>
        <v>RVOwner</v>
      </c>
      <c r="D599" s="22" cm="1">
        <f t="array" ref="D599">_xlfn.XLOOKUP(1,
  (pivot!$A$2:$A$1946=endirim!B599) * (pivot!$C$2:$C$1946 = _xlfn.MAXIFS(pivot!$C$2:$C$1946, pivot!$A$2:$A$1946, endirim!B599)),
  pivot!$D$2:$D$1946)</f>
        <v>22</v>
      </c>
      <c r="E599" s="3" t="str" cm="1">
        <f t="array" ref="E599">_xlfn.XLOOKUP(1,
    (pivot!$A$2:$A$1946=endirim!B599) * (pivot!$D$2:$D$1946 = _xlfn.MAXIFS(pivot!$D$2:$D$1946, pivot!$A$2:$A$1946, endirim!B599)),
    pivot!$B$2:$B$1946)</f>
        <v>RVOwner</v>
      </c>
      <c r="F599" s="22">
        <f>_xlfn.MAXIFS(pivot!$D$2:$D$1946, pivot!$A$2:$A$1946, endirim!B599)</f>
        <v>22</v>
      </c>
      <c r="G599" s="3" t="str">
        <f t="shared" si="9"/>
        <v>Təklif yoxdur</v>
      </c>
    </row>
    <row r="600" spans="2:7" x14ac:dyDescent="0.3">
      <c r="B600" t="s">
        <v>654</v>
      </c>
      <c r="C600" s="3" t="str" cm="1">
        <f t="array" ref="C600">_xlfn.XLOOKUP(1,(pivot!$A$2:$A$1946=Table3[[#This Row],[Müştəri adı]])*(pivot!$C$2:$C$1946=_xlfn.MAXIFS(pivot!$C$2:$C$1946,pivot!$A$2:$A$1946,Table3[[#This Row],[Müştəri adı]])),pivot!$B$2:$B$1946)</f>
        <v>MaritalStatus</v>
      </c>
      <c r="D600" s="22" cm="1">
        <f t="array" ref="D600">_xlfn.XLOOKUP(1,
  (pivot!$A$2:$A$1946=endirim!B600) * (pivot!$C$2:$C$1946 = _xlfn.MAXIFS(pivot!$C$2:$C$1946, pivot!$A$2:$A$1946, endirim!B600)),
  pivot!$D$2:$D$1946)</f>
        <v>29</v>
      </c>
      <c r="E600" s="3" t="str" cm="1">
        <f t="array" ref="E600">_xlfn.XLOOKUP(1,
    (pivot!$A$2:$A$1946=endirim!B600) * (pivot!$D$2:$D$1946 = _xlfn.MAXIFS(pivot!$D$2:$D$1946, pivot!$A$2:$A$1946, endirim!B600)),
    pivot!$B$2:$B$1946)</f>
        <v>MaritalStatus</v>
      </c>
      <c r="F600" s="22">
        <f>_xlfn.MAXIFS(pivot!$D$2:$D$1946, pivot!$A$2:$A$1946, endirim!B600)</f>
        <v>29</v>
      </c>
      <c r="G600" s="3" t="str">
        <f t="shared" si="9"/>
        <v>Təklif yoxdur</v>
      </c>
    </row>
    <row r="601" spans="2:7" x14ac:dyDescent="0.3">
      <c r="B601" t="s">
        <v>655</v>
      </c>
      <c r="C601" s="3" t="str" cm="1">
        <f t="array" ref="C601">_xlfn.XLOOKUP(1,(pivot!$A$2:$A$1946=Table3[[#This Row],[Müştəri adı]])*(pivot!$C$2:$C$1946=_xlfn.MAXIFS(pivot!$C$2:$C$1946,pivot!$A$2:$A$1946,Table3[[#This Row],[Müştəri adı]])),pivot!$B$2:$B$1946)</f>
        <v>MadeCallToRetentionTeam</v>
      </c>
      <c r="D601" s="22" cm="1">
        <f t="array" ref="D601">_xlfn.XLOOKUP(1,
  (pivot!$A$2:$A$1946=endirim!B601) * (pivot!$C$2:$C$1946 = _xlfn.MAXIFS(pivot!$C$2:$C$1946, pivot!$A$2:$A$1946, endirim!B601)),
  pivot!$D$2:$D$1946)</f>
        <v>16</v>
      </c>
      <c r="E601" s="3" t="str" cm="1">
        <f t="array" ref="E601">_xlfn.XLOOKUP(1,
    (pivot!$A$2:$A$1946=endirim!B601) * (pivot!$D$2:$D$1946 = _xlfn.MAXIFS(pivot!$D$2:$D$1946, pivot!$A$2:$A$1946, endirim!B601)),
    pivot!$B$2:$B$1946)</f>
        <v>MadeCallToRetentionTeam</v>
      </c>
      <c r="F601" s="22">
        <f>_xlfn.MAXIFS(pivot!$D$2:$D$1946, pivot!$A$2:$A$1946, endirim!B601)</f>
        <v>16</v>
      </c>
      <c r="G601" s="3" t="str">
        <f t="shared" si="9"/>
        <v>Təklif yoxdur</v>
      </c>
    </row>
    <row r="602" spans="2:7" x14ac:dyDescent="0.3">
      <c r="B602" t="s">
        <v>656</v>
      </c>
      <c r="C602" s="3" t="str" cm="1">
        <f t="array" ref="C602">_xlfn.XLOOKUP(1,(pivot!$A$2:$A$1946=Table3[[#This Row],[Müştəri adı]])*(pivot!$C$2:$C$1946=_xlfn.MAXIFS(pivot!$C$2:$C$1946,pivot!$A$2:$A$1946,Table3[[#This Row],[Müştəri adı]])),pivot!$B$2:$B$1946)</f>
        <v>MaritalStatus</v>
      </c>
      <c r="D602" s="22" cm="1">
        <f t="array" ref="D602">_xlfn.XLOOKUP(1,
  (pivot!$A$2:$A$1946=endirim!B602) * (pivot!$C$2:$C$1946 = _xlfn.MAXIFS(pivot!$C$2:$C$1946, pivot!$A$2:$A$1946, endirim!B602)),
  pivot!$D$2:$D$1946)</f>
        <v>29</v>
      </c>
      <c r="E602" s="3" t="str" cm="1">
        <f t="array" ref="E602">_xlfn.XLOOKUP(1,
    (pivot!$A$2:$A$1946=endirim!B602) * (pivot!$D$2:$D$1946 = _xlfn.MAXIFS(pivot!$D$2:$D$1946, pivot!$A$2:$A$1946, endirim!B602)),
    pivot!$B$2:$B$1946)</f>
        <v>HandsetWebCapable</v>
      </c>
      <c r="F602" s="22">
        <f>_xlfn.MAXIFS(pivot!$D$2:$D$1946, pivot!$A$2:$A$1946, endirim!B602)</f>
        <v>62</v>
      </c>
      <c r="G602" s="3" t="str">
        <f t="shared" si="9"/>
        <v>HandsetWebCapable Kompaniyasını 20% endirimlə təklif et</v>
      </c>
    </row>
    <row r="603" spans="2:7" x14ac:dyDescent="0.3">
      <c r="B603" t="s">
        <v>657</v>
      </c>
      <c r="C603" s="3" t="str" cm="1">
        <f t="array" ref="C603">_xlfn.XLOOKUP(1,(pivot!$A$2:$A$1946=Table3[[#This Row],[Müştəri adı]])*(pivot!$C$2:$C$1946=_xlfn.MAXIFS(pivot!$C$2:$C$1946,pivot!$A$2:$A$1946,Table3[[#This Row],[Müştəri adı]])),pivot!$B$2:$B$1946)</f>
        <v>HandsetWebCapable</v>
      </c>
      <c r="D603" s="22" cm="1">
        <f t="array" ref="D603">_xlfn.XLOOKUP(1,
  (pivot!$A$2:$A$1946=endirim!B603) * (pivot!$C$2:$C$1946 = _xlfn.MAXIFS(pivot!$C$2:$C$1946, pivot!$A$2:$A$1946, endirim!B603)),
  pivot!$D$2:$D$1946)</f>
        <v>62</v>
      </c>
      <c r="E603" s="3" t="str" cm="1">
        <f t="array" ref="E603">_xlfn.XLOOKUP(1,
    (pivot!$A$2:$A$1946=endirim!B603) * (pivot!$D$2:$D$1946 = _xlfn.MAXIFS(pivot!$D$2:$D$1946, pivot!$A$2:$A$1946, endirim!B603)),
    pivot!$B$2:$B$1946)</f>
        <v>HandsetWebCapable</v>
      </c>
      <c r="F603" s="22">
        <f>_xlfn.MAXIFS(pivot!$D$2:$D$1946, pivot!$A$2:$A$1946, endirim!B603)</f>
        <v>62</v>
      </c>
      <c r="G603" s="3" t="str">
        <f t="shared" si="9"/>
        <v>Təklif yoxdur</v>
      </c>
    </row>
    <row r="604" spans="2:7" x14ac:dyDescent="0.3">
      <c r="B604" t="s">
        <v>658</v>
      </c>
      <c r="C604" s="3" t="str" cm="1">
        <f t="array" ref="C604">_xlfn.XLOOKUP(1,(pivot!$A$2:$A$1946=Table3[[#This Row],[Müştəri adı]])*(pivot!$C$2:$C$1946=_xlfn.MAXIFS(pivot!$C$2:$C$1946,pivot!$A$2:$A$1946,Table3[[#This Row],[Müştəri adı]])),pivot!$B$2:$B$1946)</f>
        <v>MaritalStatus</v>
      </c>
      <c r="D604" s="22" cm="1">
        <f t="array" ref="D604">_xlfn.XLOOKUP(1,
  (pivot!$A$2:$A$1946=endirim!B604) * (pivot!$C$2:$C$1946 = _xlfn.MAXIFS(pivot!$C$2:$C$1946, pivot!$A$2:$A$1946, endirim!B604)),
  pivot!$D$2:$D$1946)</f>
        <v>29</v>
      </c>
      <c r="E604" s="3" t="str" cm="1">
        <f t="array" ref="E604">_xlfn.XLOOKUP(1,
    (pivot!$A$2:$A$1946=endirim!B604) * (pivot!$D$2:$D$1946 = _xlfn.MAXIFS(pivot!$D$2:$D$1946, pivot!$A$2:$A$1946, endirim!B604)),
    pivot!$B$2:$B$1946)</f>
        <v>MaritalStatus</v>
      </c>
      <c r="F604" s="22">
        <f>_xlfn.MAXIFS(pivot!$D$2:$D$1946, pivot!$A$2:$A$1946, endirim!B604)</f>
        <v>29</v>
      </c>
      <c r="G604" s="3" t="str">
        <f t="shared" si="9"/>
        <v>Təklif yoxdur</v>
      </c>
    </row>
    <row r="605" spans="2:7" x14ac:dyDescent="0.3">
      <c r="B605" t="s">
        <v>659</v>
      </c>
      <c r="C605" s="3" t="str" cm="1">
        <f t="array" ref="C605">_xlfn.XLOOKUP(1,(pivot!$A$2:$A$1946=Table3[[#This Row],[Müştəri adı]])*(pivot!$C$2:$C$1946=_xlfn.MAXIFS(pivot!$C$2:$C$1946,pivot!$A$2:$A$1946,Table3[[#This Row],[Müştəri adı]])),pivot!$B$2:$B$1946)</f>
        <v>MaritalStatus</v>
      </c>
      <c r="D605" s="22" cm="1">
        <f t="array" ref="D605">_xlfn.XLOOKUP(1,
  (pivot!$A$2:$A$1946=endirim!B605) * (pivot!$C$2:$C$1946 = _xlfn.MAXIFS(pivot!$C$2:$C$1946, pivot!$A$2:$A$1946, endirim!B605)),
  pivot!$D$2:$D$1946)</f>
        <v>29</v>
      </c>
      <c r="E605" s="3" t="str" cm="1">
        <f t="array" ref="E605">_xlfn.XLOOKUP(1,
    (pivot!$A$2:$A$1946=endirim!B605) * (pivot!$D$2:$D$1946 = _xlfn.MAXIFS(pivot!$D$2:$D$1946, pivot!$A$2:$A$1946, endirim!B605)),
    pivot!$B$2:$B$1946)</f>
        <v>OptOutMailings</v>
      </c>
      <c r="F605" s="22">
        <f>_xlfn.MAXIFS(pivot!$D$2:$D$1946, pivot!$A$2:$A$1946, endirim!B605)</f>
        <v>75</v>
      </c>
      <c r="G605" s="3" t="str">
        <f t="shared" si="9"/>
        <v>OptOutMailings Kompaniyasını 20% endirimlə təklif et</v>
      </c>
    </row>
    <row r="606" spans="2:7" x14ac:dyDescent="0.3">
      <c r="B606" t="s">
        <v>660</v>
      </c>
      <c r="C606" s="3" t="str" cm="1">
        <f t="array" ref="C606">_xlfn.XLOOKUP(1,(pivot!$A$2:$A$1946=Table3[[#This Row],[Müştəri adı]])*(pivot!$C$2:$C$1946=_xlfn.MAXIFS(pivot!$C$2:$C$1946,pivot!$A$2:$A$1946,Table3[[#This Row],[Müştəri adı]])),pivot!$B$2:$B$1946)</f>
        <v>ChildrenInHH</v>
      </c>
      <c r="D606" s="22" cm="1">
        <f t="array" ref="D606">_xlfn.XLOOKUP(1,
  (pivot!$A$2:$A$1946=endirim!B606) * (pivot!$C$2:$C$1946 = _xlfn.MAXIFS(pivot!$C$2:$C$1946, pivot!$A$2:$A$1946, endirim!B606)),
  pivot!$D$2:$D$1946)</f>
        <v>10</v>
      </c>
      <c r="E606" s="3" t="str" cm="1">
        <f t="array" ref="E606">_xlfn.XLOOKUP(1,
    (pivot!$A$2:$A$1946=endirim!B606) * (pivot!$D$2:$D$1946 = _xlfn.MAXIFS(pivot!$D$2:$D$1946, pivot!$A$2:$A$1946, endirim!B606)),
    pivot!$B$2:$B$1946)</f>
        <v>HandsetWebCapable</v>
      </c>
      <c r="F606" s="22">
        <f>_xlfn.MAXIFS(pivot!$D$2:$D$1946, pivot!$A$2:$A$1946, endirim!B606)</f>
        <v>62</v>
      </c>
      <c r="G606" s="3" t="str">
        <f t="shared" si="9"/>
        <v>HandsetWebCapable Kompaniyasını 20% endirimlə təklif et</v>
      </c>
    </row>
    <row r="607" spans="2:7" x14ac:dyDescent="0.3">
      <c r="B607" t="s">
        <v>661</v>
      </c>
      <c r="C607" s="3" t="str" cm="1">
        <f t="array" ref="C607">_xlfn.XLOOKUP(1,(pivot!$A$2:$A$1946=Table3[[#This Row],[Müştəri adı]])*(pivot!$C$2:$C$1946=_xlfn.MAXIFS(pivot!$C$2:$C$1946,pivot!$A$2:$A$1946,Table3[[#This Row],[Müştəri adı]])),pivot!$B$2:$B$1946)</f>
        <v>OwnsComputer</v>
      </c>
      <c r="D607" s="22" cm="1">
        <f t="array" ref="D607">_xlfn.XLOOKUP(1,
  (pivot!$A$2:$A$1946=endirim!B607) * (pivot!$C$2:$C$1946 = _xlfn.MAXIFS(pivot!$C$2:$C$1946, pivot!$A$2:$A$1946, endirim!B607)),
  pivot!$D$2:$D$1946)</f>
        <v>62</v>
      </c>
      <c r="E607" s="3" t="str" cm="1">
        <f t="array" ref="E607">_xlfn.XLOOKUP(1,
    (pivot!$A$2:$A$1946=endirim!B607) * (pivot!$D$2:$D$1946 = _xlfn.MAXIFS(pivot!$D$2:$D$1946, pivot!$A$2:$A$1946, endirim!B607)),
    pivot!$B$2:$B$1946)</f>
        <v>OwnsComputer</v>
      </c>
      <c r="F607" s="22">
        <f>_xlfn.MAXIFS(pivot!$D$2:$D$1946, pivot!$A$2:$A$1946, endirim!B607)</f>
        <v>62</v>
      </c>
      <c r="G607" s="3" t="str">
        <f t="shared" si="9"/>
        <v>Təklif yoxdur</v>
      </c>
    </row>
    <row r="608" spans="2:7" x14ac:dyDescent="0.3">
      <c r="B608" t="s">
        <v>662</v>
      </c>
      <c r="C608" s="3" t="str" cm="1">
        <f t="array" ref="C608">_xlfn.XLOOKUP(1,(pivot!$A$2:$A$1946=Table3[[#This Row],[Müştəri adı]])*(pivot!$C$2:$C$1946=_xlfn.MAXIFS(pivot!$C$2:$C$1946,pivot!$A$2:$A$1946,Table3[[#This Row],[Müştəri adı]])),pivot!$B$2:$B$1946)</f>
        <v>RVOwner</v>
      </c>
      <c r="D608" s="22" cm="1">
        <f t="array" ref="D608">_xlfn.XLOOKUP(1,
  (pivot!$A$2:$A$1946=endirim!B608) * (pivot!$C$2:$C$1946 = _xlfn.MAXIFS(pivot!$C$2:$C$1946, pivot!$A$2:$A$1946, endirim!B608)),
  pivot!$D$2:$D$1946)</f>
        <v>22</v>
      </c>
      <c r="E608" s="3" t="str" cm="1">
        <f t="array" ref="E608">_xlfn.XLOOKUP(1,
    (pivot!$A$2:$A$1946=endirim!B608) * (pivot!$D$2:$D$1946 = _xlfn.MAXIFS(pivot!$D$2:$D$1946, pivot!$A$2:$A$1946, endirim!B608)),
    pivot!$B$2:$B$1946)</f>
        <v>RVOwner</v>
      </c>
      <c r="F608" s="22">
        <f>_xlfn.MAXIFS(pivot!$D$2:$D$1946, pivot!$A$2:$A$1946, endirim!B608)</f>
        <v>22</v>
      </c>
      <c r="G608" s="3" t="str">
        <f t="shared" si="9"/>
        <v>Təklif yoxdur</v>
      </c>
    </row>
    <row r="609" spans="2:7" x14ac:dyDescent="0.3">
      <c r="B609" t="s">
        <v>663</v>
      </c>
      <c r="C609" s="3" t="str" cm="1">
        <f t="array" ref="C609">_xlfn.XLOOKUP(1,(pivot!$A$2:$A$1946=Table3[[#This Row],[Müştəri adı]])*(pivot!$C$2:$C$1946=_xlfn.MAXIFS(pivot!$C$2:$C$1946,pivot!$A$2:$A$1946,Table3[[#This Row],[Müştəri adı]])),pivot!$B$2:$B$1946)</f>
        <v>HasCreditCard</v>
      </c>
      <c r="D609" s="22" cm="1">
        <f t="array" ref="D609">_xlfn.XLOOKUP(1,
  (pivot!$A$2:$A$1946=endirim!B609) * (pivot!$C$2:$C$1946 = _xlfn.MAXIFS(pivot!$C$2:$C$1946, pivot!$A$2:$A$1946, endirim!B609)),
  pivot!$D$2:$D$1946)</f>
        <v>65</v>
      </c>
      <c r="E609" s="3" t="str" cm="1">
        <f t="array" ref="E609">_xlfn.XLOOKUP(1,
    (pivot!$A$2:$A$1946=endirim!B609) * (pivot!$D$2:$D$1946 = _xlfn.MAXIFS(pivot!$D$2:$D$1946, pivot!$A$2:$A$1946, endirim!B609)),
    pivot!$B$2:$B$1946)</f>
        <v>NonUSTravel</v>
      </c>
      <c r="F609" s="22">
        <f>_xlfn.MAXIFS(pivot!$D$2:$D$1946, pivot!$A$2:$A$1946, endirim!B609)</f>
        <v>66</v>
      </c>
      <c r="G609" s="3" t="str">
        <f t="shared" si="9"/>
        <v>NonUSTravel Kompaniyasını 20% endirimlə təklif et</v>
      </c>
    </row>
    <row r="610" spans="2:7" x14ac:dyDescent="0.3">
      <c r="B610" t="s">
        <v>664</v>
      </c>
      <c r="C610" s="3" t="str" cm="1">
        <f t="array" ref="C610">_xlfn.XLOOKUP(1,(pivot!$A$2:$A$1946=Table3[[#This Row],[Müştəri adı]])*(pivot!$C$2:$C$1946=_xlfn.MAXIFS(pivot!$C$2:$C$1946,pivot!$A$2:$A$1946,Table3[[#This Row],[Müştəri adı]])),pivot!$B$2:$B$1946)</f>
        <v>NonUSTravel</v>
      </c>
      <c r="D610" s="22" cm="1">
        <f t="array" ref="D610">_xlfn.XLOOKUP(1,
  (pivot!$A$2:$A$1946=endirim!B610) * (pivot!$C$2:$C$1946 = _xlfn.MAXIFS(pivot!$C$2:$C$1946, pivot!$A$2:$A$1946, endirim!B610)),
  pivot!$D$2:$D$1946)</f>
        <v>66</v>
      </c>
      <c r="E610" s="3" t="str" cm="1">
        <f t="array" ref="E610">_xlfn.XLOOKUP(1,
    (pivot!$A$2:$A$1946=endirim!B610) * (pivot!$D$2:$D$1946 = _xlfn.MAXIFS(pivot!$D$2:$D$1946, pivot!$A$2:$A$1946, endirim!B610)),
    pivot!$B$2:$B$1946)</f>
        <v>NonUSTravel</v>
      </c>
      <c r="F610" s="22">
        <f>_xlfn.MAXIFS(pivot!$D$2:$D$1946, pivot!$A$2:$A$1946, endirim!B610)</f>
        <v>66</v>
      </c>
      <c r="G610" s="3" t="str">
        <f t="shared" si="9"/>
        <v>Təklif yoxdur</v>
      </c>
    </row>
    <row r="611" spans="2:7" x14ac:dyDescent="0.3">
      <c r="B611" t="s">
        <v>665</v>
      </c>
      <c r="C611" s="3" t="str" cm="1">
        <f t="array" ref="C611">_xlfn.XLOOKUP(1,(pivot!$A$2:$A$1946=Table3[[#This Row],[Müştəri adı]])*(pivot!$C$2:$C$1946=_xlfn.MAXIFS(pivot!$C$2:$C$1946,pivot!$A$2:$A$1946,Table3[[#This Row],[Müştəri adı]])),pivot!$B$2:$B$1946)</f>
        <v>RespondsToMailOffers</v>
      </c>
      <c r="D611" s="22" cm="1">
        <f t="array" ref="D611">_xlfn.XLOOKUP(1,
  (pivot!$A$2:$A$1946=endirim!B611) * (pivot!$C$2:$C$1946 = _xlfn.MAXIFS(pivot!$C$2:$C$1946, pivot!$A$2:$A$1946, endirim!B611)),
  pivot!$D$2:$D$1946)</f>
        <v>27</v>
      </c>
      <c r="E611" s="3" t="str" cm="1">
        <f t="array" ref="E611">_xlfn.XLOOKUP(1,
    (pivot!$A$2:$A$1946=endirim!B611) * (pivot!$D$2:$D$1946 = _xlfn.MAXIFS(pivot!$D$2:$D$1946, pivot!$A$2:$A$1946, endirim!B611)),
    pivot!$B$2:$B$1946)</f>
        <v>OptOutMailings</v>
      </c>
      <c r="F611" s="22">
        <f>_xlfn.MAXIFS(pivot!$D$2:$D$1946, pivot!$A$2:$A$1946, endirim!B611)</f>
        <v>75</v>
      </c>
      <c r="G611" s="3" t="str">
        <f t="shared" si="9"/>
        <v>OptOutMailings Kompaniyasını 20% endirimlə təklif et</v>
      </c>
    </row>
    <row r="612" spans="2:7" x14ac:dyDescent="0.3">
      <c r="B612" t="s">
        <v>666</v>
      </c>
      <c r="C612" s="3" t="str" cm="1">
        <f t="array" ref="C612">_xlfn.XLOOKUP(1,(pivot!$A$2:$A$1946=Table3[[#This Row],[Müştəri adı]])*(pivot!$C$2:$C$1946=_xlfn.MAXIFS(pivot!$C$2:$C$1946,pivot!$A$2:$A$1946,Table3[[#This Row],[Müştəri adı]])),pivot!$B$2:$B$1946)</f>
        <v>OptOutMailings</v>
      </c>
      <c r="D612" s="22" cm="1">
        <f t="array" ref="D612">_xlfn.XLOOKUP(1,
  (pivot!$A$2:$A$1946=endirim!B612) * (pivot!$C$2:$C$1946 = _xlfn.MAXIFS(pivot!$C$2:$C$1946, pivot!$A$2:$A$1946, endirim!B612)),
  pivot!$D$2:$D$1946)</f>
        <v>75</v>
      </c>
      <c r="E612" s="3" t="str" cm="1">
        <f t="array" ref="E612">_xlfn.XLOOKUP(1,
    (pivot!$A$2:$A$1946=endirim!B612) * (pivot!$D$2:$D$1946 = _xlfn.MAXIFS(pivot!$D$2:$D$1946, pivot!$A$2:$A$1946, endirim!B612)),
    pivot!$B$2:$B$1946)</f>
        <v>OptOutMailings</v>
      </c>
      <c r="F612" s="22">
        <f>_xlfn.MAXIFS(pivot!$D$2:$D$1946, pivot!$A$2:$A$1946, endirim!B612)</f>
        <v>75</v>
      </c>
      <c r="G612" s="3" t="str">
        <f t="shared" si="9"/>
        <v>Təklif yoxdur</v>
      </c>
    </row>
    <row r="613" spans="2:7" x14ac:dyDescent="0.3">
      <c r="B613" t="s">
        <v>667</v>
      </c>
      <c r="C613" s="3" t="str" cm="1">
        <f t="array" ref="C613">_xlfn.XLOOKUP(1,(pivot!$A$2:$A$1946=Table3[[#This Row],[Müştəri adı]])*(pivot!$C$2:$C$1946=_xlfn.MAXIFS(pivot!$C$2:$C$1946,pivot!$A$2:$A$1946,Table3[[#This Row],[Müştəri adı]])),pivot!$B$2:$B$1946)</f>
        <v>NotNewCellphoneUser</v>
      </c>
      <c r="D613" s="22" cm="1">
        <f t="array" ref="D613">_xlfn.XLOOKUP(1,
  (pivot!$A$2:$A$1946=endirim!B613) * (pivot!$C$2:$C$1946 = _xlfn.MAXIFS(pivot!$C$2:$C$1946, pivot!$A$2:$A$1946, endirim!B613)),
  pivot!$D$2:$D$1946)</f>
        <v>28</v>
      </c>
      <c r="E613" s="3" t="str" cm="1">
        <f t="array" ref="E613">_xlfn.XLOOKUP(1,
    (pivot!$A$2:$A$1946=endirim!B613) * (pivot!$D$2:$D$1946 = _xlfn.MAXIFS(pivot!$D$2:$D$1946, pivot!$A$2:$A$1946, endirim!B613)),
    pivot!$B$2:$B$1946)</f>
        <v>NonUSTravel</v>
      </c>
      <c r="F613" s="22">
        <f>_xlfn.MAXIFS(pivot!$D$2:$D$1946, pivot!$A$2:$A$1946, endirim!B613)</f>
        <v>66</v>
      </c>
      <c r="G613" s="3" t="str">
        <f t="shared" si="9"/>
        <v>NonUSTravel Kompaniyasını 20% endirimlə təklif et</v>
      </c>
    </row>
    <row r="614" spans="2:7" x14ac:dyDescent="0.3">
      <c r="B614" t="s">
        <v>668</v>
      </c>
      <c r="C614" s="3" t="str" cm="1">
        <f t="array" ref="C614">_xlfn.XLOOKUP(1,(pivot!$A$2:$A$1946=Table3[[#This Row],[Müştəri adı]])*(pivot!$C$2:$C$1946=_xlfn.MAXIFS(pivot!$C$2:$C$1946,pivot!$A$2:$A$1946,Table3[[#This Row],[Müştəri adı]])),pivot!$B$2:$B$1946)</f>
        <v>MadeCallToRetentionTeam</v>
      </c>
      <c r="D614" s="22" cm="1">
        <f t="array" ref="D614">_xlfn.XLOOKUP(1,
  (pivot!$A$2:$A$1946=endirim!B614) * (pivot!$C$2:$C$1946 = _xlfn.MAXIFS(pivot!$C$2:$C$1946, pivot!$A$2:$A$1946, endirim!B614)),
  pivot!$D$2:$D$1946)</f>
        <v>16</v>
      </c>
      <c r="E614" s="3" t="str" cm="1">
        <f t="array" ref="E614">_xlfn.XLOOKUP(1,
    (pivot!$A$2:$A$1946=endirim!B614) * (pivot!$D$2:$D$1946 = _xlfn.MAXIFS(pivot!$D$2:$D$1946, pivot!$A$2:$A$1946, endirim!B614)),
    pivot!$B$2:$B$1946)</f>
        <v>MadeCallToRetentionTeam</v>
      </c>
      <c r="F614" s="22">
        <f>_xlfn.MAXIFS(pivot!$D$2:$D$1946, pivot!$A$2:$A$1946, endirim!B614)</f>
        <v>16</v>
      </c>
      <c r="G614" s="3" t="str">
        <f t="shared" si="9"/>
        <v>Təklif yoxdur</v>
      </c>
    </row>
    <row r="615" spans="2:7" x14ac:dyDescent="0.3">
      <c r="B615" t="s">
        <v>669</v>
      </c>
      <c r="C615" s="3" t="str" cm="1">
        <f t="array" ref="C615">_xlfn.XLOOKUP(1,(pivot!$A$2:$A$1946=Table3[[#This Row],[Müştəri adı]])*(pivot!$C$2:$C$1946=_xlfn.MAXIFS(pivot!$C$2:$C$1946,pivot!$A$2:$A$1946,Table3[[#This Row],[Müştəri adı]])),pivot!$B$2:$B$1946)</f>
        <v>OptOutMailings</v>
      </c>
      <c r="D615" s="22" cm="1">
        <f t="array" ref="D615">_xlfn.XLOOKUP(1,
  (pivot!$A$2:$A$1946=endirim!B615) * (pivot!$C$2:$C$1946 = _xlfn.MAXIFS(pivot!$C$2:$C$1946, pivot!$A$2:$A$1946, endirim!B615)),
  pivot!$D$2:$D$1946)</f>
        <v>75</v>
      </c>
      <c r="E615" s="3" t="str" cm="1">
        <f t="array" ref="E615">_xlfn.XLOOKUP(1,
    (pivot!$A$2:$A$1946=endirim!B615) * (pivot!$D$2:$D$1946 = _xlfn.MAXIFS(pivot!$D$2:$D$1946, pivot!$A$2:$A$1946, endirim!B615)),
    pivot!$B$2:$B$1946)</f>
        <v>OptOutMailings</v>
      </c>
      <c r="F615" s="22">
        <f>_xlfn.MAXIFS(pivot!$D$2:$D$1946, pivot!$A$2:$A$1946, endirim!B615)</f>
        <v>75</v>
      </c>
      <c r="G615" s="3" t="str">
        <f t="shared" si="9"/>
        <v>Təklif yoxdur</v>
      </c>
    </row>
    <row r="616" spans="2:7" x14ac:dyDescent="0.3">
      <c r="B616" t="s">
        <v>670</v>
      </c>
      <c r="C616" s="3" t="str" cm="1">
        <f t="array" ref="C616">_xlfn.XLOOKUP(1,(pivot!$A$2:$A$1946=Table3[[#This Row],[Müştəri adı]])*(pivot!$C$2:$C$1946=_xlfn.MAXIFS(pivot!$C$2:$C$1946,pivot!$A$2:$A$1946,Table3[[#This Row],[Müştəri adı]])),pivot!$B$2:$B$1946)</f>
        <v>MadeCallToRetentionTeam</v>
      </c>
      <c r="D616" s="22" cm="1">
        <f t="array" ref="D616">_xlfn.XLOOKUP(1,
  (pivot!$A$2:$A$1946=endirim!B616) * (pivot!$C$2:$C$1946 = _xlfn.MAXIFS(pivot!$C$2:$C$1946, pivot!$A$2:$A$1946, endirim!B616)),
  pivot!$D$2:$D$1946)</f>
        <v>16</v>
      </c>
      <c r="E616" s="3" t="str" cm="1">
        <f t="array" ref="E616">_xlfn.XLOOKUP(1,
    (pivot!$A$2:$A$1946=endirim!B616) * (pivot!$D$2:$D$1946 = _xlfn.MAXIFS(pivot!$D$2:$D$1946, pivot!$A$2:$A$1946, endirim!B616)),
    pivot!$B$2:$B$1946)</f>
        <v>OwnsComputer</v>
      </c>
      <c r="F616" s="22">
        <f>_xlfn.MAXIFS(pivot!$D$2:$D$1946, pivot!$A$2:$A$1946, endirim!B616)</f>
        <v>62</v>
      </c>
      <c r="G616" s="3" t="str">
        <f t="shared" si="9"/>
        <v>OwnsComputer Kompaniyasını 20% endirimlə təklif et</v>
      </c>
    </row>
    <row r="617" spans="2:7" x14ac:dyDescent="0.3">
      <c r="B617" t="s">
        <v>671</v>
      </c>
      <c r="C617" s="3" t="str" cm="1">
        <f t="array" ref="C617">_xlfn.XLOOKUP(1,(pivot!$A$2:$A$1946=Table3[[#This Row],[Müştəri adı]])*(pivot!$C$2:$C$1946=_xlfn.MAXIFS(pivot!$C$2:$C$1946,pivot!$A$2:$A$1946,Table3[[#This Row],[Müştəri adı]])),pivot!$B$2:$B$1946)</f>
        <v>HasCreditCard</v>
      </c>
      <c r="D617" s="22" cm="1">
        <f t="array" ref="D617">_xlfn.XLOOKUP(1,
  (pivot!$A$2:$A$1946=endirim!B617) * (pivot!$C$2:$C$1946 = _xlfn.MAXIFS(pivot!$C$2:$C$1946, pivot!$A$2:$A$1946, endirim!B617)),
  pivot!$D$2:$D$1946)</f>
        <v>65</v>
      </c>
      <c r="E617" s="3" t="str" cm="1">
        <f t="array" ref="E617">_xlfn.XLOOKUP(1,
    (pivot!$A$2:$A$1946=endirim!B617) * (pivot!$D$2:$D$1946 = _xlfn.MAXIFS(pivot!$D$2:$D$1946, pivot!$A$2:$A$1946, endirim!B617)),
    pivot!$B$2:$B$1946)</f>
        <v>HasCreditCard</v>
      </c>
      <c r="F617" s="22">
        <f>_xlfn.MAXIFS(pivot!$D$2:$D$1946, pivot!$A$2:$A$1946, endirim!B617)</f>
        <v>65</v>
      </c>
      <c r="G617" s="3" t="str">
        <f t="shared" si="9"/>
        <v>Təklif yoxdur</v>
      </c>
    </row>
    <row r="618" spans="2:7" x14ac:dyDescent="0.3">
      <c r="B618" t="s">
        <v>672</v>
      </c>
      <c r="C618" s="3" t="str" cm="1">
        <f t="array" ref="C618">_xlfn.XLOOKUP(1,(pivot!$A$2:$A$1946=Table3[[#This Row],[Müştəri adı]])*(pivot!$C$2:$C$1946=_xlfn.MAXIFS(pivot!$C$2:$C$1946,pivot!$A$2:$A$1946,Table3[[#This Row],[Müştəri adı]])),pivot!$B$2:$B$1946)</f>
        <v>NonUSTravel</v>
      </c>
      <c r="D618" s="22" cm="1">
        <f t="array" ref="D618">_xlfn.XLOOKUP(1,
  (pivot!$A$2:$A$1946=endirim!B618) * (pivot!$C$2:$C$1946 = _xlfn.MAXIFS(pivot!$C$2:$C$1946, pivot!$A$2:$A$1946, endirim!B618)),
  pivot!$D$2:$D$1946)</f>
        <v>66</v>
      </c>
      <c r="E618" s="3" t="str" cm="1">
        <f t="array" ref="E618">_xlfn.XLOOKUP(1,
    (pivot!$A$2:$A$1946=endirim!B618) * (pivot!$D$2:$D$1946 = _xlfn.MAXIFS(pivot!$D$2:$D$1946, pivot!$A$2:$A$1946, endirim!B618)),
    pivot!$B$2:$B$1946)</f>
        <v>NonUSTravel</v>
      </c>
      <c r="F618" s="22">
        <f>_xlfn.MAXIFS(pivot!$D$2:$D$1946, pivot!$A$2:$A$1946, endirim!B618)</f>
        <v>66</v>
      </c>
      <c r="G618" s="3" t="str">
        <f t="shared" si="9"/>
        <v>Təklif yoxdur</v>
      </c>
    </row>
    <row r="619" spans="2:7" x14ac:dyDescent="0.3">
      <c r="B619" t="s">
        <v>673</v>
      </c>
      <c r="C619" s="3" t="str" cm="1">
        <f t="array" ref="C619">_xlfn.XLOOKUP(1,(pivot!$A$2:$A$1946=Table3[[#This Row],[Müştəri adı]])*(pivot!$C$2:$C$1946=_xlfn.MAXIFS(pivot!$C$2:$C$1946,pivot!$A$2:$A$1946,Table3[[#This Row],[Müştəri adı]])),pivot!$B$2:$B$1946)</f>
        <v>RVOwner</v>
      </c>
      <c r="D619" s="22" cm="1">
        <f t="array" ref="D619">_xlfn.XLOOKUP(1,
  (pivot!$A$2:$A$1946=endirim!B619) * (pivot!$C$2:$C$1946 = _xlfn.MAXIFS(pivot!$C$2:$C$1946, pivot!$A$2:$A$1946, endirim!B619)),
  pivot!$D$2:$D$1946)</f>
        <v>22</v>
      </c>
      <c r="E619" s="3" t="str" cm="1">
        <f t="array" ref="E619">_xlfn.XLOOKUP(1,
    (pivot!$A$2:$A$1946=endirim!B619) * (pivot!$D$2:$D$1946 = _xlfn.MAXIFS(pivot!$D$2:$D$1946, pivot!$A$2:$A$1946, endirim!B619)),
    pivot!$B$2:$B$1946)</f>
        <v>NotNewCellphoneUser</v>
      </c>
      <c r="F619" s="22">
        <f>_xlfn.MAXIFS(pivot!$D$2:$D$1946, pivot!$A$2:$A$1946, endirim!B619)</f>
        <v>28</v>
      </c>
      <c r="G619" s="3" t="str">
        <f t="shared" si="9"/>
        <v>NotNewCellphoneUser Kompaniyasını 20% endirimlə təklif et</v>
      </c>
    </row>
    <row r="620" spans="2:7" x14ac:dyDescent="0.3">
      <c r="B620" t="s">
        <v>674</v>
      </c>
      <c r="C620" s="3" t="str" cm="1">
        <f t="array" ref="C620">_xlfn.XLOOKUP(1,(pivot!$A$2:$A$1946=Table3[[#This Row],[Müştəri adı]])*(pivot!$C$2:$C$1946=_xlfn.MAXIFS(pivot!$C$2:$C$1946,pivot!$A$2:$A$1946,Table3[[#This Row],[Müştəri adı]])),pivot!$B$2:$B$1946)</f>
        <v>RespondsToMailOffers</v>
      </c>
      <c r="D620" s="22" cm="1">
        <f t="array" ref="D620">_xlfn.XLOOKUP(1,
  (pivot!$A$2:$A$1946=endirim!B620) * (pivot!$C$2:$C$1946 = _xlfn.MAXIFS(pivot!$C$2:$C$1946, pivot!$A$2:$A$1946, endirim!B620)),
  pivot!$D$2:$D$1946)</f>
        <v>27</v>
      </c>
      <c r="E620" s="3" t="str" cm="1">
        <f t="array" ref="E620">_xlfn.XLOOKUP(1,
    (pivot!$A$2:$A$1946=endirim!B620) * (pivot!$D$2:$D$1946 = _xlfn.MAXIFS(pivot!$D$2:$D$1946, pivot!$A$2:$A$1946, endirim!B620)),
    pivot!$B$2:$B$1946)</f>
        <v>HandsetWebCapable</v>
      </c>
      <c r="F620" s="22">
        <f>_xlfn.MAXIFS(pivot!$D$2:$D$1946, pivot!$A$2:$A$1946, endirim!B620)</f>
        <v>62</v>
      </c>
      <c r="G620" s="3" t="str">
        <f t="shared" si="9"/>
        <v>HandsetWebCapable Kompaniyasını 20% endirimlə təklif et</v>
      </c>
    </row>
    <row r="621" spans="2:7" x14ac:dyDescent="0.3">
      <c r="B621" t="s">
        <v>675</v>
      </c>
      <c r="C621" s="3" t="str" cm="1">
        <f t="array" ref="C621">_xlfn.XLOOKUP(1,(pivot!$A$2:$A$1946=Table3[[#This Row],[Müştəri adı]])*(pivot!$C$2:$C$1946=_xlfn.MAXIFS(pivot!$C$2:$C$1946,pivot!$A$2:$A$1946,Table3[[#This Row],[Müştəri adı]])),pivot!$B$2:$B$1946)</f>
        <v>NewCellphoneUser</v>
      </c>
      <c r="D621" s="22" cm="1">
        <f t="array" ref="D621">_xlfn.XLOOKUP(1,
  (pivot!$A$2:$A$1946=endirim!B621) * (pivot!$C$2:$C$1946 = _xlfn.MAXIFS(pivot!$C$2:$C$1946, pivot!$A$2:$A$1946, endirim!B621)),
  pivot!$D$2:$D$1946)</f>
        <v>25</v>
      </c>
      <c r="E621" s="3" t="str" cm="1">
        <f t="array" ref="E621">_xlfn.XLOOKUP(1,
    (pivot!$A$2:$A$1946=endirim!B621) * (pivot!$D$2:$D$1946 = _xlfn.MAXIFS(pivot!$D$2:$D$1946, pivot!$A$2:$A$1946, endirim!B621)),
    pivot!$B$2:$B$1946)</f>
        <v>TruckOwner</v>
      </c>
      <c r="F621" s="22">
        <f>_xlfn.MAXIFS(pivot!$D$2:$D$1946, pivot!$A$2:$A$1946, endirim!B621)</f>
        <v>26</v>
      </c>
      <c r="G621" s="3" t="str">
        <f t="shared" si="9"/>
        <v>TruckOwner Kompaniyasını 20% endirimlə təklif et</v>
      </c>
    </row>
    <row r="622" spans="2:7" x14ac:dyDescent="0.3">
      <c r="B622" t="s">
        <v>676</v>
      </c>
      <c r="C622" s="3" t="str" cm="1">
        <f t="array" ref="C622">_xlfn.XLOOKUP(1,(pivot!$A$2:$A$1946=Table3[[#This Row],[Müştəri adı]])*(pivot!$C$2:$C$1946=_xlfn.MAXIFS(pivot!$C$2:$C$1946,pivot!$A$2:$A$1946,Table3[[#This Row],[Müştəri adı]])),pivot!$B$2:$B$1946)</f>
        <v>ChildrenInHH</v>
      </c>
      <c r="D622" s="22" cm="1">
        <f t="array" ref="D622">_xlfn.XLOOKUP(1,
  (pivot!$A$2:$A$1946=endirim!B622) * (pivot!$C$2:$C$1946 = _xlfn.MAXIFS(pivot!$C$2:$C$1946, pivot!$A$2:$A$1946, endirim!B622)),
  pivot!$D$2:$D$1946)</f>
        <v>10</v>
      </c>
      <c r="E622" s="3" t="str" cm="1">
        <f t="array" ref="E622">_xlfn.XLOOKUP(1,
    (pivot!$A$2:$A$1946=endirim!B622) * (pivot!$D$2:$D$1946 = _xlfn.MAXIFS(pivot!$D$2:$D$1946, pivot!$A$2:$A$1946, endirim!B622)),
    pivot!$B$2:$B$1946)</f>
        <v>ChildrenInHH</v>
      </c>
      <c r="F622" s="22">
        <f>_xlfn.MAXIFS(pivot!$D$2:$D$1946, pivot!$A$2:$A$1946, endirim!B622)</f>
        <v>10</v>
      </c>
      <c r="G622" s="3" t="str">
        <f t="shared" si="9"/>
        <v>Təklif yoxdur</v>
      </c>
    </row>
    <row r="623" spans="2:7" x14ac:dyDescent="0.3">
      <c r="B623" t="s">
        <v>677</v>
      </c>
      <c r="C623" s="3" t="str" cm="1">
        <f t="array" ref="C623">_xlfn.XLOOKUP(1,(pivot!$A$2:$A$1946=Table3[[#This Row],[Müştəri adı]])*(pivot!$C$2:$C$1946=_xlfn.MAXIFS(pivot!$C$2:$C$1946,pivot!$A$2:$A$1946,Table3[[#This Row],[Müştəri adı]])),pivot!$B$2:$B$1946)</f>
        <v>ChildrenInHH</v>
      </c>
      <c r="D623" s="22" cm="1">
        <f t="array" ref="D623">_xlfn.XLOOKUP(1,
  (pivot!$A$2:$A$1946=endirim!B623) * (pivot!$C$2:$C$1946 = _xlfn.MAXIFS(pivot!$C$2:$C$1946, pivot!$A$2:$A$1946, endirim!B623)),
  pivot!$D$2:$D$1946)</f>
        <v>10</v>
      </c>
      <c r="E623" s="3" t="str" cm="1">
        <f t="array" ref="E623">_xlfn.XLOOKUP(1,
    (pivot!$A$2:$A$1946=endirim!B623) * (pivot!$D$2:$D$1946 = _xlfn.MAXIFS(pivot!$D$2:$D$1946, pivot!$A$2:$A$1946, endirim!B623)),
    pivot!$B$2:$B$1946)</f>
        <v>RespondsToMailOffers</v>
      </c>
      <c r="F623" s="22">
        <f>_xlfn.MAXIFS(pivot!$D$2:$D$1946, pivot!$A$2:$A$1946, endirim!B623)</f>
        <v>27</v>
      </c>
      <c r="G623" s="3" t="str">
        <f t="shared" si="9"/>
        <v>RespondsToMailOffers Kompaniyasını 20% endirimlə təklif et</v>
      </c>
    </row>
    <row r="624" spans="2:7" x14ac:dyDescent="0.3">
      <c r="B624" t="s">
        <v>678</v>
      </c>
      <c r="C624" s="3" t="str" cm="1">
        <f t="array" ref="C624">_xlfn.XLOOKUP(1,(pivot!$A$2:$A$1946=Table3[[#This Row],[Müştəri adı]])*(pivot!$C$2:$C$1946=_xlfn.MAXIFS(pivot!$C$2:$C$1946,pivot!$A$2:$A$1946,Table3[[#This Row],[Müştəri adı]])),pivot!$B$2:$B$1946)</f>
        <v>NotNewCellphoneUser</v>
      </c>
      <c r="D624" s="22" cm="1">
        <f t="array" ref="D624">_xlfn.XLOOKUP(1,
  (pivot!$A$2:$A$1946=endirim!B624) * (pivot!$C$2:$C$1946 = _xlfn.MAXIFS(pivot!$C$2:$C$1946, pivot!$A$2:$A$1946, endirim!B624)),
  pivot!$D$2:$D$1946)</f>
        <v>28</v>
      </c>
      <c r="E624" s="3" t="str" cm="1">
        <f t="array" ref="E624">_xlfn.XLOOKUP(1,
    (pivot!$A$2:$A$1946=endirim!B624) * (pivot!$D$2:$D$1946 = _xlfn.MAXIFS(pivot!$D$2:$D$1946, pivot!$A$2:$A$1946, endirim!B624)),
    pivot!$B$2:$B$1946)</f>
        <v>HasCreditCard</v>
      </c>
      <c r="F624" s="22">
        <f>_xlfn.MAXIFS(pivot!$D$2:$D$1946, pivot!$A$2:$A$1946, endirim!B624)</f>
        <v>65</v>
      </c>
      <c r="G624" s="3" t="str">
        <f t="shared" si="9"/>
        <v>HasCreditCard Kompaniyasını 20% endirimlə təklif et</v>
      </c>
    </row>
    <row r="625" spans="2:7" x14ac:dyDescent="0.3">
      <c r="B625" t="s">
        <v>679</v>
      </c>
      <c r="C625" s="3" t="str" cm="1">
        <f t="array" ref="C625">_xlfn.XLOOKUP(1,(pivot!$A$2:$A$1946=Table3[[#This Row],[Müştəri adı]])*(pivot!$C$2:$C$1946=_xlfn.MAXIFS(pivot!$C$2:$C$1946,pivot!$A$2:$A$1946,Table3[[#This Row],[Müştəri adı]])),pivot!$B$2:$B$1946)</f>
        <v>HandsetRefurbished</v>
      </c>
      <c r="D625" s="22" cm="1">
        <f t="array" ref="D625">_xlfn.XLOOKUP(1,
  (pivot!$A$2:$A$1946=endirim!B625) * (pivot!$C$2:$C$1946 = _xlfn.MAXIFS(pivot!$C$2:$C$1946, pivot!$A$2:$A$1946, endirim!B625)),
  pivot!$D$2:$D$1946)</f>
        <v>26</v>
      </c>
      <c r="E625" s="3" t="str" cm="1">
        <f t="array" ref="E625">_xlfn.XLOOKUP(1,
    (pivot!$A$2:$A$1946=endirim!B625) * (pivot!$D$2:$D$1946 = _xlfn.MAXIFS(pivot!$D$2:$D$1946, pivot!$A$2:$A$1946, endirim!B625)),
    pivot!$B$2:$B$1946)</f>
        <v>HandsetRefurbished</v>
      </c>
      <c r="F625" s="22">
        <f>_xlfn.MAXIFS(pivot!$D$2:$D$1946, pivot!$A$2:$A$1946, endirim!B625)</f>
        <v>26</v>
      </c>
      <c r="G625" s="3" t="str">
        <f t="shared" si="9"/>
        <v>Təklif yoxdur</v>
      </c>
    </row>
    <row r="626" spans="2:7" x14ac:dyDescent="0.3">
      <c r="B626" t="s">
        <v>680</v>
      </c>
      <c r="C626" s="3" t="str" cm="1">
        <f t="array" ref="C626">_xlfn.XLOOKUP(1,(pivot!$A$2:$A$1946=Table3[[#This Row],[Müştəri adı]])*(pivot!$C$2:$C$1946=_xlfn.MAXIFS(pivot!$C$2:$C$1946,pivot!$A$2:$A$1946,Table3[[#This Row],[Müştəri adı]])),pivot!$B$2:$B$1946)</f>
        <v>ChildrenInHH</v>
      </c>
      <c r="D626" s="22" cm="1">
        <f t="array" ref="D626">_xlfn.XLOOKUP(1,
  (pivot!$A$2:$A$1946=endirim!B626) * (pivot!$C$2:$C$1946 = _xlfn.MAXIFS(pivot!$C$2:$C$1946, pivot!$A$2:$A$1946, endirim!B626)),
  pivot!$D$2:$D$1946)</f>
        <v>10</v>
      </c>
      <c r="E626" s="3" t="str" cm="1">
        <f t="array" ref="E626">_xlfn.XLOOKUP(1,
    (pivot!$A$2:$A$1946=endirim!B626) * (pivot!$D$2:$D$1946 = _xlfn.MAXIFS(pivot!$D$2:$D$1946, pivot!$A$2:$A$1946, endirim!B626)),
    pivot!$B$2:$B$1946)</f>
        <v>BuysViaMailOrder</v>
      </c>
      <c r="F626" s="22">
        <f>_xlfn.MAXIFS(pivot!$D$2:$D$1946, pivot!$A$2:$A$1946, endirim!B626)</f>
        <v>25</v>
      </c>
      <c r="G626" s="3" t="str">
        <f t="shared" si="9"/>
        <v>BuysViaMailOrder Kompaniyasını 20% endirimlə təklif et</v>
      </c>
    </row>
    <row r="627" spans="2:7" x14ac:dyDescent="0.3">
      <c r="B627" t="s">
        <v>681</v>
      </c>
      <c r="C627" s="3" t="str" cm="1">
        <f t="array" ref="C627">_xlfn.XLOOKUP(1,(pivot!$A$2:$A$1946=Table3[[#This Row],[Müştəri adı]])*(pivot!$C$2:$C$1946=_xlfn.MAXIFS(pivot!$C$2:$C$1946,pivot!$A$2:$A$1946,Table3[[#This Row],[Müştəri adı]])),pivot!$B$2:$B$1946)</f>
        <v>ChildrenInHH</v>
      </c>
      <c r="D627" s="22" cm="1">
        <f t="array" ref="D627">_xlfn.XLOOKUP(1,
  (pivot!$A$2:$A$1946=endirim!B627) * (pivot!$C$2:$C$1946 = _xlfn.MAXIFS(pivot!$C$2:$C$1946, pivot!$A$2:$A$1946, endirim!B627)),
  pivot!$D$2:$D$1946)</f>
        <v>10</v>
      </c>
      <c r="E627" s="3" t="str" cm="1">
        <f t="array" ref="E627">_xlfn.XLOOKUP(1,
    (pivot!$A$2:$A$1946=endirim!B627) * (pivot!$D$2:$D$1946 = _xlfn.MAXIFS(pivot!$D$2:$D$1946, pivot!$A$2:$A$1946, endirim!B627)),
    pivot!$B$2:$B$1946)</f>
        <v>OwnsComputer</v>
      </c>
      <c r="F627" s="22">
        <f>_xlfn.MAXIFS(pivot!$D$2:$D$1946, pivot!$A$2:$A$1946, endirim!B627)</f>
        <v>62</v>
      </c>
      <c r="G627" s="3" t="str">
        <f t="shared" si="9"/>
        <v>OwnsComputer Kompaniyasını 20% endirimlə təklif et</v>
      </c>
    </row>
    <row r="628" spans="2:7" x14ac:dyDescent="0.3">
      <c r="B628" t="s">
        <v>682</v>
      </c>
      <c r="C628" s="3" t="str" cm="1">
        <f t="array" ref="C628">_xlfn.XLOOKUP(1,(pivot!$A$2:$A$1946=Table3[[#This Row],[Müştəri adı]])*(pivot!$C$2:$C$1946=_xlfn.MAXIFS(pivot!$C$2:$C$1946,pivot!$A$2:$A$1946,Table3[[#This Row],[Müştəri adı]])),pivot!$B$2:$B$1946)</f>
        <v>Homeownership</v>
      </c>
      <c r="D628" s="22" cm="1">
        <f t="array" ref="D628">_xlfn.XLOOKUP(1,
  (pivot!$A$2:$A$1946=endirim!B628) * (pivot!$C$2:$C$1946 = _xlfn.MAXIFS(pivot!$C$2:$C$1946, pivot!$A$2:$A$1946, endirim!B628)),
  pivot!$D$2:$D$1946)</f>
        <v>13</v>
      </c>
      <c r="E628" s="3" t="str" cm="1">
        <f t="array" ref="E628">_xlfn.XLOOKUP(1,
    (pivot!$A$2:$A$1946=endirim!B628) * (pivot!$D$2:$D$1946 = _xlfn.MAXIFS(pivot!$D$2:$D$1946, pivot!$A$2:$A$1946, endirim!B628)),
    pivot!$B$2:$B$1946)</f>
        <v>RespondsToMailOffers</v>
      </c>
      <c r="F628" s="22">
        <f>_xlfn.MAXIFS(pivot!$D$2:$D$1946, pivot!$A$2:$A$1946, endirim!B628)</f>
        <v>27</v>
      </c>
      <c r="G628" s="3" t="str">
        <f t="shared" si="9"/>
        <v>RespondsToMailOffers Kompaniyasını 20% endirimlə təklif et</v>
      </c>
    </row>
    <row r="629" spans="2:7" x14ac:dyDescent="0.3">
      <c r="B629" t="s">
        <v>683</v>
      </c>
      <c r="C629" s="3" t="str" cm="1">
        <f t="array" ref="C629">_xlfn.XLOOKUP(1,(pivot!$A$2:$A$1946=Table3[[#This Row],[Müştəri adı]])*(pivot!$C$2:$C$1946=_xlfn.MAXIFS(pivot!$C$2:$C$1946,pivot!$A$2:$A$1946,Table3[[#This Row],[Müştəri adı]])),pivot!$B$2:$B$1946)</f>
        <v>BuysViaMailOrder</v>
      </c>
      <c r="D629" s="22" cm="1">
        <f t="array" ref="D629">_xlfn.XLOOKUP(1,
  (pivot!$A$2:$A$1946=endirim!B629) * (pivot!$C$2:$C$1946 = _xlfn.MAXIFS(pivot!$C$2:$C$1946, pivot!$A$2:$A$1946, endirim!B629)),
  pivot!$D$2:$D$1946)</f>
        <v>25</v>
      </c>
      <c r="E629" s="3" t="str" cm="1">
        <f t="array" ref="E629">_xlfn.XLOOKUP(1,
    (pivot!$A$2:$A$1946=endirim!B629) * (pivot!$D$2:$D$1946 = _xlfn.MAXIFS(pivot!$D$2:$D$1946, pivot!$A$2:$A$1946, endirim!B629)),
    pivot!$B$2:$B$1946)</f>
        <v>BuysViaMailOrder</v>
      </c>
      <c r="F629" s="22">
        <f>_xlfn.MAXIFS(pivot!$D$2:$D$1946, pivot!$A$2:$A$1946, endirim!B629)</f>
        <v>25</v>
      </c>
      <c r="G629" s="3" t="str">
        <f t="shared" si="9"/>
        <v>Təklif yoxdur</v>
      </c>
    </row>
    <row r="630" spans="2:7" x14ac:dyDescent="0.3">
      <c r="B630" t="s">
        <v>684</v>
      </c>
      <c r="C630" s="3" t="str" cm="1">
        <f t="array" ref="C630">_xlfn.XLOOKUP(1,(pivot!$A$2:$A$1946=Table3[[#This Row],[Müştəri adı]])*(pivot!$C$2:$C$1946=_xlfn.MAXIFS(pivot!$C$2:$C$1946,pivot!$A$2:$A$1946,Table3[[#This Row],[Müştəri adı]])),pivot!$B$2:$B$1946)</f>
        <v>OwnsMotorcycle</v>
      </c>
      <c r="D630" s="22" cm="1">
        <f t="array" ref="D630">_xlfn.XLOOKUP(1,
  (pivot!$A$2:$A$1946=endirim!B630) * (pivot!$C$2:$C$1946 = _xlfn.MAXIFS(pivot!$C$2:$C$1946, pivot!$A$2:$A$1946, endirim!B630)),
  pivot!$D$2:$D$1946)</f>
        <v>14</v>
      </c>
      <c r="E630" s="3" t="str" cm="1">
        <f t="array" ref="E630">_xlfn.XLOOKUP(1,
    (pivot!$A$2:$A$1946=endirim!B630) * (pivot!$D$2:$D$1946 = _xlfn.MAXIFS(pivot!$D$2:$D$1946, pivot!$A$2:$A$1946, endirim!B630)),
    pivot!$B$2:$B$1946)</f>
        <v>OwnsMotorcycle</v>
      </c>
      <c r="F630" s="22">
        <f>_xlfn.MAXIFS(pivot!$D$2:$D$1946, pivot!$A$2:$A$1946, endirim!B630)</f>
        <v>14</v>
      </c>
      <c r="G630" s="3" t="str">
        <f t="shared" si="9"/>
        <v>Təklif yoxdur</v>
      </c>
    </row>
    <row r="631" spans="2:7" x14ac:dyDescent="0.3">
      <c r="B631" t="s">
        <v>685</v>
      </c>
      <c r="C631" s="3" t="str" cm="1">
        <f t="array" ref="C631">_xlfn.XLOOKUP(1,(pivot!$A$2:$A$1946=Table3[[#This Row],[Müştəri adı]])*(pivot!$C$2:$C$1946=_xlfn.MAXIFS(pivot!$C$2:$C$1946,pivot!$A$2:$A$1946,Table3[[#This Row],[Müştəri adı]])),pivot!$B$2:$B$1946)</f>
        <v>NotNewCellphoneUser</v>
      </c>
      <c r="D631" s="22" cm="1">
        <f t="array" ref="D631">_xlfn.XLOOKUP(1,
  (pivot!$A$2:$A$1946=endirim!B631) * (pivot!$C$2:$C$1946 = _xlfn.MAXIFS(pivot!$C$2:$C$1946, pivot!$A$2:$A$1946, endirim!B631)),
  pivot!$D$2:$D$1946)</f>
        <v>28</v>
      </c>
      <c r="E631" s="3" t="str" cm="1">
        <f t="array" ref="E631">_xlfn.XLOOKUP(1,
    (pivot!$A$2:$A$1946=endirim!B631) * (pivot!$D$2:$D$1946 = _xlfn.MAXIFS(pivot!$D$2:$D$1946, pivot!$A$2:$A$1946, endirim!B631)),
    pivot!$B$2:$B$1946)</f>
        <v>NotNewCellphoneUser</v>
      </c>
      <c r="F631" s="22">
        <f>_xlfn.MAXIFS(pivot!$D$2:$D$1946, pivot!$A$2:$A$1946, endirim!B631)</f>
        <v>28</v>
      </c>
      <c r="G631" s="3" t="str">
        <f t="shared" si="9"/>
        <v>Təklif yoxdur</v>
      </c>
    </row>
    <row r="632" spans="2:7" x14ac:dyDescent="0.3">
      <c r="B632" t="s">
        <v>686</v>
      </c>
      <c r="C632" s="3" t="str" cm="1">
        <f t="array" ref="C632">_xlfn.XLOOKUP(1,(pivot!$A$2:$A$1946=Table3[[#This Row],[Müştəri adı]])*(pivot!$C$2:$C$1946=_xlfn.MAXIFS(pivot!$C$2:$C$1946,pivot!$A$2:$A$1946,Table3[[#This Row],[Müştəri adı]])),pivot!$B$2:$B$1946)</f>
        <v>NotNewCellphoneUser</v>
      </c>
      <c r="D632" s="22" cm="1">
        <f t="array" ref="D632">_xlfn.XLOOKUP(1,
  (pivot!$A$2:$A$1946=endirim!B632) * (pivot!$C$2:$C$1946 = _xlfn.MAXIFS(pivot!$C$2:$C$1946, pivot!$A$2:$A$1946, endirim!B632)),
  pivot!$D$2:$D$1946)</f>
        <v>28</v>
      </c>
      <c r="E632" s="3" t="str" cm="1">
        <f t="array" ref="E632">_xlfn.XLOOKUP(1,
    (pivot!$A$2:$A$1946=endirim!B632) * (pivot!$D$2:$D$1946 = _xlfn.MAXIFS(pivot!$D$2:$D$1946, pivot!$A$2:$A$1946, endirim!B632)),
    pivot!$B$2:$B$1946)</f>
        <v>MaritalStatus</v>
      </c>
      <c r="F632" s="22">
        <f>_xlfn.MAXIFS(pivot!$D$2:$D$1946, pivot!$A$2:$A$1946, endirim!B632)</f>
        <v>29</v>
      </c>
      <c r="G632" s="3" t="str">
        <f t="shared" si="9"/>
        <v>MaritalStatus Kompaniyasını 20% endirimlə təklif et</v>
      </c>
    </row>
    <row r="633" spans="2:7" x14ac:dyDescent="0.3">
      <c r="B633" t="s">
        <v>687</v>
      </c>
      <c r="C633" s="3" t="str" cm="1">
        <f t="array" ref="C633">_xlfn.XLOOKUP(1,(pivot!$A$2:$A$1946=Table3[[#This Row],[Müştəri adı]])*(pivot!$C$2:$C$1946=_xlfn.MAXIFS(pivot!$C$2:$C$1946,pivot!$A$2:$A$1946,Table3[[#This Row],[Müştəri adı]])),pivot!$B$2:$B$1946)</f>
        <v>HandsetRefurbished</v>
      </c>
      <c r="D633" s="22" cm="1">
        <f t="array" ref="D633">_xlfn.XLOOKUP(1,
  (pivot!$A$2:$A$1946=endirim!B633) * (pivot!$C$2:$C$1946 = _xlfn.MAXIFS(pivot!$C$2:$C$1946, pivot!$A$2:$A$1946, endirim!B633)),
  pivot!$D$2:$D$1946)</f>
        <v>26</v>
      </c>
      <c r="E633" s="3" t="str" cm="1">
        <f t="array" ref="E633">_xlfn.XLOOKUP(1,
    (pivot!$A$2:$A$1946=endirim!B633) * (pivot!$D$2:$D$1946 = _xlfn.MAXIFS(pivot!$D$2:$D$1946, pivot!$A$2:$A$1946, endirim!B633)),
    pivot!$B$2:$B$1946)</f>
        <v>HandsetRefurbished</v>
      </c>
      <c r="F633" s="22">
        <f>_xlfn.MAXIFS(pivot!$D$2:$D$1946, pivot!$A$2:$A$1946, endirim!B633)</f>
        <v>26</v>
      </c>
      <c r="G633" s="3" t="str">
        <f t="shared" si="9"/>
        <v>Təklif yoxdur</v>
      </c>
    </row>
    <row r="634" spans="2:7" x14ac:dyDescent="0.3">
      <c r="B634" t="s">
        <v>688</v>
      </c>
      <c r="C634" s="3" t="str" cm="1">
        <f t="array" ref="C634">_xlfn.XLOOKUP(1,(pivot!$A$2:$A$1946=Table3[[#This Row],[Müştəri adı]])*(pivot!$C$2:$C$1946=_xlfn.MAXIFS(pivot!$C$2:$C$1946,pivot!$A$2:$A$1946,Table3[[#This Row],[Müştəri adı]])),pivot!$B$2:$B$1946)</f>
        <v>NewCellphoneUser</v>
      </c>
      <c r="D634" s="22" cm="1">
        <f t="array" ref="D634">_xlfn.XLOOKUP(1,
  (pivot!$A$2:$A$1946=endirim!B634) * (pivot!$C$2:$C$1946 = _xlfn.MAXIFS(pivot!$C$2:$C$1946, pivot!$A$2:$A$1946, endirim!B634)),
  pivot!$D$2:$D$1946)</f>
        <v>25</v>
      </c>
      <c r="E634" s="3" t="str" cm="1">
        <f t="array" ref="E634">_xlfn.XLOOKUP(1,
    (pivot!$A$2:$A$1946=endirim!B634) * (pivot!$D$2:$D$1946 = _xlfn.MAXIFS(pivot!$D$2:$D$1946, pivot!$A$2:$A$1946, endirim!B634)),
    pivot!$B$2:$B$1946)</f>
        <v>NonUSTravel</v>
      </c>
      <c r="F634" s="22">
        <f>_xlfn.MAXIFS(pivot!$D$2:$D$1946, pivot!$A$2:$A$1946, endirim!B634)</f>
        <v>66</v>
      </c>
      <c r="G634" s="3" t="str">
        <f t="shared" si="9"/>
        <v>NonUSTravel Kompaniyasını 20% endirimlə təklif et</v>
      </c>
    </row>
    <row r="635" spans="2:7" x14ac:dyDescent="0.3">
      <c r="B635" t="s">
        <v>689</v>
      </c>
      <c r="C635" s="3" t="str" cm="1">
        <f t="array" ref="C635">_xlfn.XLOOKUP(1,(pivot!$A$2:$A$1946=Table3[[#This Row],[Müştəri adı]])*(pivot!$C$2:$C$1946=_xlfn.MAXIFS(pivot!$C$2:$C$1946,pivot!$A$2:$A$1946,Table3[[#This Row],[Müştəri adı]])),pivot!$B$2:$B$1946)</f>
        <v>Homeownership</v>
      </c>
      <c r="D635" s="22" cm="1">
        <f t="array" ref="D635">_xlfn.XLOOKUP(1,
  (pivot!$A$2:$A$1946=endirim!B635) * (pivot!$C$2:$C$1946 = _xlfn.MAXIFS(pivot!$C$2:$C$1946, pivot!$A$2:$A$1946, endirim!B635)),
  pivot!$D$2:$D$1946)</f>
        <v>13</v>
      </c>
      <c r="E635" s="3" t="str" cm="1">
        <f t="array" ref="E635">_xlfn.XLOOKUP(1,
    (pivot!$A$2:$A$1946=endirim!B635) * (pivot!$D$2:$D$1946 = _xlfn.MAXIFS(pivot!$D$2:$D$1946, pivot!$A$2:$A$1946, endirim!B635)),
    pivot!$B$2:$B$1946)</f>
        <v>OwnsMotorcycle</v>
      </c>
      <c r="F635" s="22">
        <f>_xlfn.MAXIFS(pivot!$D$2:$D$1946, pivot!$A$2:$A$1946, endirim!B635)</f>
        <v>14</v>
      </c>
      <c r="G635" s="3" t="str">
        <f t="shared" si="9"/>
        <v>OwnsMotorcycle Kompaniyasını 20% endirimlə təklif et</v>
      </c>
    </row>
    <row r="636" spans="2:7" x14ac:dyDescent="0.3">
      <c r="B636" t="s">
        <v>690</v>
      </c>
      <c r="C636" s="3" t="str" cm="1">
        <f t="array" ref="C636">_xlfn.XLOOKUP(1,(pivot!$A$2:$A$1946=Table3[[#This Row],[Müştəri adı]])*(pivot!$C$2:$C$1946=_xlfn.MAXIFS(pivot!$C$2:$C$1946,pivot!$A$2:$A$1946,Table3[[#This Row],[Müştəri adı]])),pivot!$B$2:$B$1946)</f>
        <v>RespondsToMailOffers</v>
      </c>
      <c r="D636" s="22" cm="1">
        <f t="array" ref="D636">_xlfn.XLOOKUP(1,
  (pivot!$A$2:$A$1946=endirim!B636) * (pivot!$C$2:$C$1946 = _xlfn.MAXIFS(pivot!$C$2:$C$1946, pivot!$A$2:$A$1946, endirim!B636)),
  pivot!$D$2:$D$1946)</f>
        <v>27</v>
      </c>
      <c r="E636" s="3" t="str" cm="1">
        <f t="array" ref="E636">_xlfn.XLOOKUP(1,
    (pivot!$A$2:$A$1946=endirim!B636) * (pivot!$D$2:$D$1946 = _xlfn.MAXIFS(pivot!$D$2:$D$1946, pivot!$A$2:$A$1946, endirim!B636)),
    pivot!$B$2:$B$1946)</f>
        <v>OwnsComputer</v>
      </c>
      <c r="F636" s="22">
        <f>_xlfn.MAXIFS(pivot!$D$2:$D$1946, pivot!$A$2:$A$1946, endirim!B636)</f>
        <v>62</v>
      </c>
      <c r="G636" s="3" t="str">
        <f t="shared" si="9"/>
        <v>OwnsComputer Kompaniyasını 20% endirimlə təklif et</v>
      </c>
    </row>
    <row r="637" spans="2:7" x14ac:dyDescent="0.3">
      <c r="B637" t="s">
        <v>691</v>
      </c>
      <c r="C637" s="3" t="str" cm="1">
        <f t="array" ref="C637">_xlfn.XLOOKUP(1,(pivot!$A$2:$A$1946=Table3[[#This Row],[Müştəri adı]])*(pivot!$C$2:$C$1946=_xlfn.MAXIFS(pivot!$C$2:$C$1946,pivot!$A$2:$A$1946,Table3[[#This Row],[Müştəri adı]])),pivot!$B$2:$B$1946)</f>
        <v>RVOwner</v>
      </c>
      <c r="D637" s="22" cm="1">
        <f t="array" ref="D637">_xlfn.XLOOKUP(1,
  (pivot!$A$2:$A$1946=endirim!B637) * (pivot!$C$2:$C$1946 = _xlfn.MAXIFS(pivot!$C$2:$C$1946, pivot!$A$2:$A$1946, endirim!B637)),
  pivot!$D$2:$D$1946)</f>
        <v>22</v>
      </c>
      <c r="E637" s="3" t="str" cm="1">
        <f t="array" ref="E637">_xlfn.XLOOKUP(1,
    (pivot!$A$2:$A$1946=endirim!B637) * (pivot!$D$2:$D$1946 = _xlfn.MAXIFS(pivot!$D$2:$D$1946, pivot!$A$2:$A$1946, endirim!B637)),
    pivot!$B$2:$B$1946)</f>
        <v>TruckOwner</v>
      </c>
      <c r="F637" s="22">
        <f>_xlfn.MAXIFS(pivot!$D$2:$D$1946, pivot!$A$2:$A$1946, endirim!B637)</f>
        <v>26</v>
      </c>
      <c r="G637" s="3" t="str">
        <f t="shared" si="9"/>
        <v>TruckOwner Kompaniyasını 20% endirimlə təklif et</v>
      </c>
    </row>
    <row r="638" spans="2:7" x14ac:dyDescent="0.3">
      <c r="B638" t="s">
        <v>692</v>
      </c>
      <c r="C638" s="3" t="str" cm="1">
        <f t="array" ref="C638">_xlfn.XLOOKUP(1,(pivot!$A$2:$A$1946=Table3[[#This Row],[Müştəri adı]])*(pivot!$C$2:$C$1946=_xlfn.MAXIFS(pivot!$C$2:$C$1946,pivot!$A$2:$A$1946,Table3[[#This Row],[Müştəri adı]])),pivot!$B$2:$B$1946)</f>
        <v>RespondsToMailOffers</v>
      </c>
      <c r="D638" s="22" cm="1">
        <f t="array" ref="D638">_xlfn.XLOOKUP(1,
  (pivot!$A$2:$A$1946=endirim!B638) * (pivot!$C$2:$C$1946 = _xlfn.MAXIFS(pivot!$C$2:$C$1946, pivot!$A$2:$A$1946, endirim!B638)),
  pivot!$D$2:$D$1946)</f>
        <v>27</v>
      </c>
      <c r="E638" s="3" t="str" cm="1">
        <f t="array" ref="E638">_xlfn.XLOOKUP(1,
    (pivot!$A$2:$A$1946=endirim!B638) * (pivot!$D$2:$D$1946 = _xlfn.MAXIFS(pivot!$D$2:$D$1946, pivot!$A$2:$A$1946, endirim!B638)),
    pivot!$B$2:$B$1946)</f>
        <v>NonUSTravel</v>
      </c>
      <c r="F638" s="22">
        <f>_xlfn.MAXIFS(pivot!$D$2:$D$1946, pivot!$A$2:$A$1946, endirim!B638)</f>
        <v>66</v>
      </c>
      <c r="G638" s="3" t="str">
        <f t="shared" si="9"/>
        <v>NonUSTravel Kompaniyasını 20% endirimlə təklif et</v>
      </c>
    </row>
    <row r="639" spans="2:7" x14ac:dyDescent="0.3">
      <c r="B639" t="s">
        <v>693</v>
      </c>
      <c r="C639" s="3" t="str" cm="1">
        <f t="array" ref="C639">_xlfn.XLOOKUP(1,(pivot!$A$2:$A$1946=Table3[[#This Row],[Müştəri adı]])*(pivot!$C$2:$C$1946=_xlfn.MAXIFS(pivot!$C$2:$C$1946,pivot!$A$2:$A$1946,Table3[[#This Row],[Müştəri adı]])),pivot!$B$2:$B$1946)</f>
        <v>RespondsToMailOffers</v>
      </c>
      <c r="D639" s="22" cm="1">
        <f t="array" ref="D639">_xlfn.XLOOKUP(1,
  (pivot!$A$2:$A$1946=endirim!B639) * (pivot!$C$2:$C$1946 = _xlfn.MAXIFS(pivot!$C$2:$C$1946, pivot!$A$2:$A$1946, endirim!B639)),
  pivot!$D$2:$D$1946)</f>
        <v>27</v>
      </c>
      <c r="E639" s="3" t="str" cm="1">
        <f t="array" ref="E639">_xlfn.XLOOKUP(1,
    (pivot!$A$2:$A$1946=endirim!B639) * (pivot!$D$2:$D$1946 = _xlfn.MAXIFS(pivot!$D$2:$D$1946, pivot!$A$2:$A$1946, endirim!B639)),
    pivot!$B$2:$B$1946)</f>
        <v>MaritalStatus</v>
      </c>
      <c r="F639" s="22">
        <f>_xlfn.MAXIFS(pivot!$D$2:$D$1946, pivot!$A$2:$A$1946, endirim!B639)</f>
        <v>29</v>
      </c>
      <c r="G639" s="3" t="str">
        <f t="shared" si="9"/>
        <v>MaritalStatus Kompaniyasını 20% endirimlə təklif et</v>
      </c>
    </row>
    <row r="640" spans="2:7" x14ac:dyDescent="0.3">
      <c r="B640" t="s">
        <v>694</v>
      </c>
      <c r="C640" s="3" t="str" cm="1">
        <f t="array" ref="C640">_xlfn.XLOOKUP(1,(pivot!$A$2:$A$1946=Table3[[#This Row],[Müştəri adı]])*(pivot!$C$2:$C$1946=_xlfn.MAXIFS(pivot!$C$2:$C$1946,pivot!$A$2:$A$1946,Table3[[#This Row],[Müştəri adı]])),pivot!$B$2:$B$1946)</f>
        <v>BuysViaMailOrder</v>
      </c>
      <c r="D640" s="22" cm="1">
        <f t="array" ref="D640">_xlfn.XLOOKUP(1,
  (pivot!$A$2:$A$1946=endirim!B640) * (pivot!$C$2:$C$1946 = _xlfn.MAXIFS(pivot!$C$2:$C$1946, pivot!$A$2:$A$1946, endirim!B640)),
  pivot!$D$2:$D$1946)</f>
        <v>25</v>
      </c>
      <c r="E640" s="3" t="str" cm="1">
        <f t="array" ref="E640">_xlfn.XLOOKUP(1,
    (pivot!$A$2:$A$1946=endirim!B640) * (pivot!$D$2:$D$1946 = _xlfn.MAXIFS(pivot!$D$2:$D$1946, pivot!$A$2:$A$1946, endirim!B640)),
    pivot!$B$2:$B$1946)</f>
        <v>NonUSTravel</v>
      </c>
      <c r="F640" s="22">
        <f>_xlfn.MAXIFS(pivot!$D$2:$D$1946, pivot!$A$2:$A$1946, endirim!B640)</f>
        <v>66</v>
      </c>
      <c r="G640" s="3" t="str">
        <f t="shared" si="9"/>
        <v>NonUSTravel Kompaniyasını 20% endirimlə təklif et</v>
      </c>
    </row>
    <row r="641" spans="2:7" x14ac:dyDescent="0.3">
      <c r="B641" t="s">
        <v>695</v>
      </c>
      <c r="C641" s="3" t="str" cm="1">
        <f t="array" ref="C641">_xlfn.XLOOKUP(1,(pivot!$A$2:$A$1946=Table3[[#This Row],[Müştəri adı]])*(pivot!$C$2:$C$1946=_xlfn.MAXIFS(pivot!$C$2:$C$1946,pivot!$A$2:$A$1946,Table3[[#This Row],[Müştəri adı]])),pivot!$B$2:$B$1946)</f>
        <v>TruckOwner</v>
      </c>
      <c r="D641" s="22" cm="1">
        <f t="array" ref="D641">_xlfn.XLOOKUP(1,
  (pivot!$A$2:$A$1946=endirim!B641) * (pivot!$C$2:$C$1946 = _xlfn.MAXIFS(pivot!$C$2:$C$1946, pivot!$A$2:$A$1946, endirim!B641)),
  pivot!$D$2:$D$1946)</f>
        <v>26</v>
      </c>
      <c r="E641" s="3" t="str" cm="1">
        <f t="array" ref="E641">_xlfn.XLOOKUP(1,
    (pivot!$A$2:$A$1946=endirim!B641) * (pivot!$D$2:$D$1946 = _xlfn.MAXIFS(pivot!$D$2:$D$1946, pivot!$A$2:$A$1946, endirim!B641)),
    pivot!$B$2:$B$1946)</f>
        <v>HasCreditCard</v>
      </c>
      <c r="F641" s="22">
        <f>_xlfn.MAXIFS(pivot!$D$2:$D$1946, pivot!$A$2:$A$1946, endirim!B641)</f>
        <v>65</v>
      </c>
      <c r="G641" s="3" t="str">
        <f t="shared" si="9"/>
        <v>HasCreditCard Kompaniyasını 20% endirimlə təklif et</v>
      </c>
    </row>
    <row r="642" spans="2:7" x14ac:dyDescent="0.3">
      <c r="B642" t="s">
        <v>696</v>
      </c>
      <c r="C642" s="3" t="str" cm="1">
        <f t="array" ref="C642">_xlfn.XLOOKUP(1,(pivot!$A$2:$A$1946=Table3[[#This Row],[Müştəri adı]])*(pivot!$C$2:$C$1946=_xlfn.MAXIFS(pivot!$C$2:$C$1946,pivot!$A$2:$A$1946,Table3[[#This Row],[Müştəri adı]])),pivot!$B$2:$B$1946)</f>
        <v>OwnsComputer</v>
      </c>
      <c r="D642" s="22" cm="1">
        <f t="array" ref="D642">_xlfn.XLOOKUP(1,
  (pivot!$A$2:$A$1946=endirim!B642) * (pivot!$C$2:$C$1946 = _xlfn.MAXIFS(pivot!$C$2:$C$1946, pivot!$A$2:$A$1946, endirim!B642)),
  pivot!$D$2:$D$1946)</f>
        <v>62</v>
      </c>
      <c r="E642" s="3" t="str" cm="1">
        <f t="array" ref="E642">_xlfn.XLOOKUP(1,
    (pivot!$A$2:$A$1946=endirim!B642) * (pivot!$D$2:$D$1946 = _xlfn.MAXIFS(pivot!$D$2:$D$1946, pivot!$A$2:$A$1946, endirim!B642)),
    pivot!$B$2:$B$1946)</f>
        <v>OwnsComputer</v>
      </c>
      <c r="F642" s="22">
        <f>_xlfn.MAXIFS(pivot!$D$2:$D$1946, pivot!$A$2:$A$1946, endirim!B642)</f>
        <v>62</v>
      </c>
      <c r="G642" s="3" t="str">
        <f t="shared" si="9"/>
        <v>Təklif yoxdur</v>
      </c>
    </row>
    <row r="643" spans="2:7" x14ac:dyDescent="0.3">
      <c r="B643" t="s">
        <v>697</v>
      </c>
      <c r="C643" s="3" t="str" cm="1">
        <f t="array" ref="C643">_xlfn.XLOOKUP(1,(pivot!$A$2:$A$1946=Table3[[#This Row],[Müştəri adı]])*(pivot!$C$2:$C$1946=_xlfn.MAXIFS(pivot!$C$2:$C$1946,pivot!$A$2:$A$1946,Table3[[#This Row],[Müştəri adı]])),pivot!$B$2:$B$1946)</f>
        <v>HandsetWebCapable</v>
      </c>
      <c r="D643" s="22" cm="1">
        <f t="array" ref="D643">_xlfn.XLOOKUP(1,
  (pivot!$A$2:$A$1946=endirim!B643) * (pivot!$C$2:$C$1946 = _xlfn.MAXIFS(pivot!$C$2:$C$1946, pivot!$A$2:$A$1946, endirim!B643)),
  pivot!$D$2:$D$1946)</f>
        <v>62</v>
      </c>
      <c r="E643" s="3" t="str" cm="1">
        <f t="array" ref="E643">_xlfn.XLOOKUP(1,
    (pivot!$A$2:$A$1946=endirim!B643) * (pivot!$D$2:$D$1946 = _xlfn.MAXIFS(pivot!$D$2:$D$1946, pivot!$A$2:$A$1946, endirim!B643)),
    pivot!$B$2:$B$1946)</f>
        <v>NonUSTravel</v>
      </c>
      <c r="F643" s="22">
        <f>_xlfn.MAXIFS(pivot!$D$2:$D$1946, pivot!$A$2:$A$1946, endirim!B643)</f>
        <v>66</v>
      </c>
      <c r="G643" s="3" t="str">
        <f t="shared" si="9"/>
        <v>NonUSTravel Kompaniyasını 20% endirimlə təklif et</v>
      </c>
    </row>
    <row r="644" spans="2:7" x14ac:dyDescent="0.3">
      <c r="B644" t="s">
        <v>698</v>
      </c>
      <c r="C644" s="3" t="str" cm="1">
        <f t="array" ref="C644">_xlfn.XLOOKUP(1,(pivot!$A$2:$A$1946=Table3[[#This Row],[Müştəri adı]])*(pivot!$C$2:$C$1946=_xlfn.MAXIFS(pivot!$C$2:$C$1946,pivot!$A$2:$A$1946,Table3[[#This Row],[Müştəri adı]])),pivot!$B$2:$B$1946)</f>
        <v>OptOutMailings</v>
      </c>
      <c r="D644" s="22" cm="1">
        <f t="array" ref="D644">_xlfn.XLOOKUP(1,
  (pivot!$A$2:$A$1946=endirim!B644) * (pivot!$C$2:$C$1946 = _xlfn.MAXIFS(pivot!$C$2:$C$1946, pivot!$A$2:$A$1946, endirim!B644)),
  pivot!$D$2:$D$1946)</f>
        <v>75</v>
      </c>
      <c r="E644" s="3" t="str" cm="1">
        <f t="array" ref="E644">_xlfn.XLOOKUP(1,
    (pivot!$A$2:$A$1946=endirim!B644) * (pivot!$D$2:$D$1946 = _xlfn.MAXIFS(pivot!$D$2:$D$1946, pivot!$A$2:$A$1946, endirim!B644)),
    pivot!$B$2:$B$1946)</f>
        <v>OptOutMailings</v>
      </c>
      <c r="F644" s="22">
        <f>_xlfn.MAXIFS(pivot!$D$2:$D$1946, pivot!$A$2:$A$1946, endirim!B644)</f>
        <v>75</v>
      </c>
      <c r="G644" s="3" t="str">
        <f t="shared" ref="G644:G707" si="10">IF(D644=F644, "Təklif yoxdur", E644&amp;" Kompaniyasını 20% endirimlə təklif et")</f>
        <v>Təklif yoxdur</v>
      </c>
    </row>
    <row r="645" spans="2:7" x14ac:dyDescent="0.3">
      <c r="B645" t="s">
        <v>699</v>
      </c>
      <c r="C645" s="3" t="str" cm="1">
        <f t="array" ref="C645">_xlfn.XLOOKUP(1,(pivot!$A$2:$A$1946=Table3[[#This Row],[Müştəri adı]])*(pivot!$C$2:$C$1946=_xlfn.MAXIFS(pivot!$C$2:$C$1946,pivot!$A$2:$A$1946,Table3[[#This Row],[Müştəri adı]])),pivot!$B$2:$B$1946)</f>
        <v>RVOwner</v>
      </c>
      <c r="D645" s="22" cm="1">
        <f t="array" ref="D645">_xlfn.XLOOKUP(1,
  (pivot!$A$2:$A$1946=endirim!B645) * (pivot!$C$2:$C$1946 = _xlfn.MAXIFS(pivot!$C$2:$C$1946, pivot!$A$2:$A$1946, endirim!B645)),
  pivot!$D$2:$D$1946)</f>
        <v>22</v>
      </c>
      <c r="E645" s="3" t="str" cm="1">
        <f t="array" ref="E645">_xlfn.XLOOKUP(1,
    (pivot!$A$2:$A$1946=endirim!B645) * (pivot!$D$2:$D$1946 = _xlfn.MAXIFS(pivot!$D$2:$D$1946, pivot!$A$2:$A$1946, endirim!B645)),
    pivot!$B$2:$B$1946)</f>
        <v>RVOwner</v>
      </c>
      <c r="F645" s="22">
        <f>_xlfn.MAXIFS(pivot!$D$2:$D$1946, pivot!$A$2:$A$1946, endirim!B645)</f>
        <v>22</v>
      </c>
      <c r="G645" s="3" t="str">
        <f t="shared" si="10"/>
        <v>Təklif yoxdur</v>
      </c>
    </row>
    <row r="646" spans="2:7" x14ac:dyDescent="0.3">
      <c r="B646" t="s">
        <v>700</v>
      </c>
      <c r="C646" s="3" t="str" cm="1">
        <f t="array" ref="C646">_xlfn.XLOOKUP(1,(pivot!$A$2:$A$1946=Table3[[#This Row],[Müştəri adı]])*(pivot!$C$2:$C$1946=_xlfn.MAXIFS(pivot!$C$2:$C$1946,pivot!$A$2:$A$1946,Table3[[#This Row],[Müştəri adı]])),pivot!$B$2:$B$1946)</f>
        <v>MaritalStatus</v>
      </c>
      <c r="D646" s="22" cm="1">
        <f t="array" ref="D646">_xlfn.XLOOKUP(1,
  (pivot!$A$2:$A$1946=endirim!B646) * (pivot!$C$2:$C$1946 = _xlfn.MAXIFS(pivot!$C$2:$C$1946, pivot!$A$2:$A$1946, endirim!B646)),
  pivot!$D$2:$D$1946)</f>
        <v>29</v>
      </c>
      <c r="E646" s="3" t="str" cm="1">
        <f t="array" ref="E646">_xlfn.XLOOKUP(1,
    (pivot!$A$2:$A$1946=endirim!B646) * (pivot!$D$2:$D$1946 = _xlfn.MAXIFS(pivot!$D$2:$D$1946, pivot!$A$2:$A$1946, endirim!B646)),
    pivot!$B$2:$B$1946)</f>
        <v>MaritalStatus</v>
      </c>
      <c r="F646" s="22">
        <f>_xlfn.MAXIFS(pivot!$D$2:$D$1946, pivot!$A$2:$A$1946, endirim!B646)</f>
        <v>29</v>
      </c>
      <c r="G646" s="3" t="str">
        <f t="shared" si="10"/>
        <v>Təklif yoxdur</v>
      </c>
    </row>
    <row r="647" spans="2:7" x14ac:dyDescent="0.3">
      <c r="B647" t="s">
        <v>701</v>
      </c>
      <c r="C647" s="3" t="str" cm="1">
        <f t="array" ref="C647">_xlfn.XLOOKUP(1,(pivot!$A$2:$A$1946=Table3[[#This Row],[Müştəri adı]])*(pivot!$C$2:$C$1946=_xlfn.MAXIFS(pivot!$C$2:$C$1946,pivot!$A$2:$A$1946,Table3[[#This Row],[Müştəri adı]])),pivot!$B$2:$B$1946)</f>
        <v>BuysViaMailOrder</v>
      </c>
      <c r="D647" s="22" cm="1">
        <f t="array" ref="D647">_xlfn.XLOOKUP(1,
  (pivot!$A$2:$A$1946=endirim!B647) * (pivot!$C$2:$C$1946 = _xlfn.MAXIFS(pivot!$C$2:$C$1946, pivot!$A$2:$A$1946, endirim!B647)),
  pivot!$D$2:$D$1946)</f>
        <v>25</v>
      </c>
      <c r="E647" s="3" t="str" cm="1">
        <f t="array" ref="E647">_xlfn.XLOOKUP(1,
    (pivot!$A$2:$A$1946=endirim!B647) * (pivot!$D$2:$D$1946 = _xlfn.MAXIFS(pivot!$D$2:$D$1946, pivot!$A$2:$A$1946, endirim!B647)),
    pivot!$B$2:$B$1946)</f>
        <v>BuysViaMailOrder</v>
      </c>
      <c r="F647" s="22">
        <f>_xlfn.MAXIFS(pivot!$D$2:$D$1946, pivot!$A$2:$A$1946, endirim!B647)</f>
        <v>25</v>
      </c>
      <c r="G647" s="3" t="str">
        <f t="shared" si="10"/>
        <v>Təklif yoxdur</v>
      </c>
    </row>
    <row r="648" spans="2:7" x14ac:dyDescent="0.3">
      <c r="B648" t="s">
        <v>702</v>
      </c>
      <c r="C648" s="3" t="str" cm="1">
        <f t="array" ref="C648">_xlfn.XLOOKUP(1,(pivot!$A$2:$A$1946=Table3[[#This Row],[Müştəri adı]])*(pivot!$C$2:$C$1946=_xlfn.MAXIFS(pivot!$C$2:$C$1946,pivot!$A$2:$A$1946,Table3[[#This Row],[Müştəri adı]])),pivot!$B$2:$B$1946)</f>
        <v>MaritalStatus</v>
      </c>
      <c r="D648" s="22" cm="1">
        <f t="array" ref="D648">_xlfn.XLOOKUP(1,
  (pivot!$A$2:$A$1946=endirim!B648) * (pivot!$C$2:$C$1946 = _xlfn.MAXIFS(pivot!$C$2:$C$1946, pivot!$A$2:$A$1946, endirim!B648)),
  pivot!$D$2:$D$1946)</f>
        <v>29</v>
      </c>
      <c r="E648" s="3" t="str" cm="1">
        <f t="array" ref="E648">_xlfn.XLOOKUP(1,
    (pivot!$A$2:$A$1946=endirim!B648) * (pivot!$D$2:$D$1946 = _xlfn.MAXIFS(pivot!$D$2:$D$1946, pivot!$A$2:$A$1946, endirim!B648)),
    pivot!$B$2:$B$1946)</f>
        <v>HasCreditCard</v>
      </c>
      <c r="F648" s="22">
        <f>_xlfn.MAXIFS(pivot!$D$2:$D$1946, pivot!$A$2:$A$1946, endirim!B648)</f>
        <v>65</v>
      </c>
      <c r="G648" s="3" t="str">
        <f t="shared" si="10"/>
        <v>HasCreditCard Kompaniyasını 20% endirimlə təklif et</v>
      </c>
    </row>
    <row r="649" spans="2:7" x14ac:dyDescent="0.3">
      <c r="B649" t="s">
        <v>703</v>
      </c>
      <c r="C649" s="3" t="str" cm="1">
        <f t="array" ref="C649">_xlfn.XLOOKUP(1,(pivot!$A$2:$A$1946=Table3[[#This Row],[Müştəri adı]])*(pivot!$C$2:$C$1946=_xlfn.MAXIFS(pivot!$C$2:$C$1946,pivot!$A$2:$A$1946,Table3[[#This Row],[Müştəri adı]])),pivot!$B$2:$B$1946)</f>
        <v>HandsetWebCapable</v>
      </c>
      <c r="D649" s="22" cm="1">
        <f t="array" ref="D649">_xlfn.XLOOKUP(1,
  (pivot!$A$2:$A$1946=endirim!B649) * (pivot!$C$2:$C$1946 = _xlfn.MAXIFS(pivot!$C$2:$C$1946, pivot!$A$2:$A$1946, endirim!B649)),
  pivot!$D$2:$D$1946)</f>
        <v>62</v>
      </c>
      <c r="E649" s="3" t="str" cm="1">
        <f t="array" ref="E649">_xlfn.XLOOKUP(1,
    (pivot!$A$2:$A$1946=endirim!B649) * (pivot!$D$2:$D$1946 = _xlfn.MAXIFS(pivot!$D$2:$D$1946, pivot!$A$2:$A$1946, endirim!B649)),
    pivot!$B$2:$B$1946)</f>
        <v>HandsetWebCapable</v>
      </c>
      <c r="F649" s="22">
        <f>_xlfn.MAXIFS(pivot!$D$2:$D$1946, pivot!$A$2:$A$1946, endirim!B649)</f>
        <v>62</v>
      </c>
      <c r="G649" s="3" t="str">
        <f t="shared" si="10"/>
        <v>Təklif yoxdur</v>
      </c>
    </row>
    <row r="650" spans="2:7" x14ac:dyDescent="0.3">
      <c r="B650" t="s">
        <v>704</v>
      </c>
      <c r="C650" s="3" t="str" cm="1">
        <f t="array" ref="C650">_xlfn.XLOOKUP(1,(pivot!$A$2:$A$1946=Table3[[#This Row],[Müştəri adı]])*(pivot!$C$2:$C$1946=_xlfn.MAXIFS(pivot!$C$2:$C$1946,pivot!$A$2:$A$1946,Table3[[#This Row],[Müştəri adı]])),pivot!$B$2:$B$1946)</f>
        <v>HasCreditCard</v>
      </c>
      <c r="D650" s="22" cm="1">
        <f t="array" ref="D650">_xlfn.XLOOKUP(1,
  (pivot!$A$2:$A$1946=endirim!B650) * (pivot!$C$2:$C$1946 = _xlfn.MAXIFS(pivot!$C$2:$C$1946, pivot!$A$2:$A$1946, endirim!B650)),
  pivot!$D$2:$D$1946)</f>
        <v>65</v>
      </c>
      <c r="E650" s="3" t="str" cm="1">
        <f t="array" ref="E650">_xlfn.XLOOKUP(1,
    (pivot!$A$2:$A$1946=endirim!B650) * (pivot!$D$2:$D$1946 = _xlfn.MAXIFS(pivot!$D$2:$D$1946, pivot!$A$2:$A$1946, endirim!B650)),
    pivot!$B$2:$B$1946)</f>
        <v>HasCreditCard</v>
      </c>
      <c r="F650" s="22">
        <f>_xlfn.MAXIFS(pivot!$D$2:$D$1946, pivot!$A$2:$A$1946, endirim!B650)</f>
        <v>65</v>
      </c>
      <c r="G650" s="3" t="str">
        <f t="shared" si="10"/>
        <v>Təklif yoxdur</v>
      </c>
    </row>
    <row r="651" spans="2:7" x14ac:dyDescent="0.3">
      <c r="B651" t="s">
        <v>705</v>
      </c>
      <c r="C651" s="3" t="str" cm="1">
        <f t="array" ref="C651">_xlfn.XLOOKUP(1,(pivot!$A$2:$A$1946=Table3[[#This Row],[Müştəri adı]])*(pivot!$C$2:$C$1946=_xlfn.MAXIFS(pivot!$C$2:$C$1946,pivot!$A$2:$A$1946,Table3[[#This Row],[Müştəri adı]])),pivot!$B$2:$B$1946)</f>
        <v>HandsetRefurbished</v>
      </c>
      <c r="D651" s="22" cm="1">
        <f t="array" ref="D651">_xlfn.XLOOKUP(1,
  (pivot!$A$2:$A$1946=endirim!B651) * (pivot!$C$2:$C$1946 = _xlfn.MAXIFS(pivot!$C$2:$C$1946, pivot!$A$2:$A$1946, endirim!B651)),
  pivot!$D$2:$D$1946)</f>
        <v>26</v>
      </c>
      <c r="E651" s="3" t="str" cm="1">
        <f t="array" ref="E651">_xlfn.XLOOKUP(1,
    (pivot!$A$2:$A$1946=endirim!B651) * (pivot!$D$2:$D$1946 = _xlfn.MAXIFS(pivot!$D$2:$D$1946, pivot!$A$2:$A$1946, endirim!B651)),
    pivot!$B$2:$B$1946)</f>
        <v>HandsetRefurbished</v>
      </c>
      <c r="F651" s="22">
        <f>_xlfn.MAXIFS(pivot!$D$2:$D$1946, pivot!$A$2:$A$1946, endirim!B651)</f>
        <v>26</v>
      </c>
      <c r="G651" s="3" t="str">
        <f t="shared" si="10"/>
        <v>Təklif yoxdur</v>
      </c>
    </row>
    <row r="652" spans="2:7" x14ac:dyDescent="0.3">
      <c r="B652" t="s">
        <v>706</v>
      </c>
      <c r="C652" s="3" t="str" cm="1">
        <f t="array" ref="C652">_xlfn.XLOOKUP(1,(pivot!$A$2:$A$1946=Table3[[#This Row],[Müştəri adı]])*(pivot!$C$2:$C$1946=_xlfn.MAXIFS(pivot!$C$2:$C$1946,pivot!$A$2:$A$1946,Table3[[#This Row],[Müştəri adı]])),pivot!$B$2:$B$1946)</f>
        <v>HandsetWebCapable</v>
      </c>
      <c r="D652" s="22" cm="1">
        <f t="array" ref="D652">_xlfn.XLOOKUP(1,
  (pivot!$A$2:$A$1946=endirim!B652) * (pivot!$C$2:$C$1946 = _xlfn.MAXIFS(pivot!$C$2:$C$1946, pivot!$A$2:$A$1946, endirim!B652)),
  pivot!$D$2:$D$1946)</f>
        <v>62</v>
      </c>
      <c r="E652" s="3" t="str" cm="1">
        <f t="array" ref="E652">_xlfn.XLOOKUP(1,
    (pivot!$A$2:$A$1946=endirim!B652) * (pivot!$D$2:$D$1946 = _xlfn.MAXIFS(pivot!$D$2:$D$1946, pivot!$A$2:$A$1946, endirim!B652)),
    pivot!$B$2:$B$1946)</f>
        <v>OptOutMailings</v>
      </c>
      <c r="F652" s="22">
        <f>_xlfn.MAXIFS(pivot!$D$2:$D$1946, pivot!$A$2:$A$1946, endirim!B652)</f>
        <v>75</v>
      </c>
      <c r="G652" s="3" t="str">
        <f t="shared" si="10"/>
        <v>OptOutMailings Kompaniyasını 20% endirimlə təklif et</v>
      </c>
    </row>
    <row r="653" spans="2:7" x14ac:dyDescent="0.3">
      <c r="B653" t="s">
        <v>707</v>
      </c>
      <c r="C653" s="3" t="str" cm="1">
        <f t="array" ref="C653">_xlfn.XLOOKUP(1,(pivot!$A$2:$A$1946=Table3[[#This Row],[Müştəri adı]])*(pivot!$C$2:$C$1946=_xlfn.MAXIFS(pivot!$C$2:$C$1946,pivot!$A$2:$A$1946,Table3[[#This Row],[Müştəri adı]])),pivot!$B$2:$B$1946)</f>
        <v>HandsetRefurbished</v>
      </c>
      <c r="D653" s="22" cm="1">
        <f t="array" ref="D653">_xlfn.XLOOKUP(1,
  (pivot!$A$2:$A$1946=endirim!B653) * (pivot!$C$2:$C$1946 = _xlfn.MAXIFS(pivot!$C$2:$C$1946, pivot!$A$2:$A$1946, endirim!B653)),
  pivot!$D$2:$D$1946)</f>
        <v>26</v>
      </c>
      <c r="E653" s="3" t="str" cm="1">
        <f t="array" ref="E653">_xlfn.XLOOKUP(1,
    (pivot!$A$2:$A$1946=endirim!B653) * (pivot!$D$2:$D$1946 = _xlfn.MAXIFS(pivot!$D$2:$D$1946, pivot!$A$2:$A$1946, endirim!B653)),
    pivot!$B$2:$B$1946)</f>
        <v>HandsetRefurbished</v>
      </c>
      <c r="F653" s="22">
        <f>_xlfn.MAXIFS(pivot!$D$2:$D$1946, pivot!$A$2:$A$1946, endirim!B653)</f>
        <v>26</v>
      </c>
      <c r="G653" s="3" t="str">
        <f t="shared" si="10"/>
        <v>Təklif yoxdur</v>
      </c>
    </row>
    <row r="654" spans="2:7" x14ac:dyDescent="0.3">
      <c r="B654" t="s">
        <v>708</v>
      </c>
      <c r="C654" s="3" t="str" cm="1">
        <f t="array" ref="C654">_xlfn.XLOOKUP(1,(pivot!$A$2:$A$1946=Table3[[#This Row],[Müştəri adı]])*(pivot!$C$2:$C$1946=_xlfn.MAXIFS(pivot!$C$2:$C$1946,pivot!$A$2:$A$1946,Table3[[#This Row],[Müştəri adı]])),pivot!$B$2:$B$1946)</f>
        <v>HasCreditCard</v>
      </c>
      <c r="D654" s="22" cm="1">
        <f t="array" ref="D654">_xlfn.XLOOKUP(1,
  (pivot!$A$2:$A$1946=endirim!B654) * (pivot!$C$2:$C$1946 = _xlfn.MAXIFS(pivot!$C$2:$C$1946, pivot!$A$2:$A$1946, endirim!B654)),
  pivot!$D$2:$D$1946)</f>
        <v>65</v>
      </c>
      <c r="E654" s="3" t="str" cm="1">
        <f t="array" ref="E654">_xlfn.XLOOKUP(1,
    (pivot!$A$2:$A$1946=endirim!B654) * (pivot!$D$2:$D$1946 = _xlfn.MAXIFS(pivot!$D$2:$D$1946, pivot!$A$2:$A$1946, endirim!B654)),
    pivot!$B$2:$B$1946)</f>
        <v>HasCreditCard</v>
      </c>
      <c r="F654" s="22">
        <f>_xlfn.MAXIFS(pivot!$D$2:$D$1946, pivot!$A$2:$A$1946, endirim!B654)</f>
        <v>65</v>
      </c>
      <c r="G654" s="3" t="str">
        <f t="shared" si="10"/>
        <v>Təklif yoxdur</v>
      </c>
    </row>
    <row r="655" spans="2:7" x14ac:dyDescent="0.3">
      <c r="B655" t="s">
        <v>709</v>
      </c>
      <c r="C655" s="3" t="str" cm="1">
        <f t="array" ref="C655">_xlfn.XLOOKUP(1,(pivot!$A$2:$A$1946=Table3[[#This Row],[Müştəri adı]])*(pivot!$C$2:$C$1946=_xlfn.MAXIFS(pivot!$C$2:$C$1946,pivot!$A$2:$A$1946,Table3[[#This Row],[Müştəri adı]])),pivot!$B$2:$B$1946)</f>
        <v>HandsetWebCapable</v>
      </c>
      <c r="D655" s="22" cm="1">
        <f t="array" ref="D655">_xlfn.XLOOKUP(1,
  (pivot!$A$2:$A$1946=endirim!B655) * (pivot!$C$2:$C$1946 = _xlfn.MAXIFS(pivot!$C$2:$C$1946, pivot!$A$2:$A$1946, endirim!B655)),
  pivot!$D$2:$D$1946)</f>
        <v>62</v>
      </c>
      <c r="E655" s="3" t="str" cm="1">
        <f t="array" ref="E655">_xlfn.XLOOKUP(1,
    (pivot!$A$2:$A$1946=endirim!B655) * (pivot!$D$2:$D$1946 = _xlfn.MAXIFS(pivot!$D$2:$D$1946, pivot!$A$2:$A$1946, endirim!B655)),
    pivot!$B$2:$B$1946)</f>
        <v>HandsetWebCapable</v>
      </c>
      <c r="F655" s="22">
        <f>_xlfn.MAXIFS(pivot!$D$2:$D$1946, pivot!$A$2:$A$1946, endirim!B655)</f>
        <v>62</v>
      </c>
      <c r="G655" s="3" t="str">
        <f t="shared" si="10"/>
        <v>Təklif yoxdur</v>
      </c>
    </row>
    <row r="656" spans="2:7" x14ac:dyDescent="0.3">
      <c r="B656" t="s">
        <v>710</v>
      </c>
      <c r="C656" s="3" t="str" cm="1">
        <f t="array" ref="C656">_xlfn.XLOOKUP(1,(pivot!$A$2:$A$1946=Table3[[#This Row],[Müştəri adı]])*(pivot!$C$2:$C$1946=_xlfn.MAXIFS(pivot!$C$2:$C$1946,pivot!$A$2:$A$1946,Table3[[#This Row],[Müştəri adı]])),pivot!$B$2:$B$1946)</f>
        <v>OptOutMailings</v>
      </c>
      <c r="D656" s="22" cm="1">
        <f t="array" ref="D656">_xlfn.XLOOKUP(1,
  (pivot!$A$2:$A$1946=endirim!B656) * (pivot!$C$2:$C$1946 = _xlfn.MAXIFS(pivot!$C$2:$C$1946, pivot!$A$2:$A$1946, endirim!B656)),
  pivot!$D$2:$D$1946)</f>
        <v>75</v>
      </c>
      <c r="E656" s="3" t="str" cm="1">
        <f t="array" ref="E656">_xlfn.XLOOKUP(1,
    (pivot!$A$2:$A$1946=endirim!B656) * (pivot!$D$2:$D$1946 = _xlfn.MAXIFS(pivot!$D$2:$D$1946, pivot!$A$2:$A$1946, endirim!B656)),
    pivot!$B$2:$B$1946)</f>
        <v>OptOutMailings</v>
      </c>
      <c r="F656" s="22">
        <f>_xlfn.MAXIFS(pivot!$D$2:$D$1946, pivot!$A$2:$A$1946, endirim!B656)</f>
        <v>75</v>
      </c>
      <c r="G656" s="3" t="str">
        <f t="shared" si="10"/>
        <v>Təklif yoxdur</v>
      </c>
    </row>
    <row r="657" spans="2:7" x14ac:dyDescent="0.3">
      <c r="B657" t="s">
        <v>711</v>
      </c>
      <c r="C657" s="3" t="str" cm="1">
        <f t="array" ref="C657">_xlfn.XLOOKUP(1,(pivot!$A$2:$A$1946=Table3[[#This Row],[Müştəri adı]])*(pivot!$C$2:$C$1946=_xlfn.MAXIFS(pivot!$C$2:$C$1946,pivot!$A$2:$A$1946,Table3[[#This Row],[Müştəri adı]])),pivot!$B$2:$B$1946)</f>
        <v>MaritalStatus</v>
      </c>
      <c r="D657" s="22" cm="1">
        <f t="array" ref="D657">_xlfn.XLOOKUP(1,
  (pivot!$A$2:$A$1946=endirim!B657) * (pivot!$C$2:$C$1946 = _xlfn.MAXIFS(pivot!$C$2:$C$1946, pivot!$A$2:$A$1946, endirim!B657)),
  pivot!$D$2:$D$1946)</f>
        <v>29</v>
      </c>
      <c r="E657" s="3" t="str" cm="1">
        <f t="array" ref="E657">_xlfn.XLOOKUP(1,
    (pivot!$A$2:$A$1946=endirim!B657) * (pivot!$D$2:$D$1946 = _xlfn.MAXIFS(pivot!$D$2:$D$1946, pivot!$A$2:$A$1946, endirim!B657)),
    pivot!$B$2:$B$1946)</f>
        <v>MaritalStatus</v>
      </c>
      <c r="F657" s="22">
        <f>_xlfn.MAXIFS(pivot!$D$2:$D$1946, pivot!$A$2:$A$1946, endirim!B657)</f>
        <v>29</v>
      </c>
      <c r="G657" s="3" t="str">
        <f t="shared" si="10"/>
        <v>Təklif yoxdur</v>
      </c>
    </row>
    <row r="658" spans="2:7" x14ac:dyDescent="0.3">
      <c r="B658" t="s">
        <v>712</v>
      </c>
      <c r="C658" s="3" t="str" cm="1">
        <f t="array" ref="C658">_xlfn.XLOOKUP(1,(pivot!$A$2:$A$1946=Table3[[#This Row],[Müştəri adı]])*(pivot!$C$2:$C$1946=_xlfn.MAXIFS(pivot!$C$2:$C$1946,pivot!$A$2:$A$1946,Table3[[#This Row],[Müştəri adı]])),pivot!$B$2:$B$1946)</f>
        <v>NotNewCellphoneUser</v>
      </c>
      <c r="D658" s="22" cm="1">
        <f t="array" ref="D658">_xlfn.XLOOKUP(1,
  (pivot!$A$2:$A$1946=endirim!B658) * (pivot!$C$2:$C$1946 = _xlfn.MAXIFS(pivot!$C$2:$C$1946, pivot!$A$2:$A$1946, endirim!B658)),
  pivot!$D$2:$D$1946)</f>
        <v>28</v>
      </c>
      <c r="E658" s="3" t="str" cm="1">
        <f t="array" ref="E658">_xlfn.XLOOKUP(1,
    (pivot!$A$2:$A$1946=endirim!B658) * (pivot!$D$2:$D$1946 = _xlfn.MAXIFS(pivot!$D$2:$D$1946, pivot!$A$2:$A$1946, endirim!B658)),
    pivot!$B$2:$B$1946)</f>
        <v>NonUSTravel</v>
      </c>
      <c r="F658" s="22">
        <f>_xlfn.MAXIFS(pivot!$D$2:$D$1946, pivot!$A$2:$A$1946, endirim!B658)</f>
        <v>66</v>
      </c>
      <c r="G658" s="3" t="str">
        <f t="shared" si="10"/>
        <v>NonUSTravel Kompaniyasını 20% endirimlə təklif et</v>
      </c>
    </row>
    <row r="659" spans="2:7" x14ac:dyDescent="0.3">
      <c r="B659" t="s">
        <v>713</v>
      </c>
      <c r="C659" s="3" t="str" cm="1">
        <f t="array" ref="C659">_xlfn.XLOOKUP(1,(pivot!$A$2:$A$1946=Table3[[#This Row],[Müştəri adı]])*(pivot!$C$2:$C$1946=_xlfn.MAXIFS(pivot!$C$2:$C$1946,pivot!$A$2:$A$1946,Table3[[#This Row],[Müştəri adı]])),pivot!$B$2:$B$1946)</f>
        <v>OptOutMailings</v>
      </c>
      <c r="D659" s="22" cm="1">
        <f t="array" ref="D659">_xlfn.XLOOKUP(1,
  (pivot!$A$2:$A$1946=endirim!B659) * (pivot!$C$2:$C$1946 = _xlfn.MAXIFS(pivot!$C$2:$C$1946, pivot!$A$2:$A$1946, endirim!B659)),
  pivot!$D$2:$D$1946)</f>
        <v>75</v>
      </c>
      <c r="E659" s="3" t="str" cm="1">
        <f t="array" ref="E659">_xlfn.XLOOKUP(1,
    (pivot!$A$2:$A$1946=endirim!B659) * (pivot!$D$2:$D$1946 = _xlfn.MAXIFS(pivot!$D$2:$D$1946, pivot!$A$2:$A$1946, endirim!B659)),
    pivot!$B$2:$B$1946)</f>
        <v>OptOutMailings</v>
      </c>
      <c r="F659" s="22">
        <f>_xlfn.MAXIFS(pivot!$D$2:$D$1946, pivot!$A$2:$A$1946, endirim!B659)</f>
        <v>75</v>
      </c>
      <c r="G659" s="3" t="str">
        <f t="shared" si="10"/>
        <v>Təklif yoxdur</v>
      </c>
    </row>
    <row r="660" spans="2:7" x14ac:dyDescent="0.3">
      <c r="B660" t="s">
        <v>714</v>
      </c>
      <c r="C660" s="3" t="str" cm="1">
        <f t="array" ref="C660">_xlfn.XLOOKUP(1,(pivot!$A$2:$A$1946=Table3[[#This Row],[Müştəri adı]])*(pivot!$C$2:$C$1946=_xlfn.MAXIFS(pivot!$C$2:$C$1946,pivot!$A$2:$A$1946,Table3[[#This Row],[Müştəri adı]])),pivot!$B$2:$B$1946)</f>
        <v>NewCellphoneUser</v>
      </c>
      <c r="D660" s="22" cm="1">
        <f t="array" ref="D660">_xlfn.XLOOKUP(1,
  (pivot!$A$2:$A$1946=endirim!B660) * (pivot!$C$2:$C$1946 = _xlfn.MAXIFS(pivot!$C$2:$C$1946, pivot!$A$2:$A$1946, endirim!B660)),
  pivot!$D$2:$D$1946)</f>
        <v>25</v>
      </c>
      <c r="E660" s="3" t="str" cm="1">
        <f t="array" ref="E660">_xlfn.XLOOKUP(1,
    (pivot!$A$2:$A$1946=endirim!B660) * (pivot!$D$2:$D$1946 = _xlfn.MAXIFS(pivot!$D$2:$D$1946, pivot!$A$2:$A$1946, endirim!B660)),
    pivot!$B$2:$B$1946)</f>
        <v>NewCellphoneUser</v>
      </c>
      <c r="F660" s="22">
        <f>_xlfn.MAXIFS(pivot!$D$2:$D$1946, pivot!$A$2:$A$1946, endirim!B660)</f>
        <v>25</v>
      </c>
      <c r="G660" s="3" t="str">
        <f t="shared" si="10"/>
        <v>Təklif yoxdur</v>
      </c>
    </row>
    <row r="661" spans="2:7" x14ac:dyDescent="0.3">
      <c r="B661" t="s">
        <v>715</v>
      </c>
      <c r="C661" s="3" t="str" cm="1">
        <f t="array" ref="C661">_xlfn.XLOOKUP(1,(pivot!$A$2:$A$1946=Table3[[#This Row],[Müştəri adı]])*(pivot!$C$2:$C$1946=_xlfn.MAXIFS(pivot!$C$2:$C$1946,pivot!$A$2:$A$1946,Table3[[#This Row],[Müştəri adı]])),pivot!$B$2:$B$1946)</f>
        <v>TruckOwner</v>
      </c>
      <c r="D661" s="22" cm="1">
        <f t="array" ref="D661">_xlfn.XLOOKUP(1,
  (pivot!$A$2:$A$1946=endirim!B661) * (pivot!$C$2:$C$1946 = _xlfn.MAXIFS(pivot!$C$2:$C$1946, pivot!$A$2:$A$1946, endirim!B661)),
  pivot!$D$2:$D$1946)</f>
        <v>26</v>
      </c>
      <c r="E661" s="3" t="str" cm="1">
        <f t="array" ref="E661">_xlfn.XLOOKUP(1,
    (pivot!$A$2:$A$1946=endirim!B661) * (pivot!$D$2:$D$1946 = _xlfn.MAXIFS(pivot!$D$2:$D$1946, pivot!$A$2:$A$1946, endirim!B661)),
    pivot!$B$2:$B$1946)</f>
        <v>NonUSTravel</v>
      </c>
      <c r="F661" s="22">
        <f>_xlfn.MAXIFS(pivot!$D$2:$D$1946, pivot!$A$2:$A$1946, endirim!B661)</f>
        <v>66</v>
      </c>
      <c r="G661" s="3" t="str">
        <f t="shared" si="10"/>
        <v>NonUSTravel Kompaniyasını 20% endirimlə təklif et</v>
      </c>
    </row>
    <row r="662" spans="2:7" x14ac:dyDescent="0.3">
      <c r="B662" t="s">
        <v>716</v>
      </c>
      <c r="C662" s="3" t="str" cm="1">
        <f t="array" ref="C662">_xlfn.XLOOKUP(1,(pivot!$A$2:$A$1946=Table3[[#This Row],[Müştəri adı]])*(pivot!$C$2:$C$1946=_xlfn.MAXIFS(pivot!$C$2:$C$1946,pivot!$A$2:$A$1946,Table3[[#This Row],[Müştəri adı]])),pivot!$B$2:$B$1946)</f>
        <v>HasCreditCard</v>
      </c>
      <c r="D662" s="22" cm="1">
        <f t="array" ref="D662">_xlfn.XLOOKUP(1,
  (pivot!$A$2:$A$1946=endirim!B662) * (pivot!$C$2:$C$1946 = _xlfn.MAXIFS(pivot!$C$2:$C$1946, pivot!$A$2:$A$1946, endirim!B662)),
  pivot!$D$2:$D$1946)</f>
        <v>65</v>
      </c>
      <c r="E662" s="3" t="str" cm="1">
        <f t="array" ref="E662">_xlfn.XLOOKUP(1,
    (pivot!$A$2:$A$1946=endirim!B662) * (pivot!$D$2:$D$1946 = _xlfn.MAXIFS(pivot!$D$2:$D$1946, pivot!$A$2:$A$1946, endirim!B662)),
    pivot!$B$2:$B$1946)</f>
        <v>HasCreditCard</v>
      </c>
      <c r="F662" s="22">
        <f>_xlfn.MAXIFS(pivot!$D$2:$D$1946, pivot!$A$2:$A$1946, endirim!B662)</f>
        <v>65</v>
      </c>
      <c r="G662" s="3" t="str">
        <f t="shared" si="10"/>
        <v>Təklif yoxdur</v>
      </c>
    </row>
    <row r="663" spans="2:7" x14ac:dyDescent="0.3">
      <c r="B663" t="s">
        <v>717</v>
      </c>
      <c r="C663" s="3" t="str" cm="1">
        <f t="array" ref="C663">_xlfn.XLOOKUP(1,(pivot!$A$2:$A$1946=Table3[[#This Row],[Müştəri adı]])*(pivot!$C$2:$C$1946=_xlfn.MAXIFS(pivot!$C$2:$C$1946,pivot!$A$2:$A$1946,Table3[[#This Row],[Müştəri adı]])),pivot!$B$2:$B$1946)</f>
        <v>MaritalStatus</v>
      </c>
      <c r="D663" s="22" cm="1">
        <f t="array" ref="D663">_xlfn.XLOOKUP(1,
  (pivot!$A$2:$A$1946=endirim!B663) * (pivot!$C$2:$C$1946 = _xlfn.MAXIFS(pivot!$C$2:$C$1946, pivot!$A$2:$A$1946, endirim!B663)),
  pivot!$D$2:$D$1946)</f>
        <v>29</v>
      </c>
      <c r="E663" s="3" t="str" cm="1">
        <f t="array" ref="E663">_xlfn.XLOOKUP(1,
    (pivot!$A$2:$A$1946=endirim!B663) * (pivot!$D$2:$D$1946 = _xlfn.MAXIFS(pivot!$D$2:$D$1946, pivot!$A$2:$A$1946, endirim!B663)),
    pivot!$B$2:$B$1946)</f>
        <v>MaritalStatus</v>
      </c>
      <c r="F663" s="22">
        <f>_xlfn.MAXIFS(pivot!$D$2:$D$1946, pivot!$A$2:$A$1946, endirim!B663)</f>
        <v>29</v>
      </c>
      <c r="G663" s="3" t="str">
        <f t="shared" si="10"/>
        <v>Təklif yoxdur</v>
      </c>
    </row>
    <row r="664" spans="2:7" x14ac:dyDescent="0.3">
      <c r="B664" t="s">
        <v>718</v>
      </c>
      <c r="C664" s="3" t="str" cm="1">
        <f t="array" ref="C664">_xlfn.XLOOKUP(1,(pivot!$A$2:$A$1946=Table3[[#This Row],[Müştəri adı]])*(pivot!$C$2:$C$1946=_xlfn.MAXIFS(pivot!$C$2:$C$1946,pivot!$A$2:$A$1946,Table3[[#This Row],[Müştəri adı]])),pivot!$B$2:$B$1946)</f>
        <v>RVOwner</v>
      </c>
      <c r="D664" s="22" cm="1">
        <f t="array" ref="D664">_xlfn.XLOOKUP(1,
  (pivot!$A$2:$A$1946=endirim!B664) * (pivot!$C$2:$C$1946 = _xlfn.MAXIFS(pivot!$C$2:$C$1946, pivot!$A$2:$A$1946, endirim!B664)),
  pivot!$D$2:$D$1946)</f>
        <v>22</v>
      </c>
      <c r="E664" s="3" t="str" cm="1">
        <f t="array" ref="E664">_xlfn.XLOOKUP(1,
    (pivot!$A$2:$A$1946=endirim!B664) * (pivot!$D$2:$D$1946 = _xlfn.MAXIFS(pivot!$D$2:$D$1946, pivot!$A$2:$A$1946, endirim!B664)),
    pivot!$B$2:$B$1946)</f>
        <v>NewCellphoneUser</v>
      </c>
      <c r="F664" s="22">
        <f>_xlfn.MAXIFS(pivot!$D$2:$D$1946, pivot!$A$2:$A$1946, endirim!B664)</f>
        <v>25</v>
      </c>
      <c r="G664" s="3" t="str">
        <f t="shared" si="10"/>
        <v>NewCellphoneUser Kompaniyasını 20% endirimlə təklif et</v>
      </c>
    </row>
    <row r="665" spans="2:7" x14ac:dyDescent="0.3">
      <c r="B665" t="s">
        <v>719</v>
      </c>
      <c r="C665" s="3" t="str" cm="1">
        <f t="array" ref="C665">_xlfn.XLOOKUP(1,(pivot!$A$2:$A$1946=Table3[[#This Row],[Müştəri adı]])*(pivot!$C$2:$C$1946=_xlfn.MAXIFS(pivot!$C$2:$C$1946,pivot!$A$2:$A$1946,Table3[[#This Row],[Müştəri adı]])),pivot!$B$2:$B$1946)</f>
        <v>OwnsComputer</v>
      </c>
      <c r="D665" s="22" cm="1">
        <f t="array" ref="D665">_xlfn.XLOOKUP(1,
  (pivot!$A$2:$A$1946=endirim!B665) * (pivot!$C$2:$C$1946 = _xlfn.MAXIFS(pivot!$C$2:$C$1946, pivot!$A$2:$A$1946, endirim!B665)),
  pivot!$D$2:$D$1946)</f>
        <v>62</v>
      </c>
      <c r="E665" s="3" t="str" cm="1">
        <f t="array" ref="E665">_xlfn.XLOOKUP(1,
    (pivot!$A$2:$A$1946=endirim!B665) * (pivot!$D$2:$D$1946 = _xlfn.MAXIFS(pivot!$D$2:$D$1946, pivot!$A$2:$A$1946, endirim!B665)),
    pivot!$B$2:$B$1946)</f>
        <v>OwnsComputer</v>
      </c>
      <c r="F665" s="22">
        <f>_xlfn.MAXIFS(pivot!$D$2:$D$1946, pivot!$A$2:$A$1946, endirim!B665)</f>
        <v>62</v>
      </c>
      <c r="G665" s="3" t="str">
        <f t="shared" si="10"/>
        <v>Təklif yoxdur</v>
      </c>
    </row>
    <row r="666" spans="2:7" x14ac:dyDescent="0.3">
      <c r="B666" t="s">
        <v>720</v>
      </c>
      <c r="C666" s="3" t="str" cm="1">
        <f t="array" ref="C666">_xlfn.XLOOKUP(1,(pivot!$A$2:$A$1946=Table3[[#This Row],[Müştəri adı]])*(pivot!$C$2:$C$1946=_xlfn.MAXIFS(pivot!$C$2:$C$1946,pivot!$A$2:$A$1946,Table3[[#This Row],[Müştəri adı]])),pivot!$B$2:$B$1946)</f>
        <v>NewCellphoneUser</v>
      </c>
      <c r="D666" s="22" cm="1">
        <f t="array" ref="D666">_xlfn.XLOOKUP(1,
  (pivot!$A$2:$A$1946=endirim!B666) * (pivot!$C$2:$C$1946 = _xlfn.MAXIFS(pivot!$C$2:$C$1946, pivot!$A$2:$A$1946, endirim!B666)),
  pivot!$D$2:$D$1946)</f>
        <v>25</v>
      </c>
      <c r="E666" s="3" t="str" cm="1">
        <f t="array" ref="E666">_xlfn.XLOOKUP(1,
    (pivot!$A$2:$A$1946=endirim!B666) * (pivot!$D$2:$D$1946 = _xlfn.MAXIFS(pivot!$D$2:$D$1946, pivot!$A$2:$A$1946, endirim!B666)),
    pivot!$B$2:$B$1946)</f>
        <v>NonUSTravel</v>
      </c>
      <c r="F666" s="22">
        <f>_xlfn.MAXIFS(pivot!$D$2:$D$1946, pivot!$A$2:$A$1946, endirim!B666)</f>
        <v>66</v>
      </c>
      <c r="G666" s="3" t="str">
        <f t="shared" si="10"/>
        <v>NonUSTravel Kompaniyasını 20% endirimlə təklif et</v>
      </c>
    </row>
    <row r="667" spans="2:7" x14ac:dyDescent="0.3">
      <c r="B667" t="s">
        <v>721</v>
      </c>
      <c r="C667" s="3" t="str" cm="1">
        <f t="array" ref="C667">_xlfn.XLOOKUP(1,(pivot!$A$2:$A$1946=Table3[[#This Row],[Müştəri adı]])*(pivot!$C$2:$C$1946=_xlfn.MAXIFS(pivot!$C$2:$C$1946,pivot!$A$2:$A$1946,Table3[[#This Row],[Müştəri adı]])),pivot!$B$2:$B$1946)</f>
        <v>NotNewCellphoneUser</v>
      </c>
      <c r="D667" s="22" cm="1">
        <f t="array" ref="D667">_xlfn.XLOOKUP(1,
  (pivot!$A$2:$A$1946=endirim!B667) * (pivot!$C$2:$C$1946 = _xlfn.MAXIFS(pivot!$C$2:$C$1946, pivot!$A$2:$A$1946, endirim!B667)),
  pivot!$D$2:$D$1946)</f>
        <v>28</v>
      </c>
      <c r="E667" s="3" t="str" cm="1">
        <f t="array" ref="E667">_xlfn.XLOOKUP(1,
    (pivot!$A$2:$A$1946=endirim!B667) * (pivot!$D$2:$D$1946 = _xlfn.MAXIFS(pivot!$D$2:$D$1946, pivot!$A$2:$A$1946, endirim!B667)),
    pivot!$B$2:$B$1946)</f>
        <v>OwnsComputer</v>
      </c>
      <c r="F667" s="22">
        <f>_xlfn.MAXIFS(pivot!$D$2:$D$1946, pivot!$A$2:$A$1946, endirim!B667)</f>
        <v>62</v>
      </c>
      <c r="G667" s="3" t="str">
        <f t="shared" si="10"/>
        <v>OwnsComputer Kompaniyasını 20% endirimlə təklif et</v>
      </c>
    </row>
    <row r="668" spans="2:7" x14ac:dyDescent="0.3">
      <c r="B668" t="s">
        <v>722</v>
      </c>
      <c r="C668" s="3" t="str" cm="1">
        <f t="array" ref="C668">_xlfn.XLOOKUP(1,(pivot!$A$2:$A$1946=Table3[[#This Row],[Müştəri adı]])*(pivot!$C$2:$C$1946=_xlfn.MAXIFS(pivot!$C$2:$C$1946,pivot!$A$2:$A$1946,Table3[[#This Row],[Müştəri adı]])),pivot!$B$2:$B$1946)</f>
        <v>BuysViaMailOrder</v>
      </c>
      <c r="D668" s="22" cm="1">
        <f t="array" ref="D668">_xlfn.XLOOKUP(1,
  (pivot!$A$2:$A$1946=endirim!B668) * (pivot!$C$2:$C$1946 = _xlfn.MAXIFS(pivot!$C$2:$C$1946, pivot!$A$2:$A$1946, endirim!B668)),
  pivot!$D$2:$D$1946)</f>
        <v>25</v>
      </c>
      <c r="E668" s="3" t="str" cm="1">
        <f t="array" ref="E668">_xlfn.XLOOKUP(1,
    (pivot!$A$2:$A$1946=endirim!B668) * (pivot!$D$2:$D$1946 = _xlfn.MAXIFS(pivot!$D$2:$D$1946, pivot!$A$2:$A$1946, endirim!B668)),
    pivot!$B$2:$B$1946)</f>
        <v>HandsetWebCapable</v>
      </c>
      <c r="F668" s="22">
        <f>_xlfn.MAXIFS(pivot!$D$2:$D$1946, pivot!$A$2:$A$1946, endirim!B668)</f>
        <v>62</v>
      </c>
      <c r="G668" s="3" t="str">
        <f t="shared" si="10"/>
        <v>HandsetWebCapable Kompaniyasını 20% endirimlə təklif et</v>
      </c>
    </row>
    <row r="669" spans="2:7" x14ac:dyDescent="0.3">
      <c r="B669" t="s">
        <v>723</v>
      </c>
      <c r="C669" s="3" t="str" cm="1">
        <f t="array" ref="C669">_xlfn.XLOOKUP(1,(pivot!$A$2:$A$1946=Table3[[#This Row],[Müştəri adı]])*(pivot!$C$2:$C$1946=_xlfn.MAXIFS(pivot!$C$2:$C$1946,pivot!$A$2:$A$1946,Table3[[#This Row],[Müştəri adı]])),pivot!$B$2:$B$1946)</f>
        <v>TruckOwner</v>
      </c>
      <c r="D669" s="22" cm="1">
        <f t="array" ref="D669">_xlfn.XLOOKUP(1,
  (pivot!$A$2:$A$1946=endirim!B669) * (pivot!$C$2:$C$1946 = _xlfn.MAXIFS(pivot!$C$2:$C$1946, pivot!$A$2:$A$1946, endirim!B669)),
  pivot!$D$2:$D$1946)</f>
        <v>26</v>
      </c>
      <c r="E669" s="3" t="str" cm="1">
        <f t="array" ref="E669">_xlfn.XLOOKUP(1,
    (pivot!$A$2:$A$1946=endirim!B669) * (pivot!$D$2:$D$1946 = _xlfn.MAXIFS(pivot!$D$2:$D$1946, pivot!$A$2:$A$1946, endirim!B669)),
    pivot!$B$2:$B$1946)</f>
        <v>TruckOwner</v>
      </c>
      <c r="F669" s="22">
        <f>_xlfn.MAXIFS(pivot!$D$2:$D$1946, pivot!$A$2:$A$1946, endirim!B669)</f>
        <v>26</v>
      </c>
      <c r="G669" s="3" t="str">
        <f t="shared" si="10"/>
        <v>Təklif yoxdur</v>
      </c>
    </row>
    <row r="670" spans="2:7" x14ac:dyDescent="0.3">
      <c r="B670" t="s">
        <v>724</v>
      </c>
      <c r="C670" s="3" t="str" cm="1">
        <f t="array" ref="C670">_xlfn.XLOOKUP(1,(pivot!$A$2:$A$1946=Table3[[#This Row],[Müştəri adı]])*(pivot!$C$2:$C$1946=_xlfn.MAXIFS(pivot!$C$2:$C$1946,pivot!$A$2:$A$1946,Table3[[#This Row],[Müştəri adı]])),pivot!$B$2:$B$1946)</f>
        <v>MadeCallToRetentionTeam</v>
      </c>
      <c r="D670" s="22" cm="1">
        <f t="array" ref="D670">_xlfn.XLOOKUP(1,
  (pivot!$A$2:$A$1946=endirim!B670) * (pivot!$C$2:$C$1946 = _xlfn.MAXIFS(pivot!$C$2:$C$1946, pivot!$A$2:$A$1946, endirim!B670)),
  pivot!$D$2:$D$1946)</f>
        <v>16</v>
      </c>
      <c r="E670" s="3" t="str" cm="1">
        <f t="array" ref="E670">_xlfn.XLOOKUP(1,
    (pivot!$A$2:$A$1946=endirim!B670) * (pivot!$D$2:$D$1946 = _xlfn.MAXIFS(pivot!$D$2:$D$1946, pivot!$A$2:$A$1946, endirim!B670)),
    pivot!$B$2:$B$1946)</f>
        <v>TruckOwner</v>
      </c>
      <c r="F670" s="22">
        <f>_xlfn.MAXIFS(pivot!$D$2:$D$1946, pivot!$A$2:$A$1946, endirim!B670)</f>
        <v>26</v>
      </c>
      <c r="G670" s="3" t="str">
        <f t="shared" si="10"/>
        <v>TruckOwner Kompaniyasını 20% endirimlə təklif et</v>
      </c>
    </row>
    <row r="671" spans="2:7" x14ac:dyDescent="0.3">
      <c r="B671" t="s">
        <v>725</v>
      </c>
      <c r="C671" s="3" t="str" cm="1">
        <f t="array" ref="C671">_xlfn.XLOOKUP(1,(pivot!$A$2:$A$1946=Table3[[#This Row],[Müştəri adı]])*(pivot!$C$2:$C$1946=_xlfn.MAXIFS(pivot!$C$2:$C$1946,pivot!$A$2:$A$1946,Table3[[#This Row],[Müştəri adı]])),pivot!$B$2:$B$1946)</f>
        <v>NotNewCellphoneUser</v>
      </c>
      <c r="D671" s="22" cm="1">
        <f t="array" ref="D671">_xlfn.XLOOKUP(1,
  (pivot!$A$2:$A$1946=endirim!B671) * (pivot!$C$2:$C$1946 = _xlfn.MAXIFS(pivot!$C$2:$C$1946, pivot!$A$2:$A$1946, endirim!B671)),
  pivot!$D$2:$D$1946)</f>
        <v>28</v>
      </c>
      <c r="E671" s="3" t="str" cm="1">
        <f t="array" ref="E671">_xlfn.XLOOKUP(1,
    (pivot!$A$2:$A$1946=endirim!B671) * (pivot!$D$2:$D$1946 = _xlfn.MAXIFS(pivot!$D$2:$D$1946, pivot!$A$2:$A$1946, endirim!B671)),
    pivot!$B$2:$B$1946)</f>
        <v>NotNewCellphoneUser</v>
      </c>
      <c r="F671" s="22">
        <f>_xlfn.MAXIFS(pivot!$D$2:$D$1946, pivot!$A$2:$A$1946, endirim!B671)</f>
        <v>28</v>
      </c>
      <c r="G671" s="3" t="str">
        <f t="shared" si="10"/>
        <v>Təklif yoxdur</v>
      </c>
    </row>
    <row r="672" spans="2:7" x14ac:dyDescent="0.3">
      <c r="B672" t="s">
        <v>726</v>
      </c>
      <c r="C672" s="3" t="str" cm="1">
        <f t="array" ref="C672">_xlfn.XLOOKUP(1,(pivot!$A$2:$A$1946=Table3[[#This Row],[Müştəri adı]])*(pivot!$C$2:$C$1946=_xlfn.MAXIFS(pivot!$C$2:$C$1946,pivot!$A$2:$A$1946,Table3[[#This Row],[Müştəri adı]])),pivot!$B$2:$B$1946)</f>
        <v>MaritalStatus</v>
      </c>
      <c r="D672" s="22" cm="1">
        <f t="array" ref="D672">_xlfn.XLOOKUP(1,
  (pivot!$A$2:$A$1946=endirim!B672) * (pivot!$C$2:$C$1946 = _xlfn.MAXIFS(pivot!$C$2:$C$1946, pivot!$A$2:$A$1946, endirim!B672)),
  pivot!$D$2:$D$1946)</f>
        <v>29</v>
      </c>
      <c r="E672" s="3" t="str" cm="1">
        <f t="array" ref="E672">_xlfn.XLOOKUP(1,
    (pivot!$A$2:$A$1946=endirim!B672) * (pivot!$D$2:$D$1946 = _xlfn.MAXIFS(pivot!$D$2:$D$1946, pivot!$A$2:$A$1946, endirim!B672)),
    pivot!$B$2:$B$1946)</f>
        <v>MaritalStatus</v>
      </c>
      <c r="F672" s="22">
        <f>_xlfn.MAXIFS(pivot!$D$2:$D$1946, pivot!$A$2:$A$1946, endirim!B672)</f>
        <v>29</v>
      </c>
      <c r="G672" s="3" t="str">
        <f t="shared" si="10"/>
        <v>Təklif yoxdur</v>
      </c>
    </row>
    <row r="673" spans="2:7" x14ac:dyDescent="0.3">
      <c r="B673" t="s">
        <v>727</v>
      </c>
      <c r="C673" s="3" t="str" cm="1">
        <f t="array" ref="C673">_xlfn.XLOOKUP(1,(pivot!$A$2:$A$1946=Table3[[#This Row],[Müştəri adı]])*(pivot!$C$2:$C$1946=_xlfn.MAXIFS(pivot!$C$2:$C$1946,pivot!$A$2:$A$1946,Table3[[#This Row],[Müştəri adı]])),pivot!$B$2:$B$1946)</f>
        <v>MadeCallToRetentionTeam</v>
      </c>
      <c r="D673" s="22" cm="1">
        <f t="array" ref="D673">_xlfn.XLOOKUP(1,
  (pivot!$A$2:$A$1946=endirim!B673) * (pivot!$C$2:$C$1946 = _xlfn.MAXIFS(pivot!$C$2:$C$1946, pivot!$A$2:$A$1946, endirim!B673)),
  pivot!$D$2:$D$1946)</f>
        <v>16</v>
      </c>
      <c r="E673" s="3" t="str" cm="1">
        <f t="array" ref="E673">_xlfn.XLOOKUP(1,
    (pivot!$A$2:$A$1946=endirim!B673) * (pivot!$D$2:$D$1946 = _xlfn.MAXIFS(pivot!$D$2:$D$1946, pivot!$A$2:$A$1946, endirim!B673)),
    pivot!$B$2:$B$1946)</f>
        <v>MadeCallToRetentionTeam</v>
      </c>
      <c r="F673" s="22">
        <f>_xlfn.MAXIFS(pivot!$D$2:$D$1946, pivot!$A$2:$A$1946, endirim!B673)</f>
        <v>16</v>
      </c>
      <c r="G673" s="3" t="str">
        <f t="shared" si="10"/>
        <v>Təklif yoxdur</v>
      </c>
    </row>
    <row r="674" spans="2:7" x14ac:dyDescent="0.3">
      <c r="B674" t="s">
        <v>728</v>
      </c>
      <c r="C674" s="3" t="str" cm="1">
        <f t="array" ref="C674">_xlfn.XLOOKUP(1,(pivot!$A$2:$A$1946=Table3[[#This Row],[Müştəri adı]])*(pivot!$C$2:$C$1946=_xlfn.MAXIFS(pivot!$C$2:$C$1946,pivot!$A$2:$A$1946,Table3[[#This Row],[Müştəri adı]])),pivot!$B$2:$B$1946)</f>
        <v>NewCellphoneUser</v>
      </c>
      <c r="D674" s="22" cm="1">
        <f t="array" ref="D674">_xlfn.XLOOKUP(1,
  (pivot!$A$2:$A$1946=endirim!B674) * (pivot!$C$2:$C$1946 = _xlfn.MAXIFS(pivot!$C$2:$C$1946, pivot!$A$2:$A$1946, endirim!B674)),
  pivot!$D$2:$D$1946)</f>
        <v>25</v>
      </c>
      <c r="E674" s="3" t="str" cm="1">
        <f t="array" ref="E674">_xlfn.XLOOKUP(1,
    (pivot!$A$2:$A$1946=endirim!B674) * (pivot!$D$2:$D$1946 = _xlfn.MAXIFS(pivot!$D$2:$D$1946, pivot!$A$2:$A$1946, endirim!B674)),
    pivot!$B$2:$B$1946)</f>
        <v>NonUSTravel</v>
      </c>
      <c r="F674" s="22">
        <f>_xlfn.MAXIFS(pivot!$D$2:$D$1946, pivot!$A$2:$A$1946, endirim!B674)</f>
        <v>66</v>
      </c>
      <c r="G674" s="3" t="str">
        <f t="shared" si="10"/>
        <v>NonUSTravel Kompaniyasını 20% endirimlə təklif et</v>
      </c>
    </row>
    <row r="675" spans="2:7" x14ac:dyDescent="0.3">
      <c r="B675" t="s">
        <v>729</v>
      </c>
      <c r="C675" s="3" t="str" cm="1">
        <f t="array" ref="C675">_xlfn.XLOOKUP(1,(pivot!$A$2:$A$1946=Table3[[#This Row],[Müştəri adı]])*(pivot!$C$2:$C$1946=_xlfn.MAXIFS(pivot!$C$2:$C$1946,pivot!$A$2:$A$1946,Table3[[#This Row],[Müştəri adı]])),pivot!$B$2:$B$1946)</f>
        <v>MaritalStatus</v>
      </c>
      <c r="D675" s="22" cm="1">
        <f t="array" ref="D675">_xlfn.XLOOKUP(1,
  (pivot!$A$2:$A$1946=endirim!B675) * (pivot!$C$2:$C$1946 = _xlfn.MAXIFS(pivot!$C$2:$C$1946, pivot!$A$2:$A$1946, endirim!B675)),
  pivot!$D$2:$D$1946)</f>
        <v>29</v>
      </c>
      <c r="E675" s="3" t="str" cm="1">
        <f t="array" ref="E675">_xlfn.XLOOKUP(1,
    (pivot!$A$2:$A$1946=endirim!B675) * (pivot!$D$2:$D$1946 = _xlfn.MAXIFS(pivot!$D$2:$D$1946, pivot!$A$2:$A$1946, endirim!B675)),
    pivot!$B$2:$B$1946)</f>
        <v>MaritalStatus</v>
      </c>
      <c r="F675" s="22">
        <f>_xlfn.MAXIFS(pivot!$D$2:$D$1946, pivot!$A$2:$A$1946, endirim!B675)</f>
        <v>29</v>
      </c>
      <c r="G675" s="3" t="str">
        <f t="shared" si="10"/>
        <v>Təklif yoxdur</v>
      </c>
    </row>
    <row r="676" spans="2:7" x14ac:dyDescent="0.3">
      <c r="B676" t="s">
        <v>730</v>
      </c>
      <c r="C676" s="3" t="str" cm="1">
        <f t="array" ref="C676">_xlfn.XLOOKUP(1,(pivot!$A$2:$A$1946=Table3[[#This Row],[Müştəri adı]])*(pivot!$C$2:$C$1946=_xlfn.MAXIFS(pivot!$C$2:$C$1946,pivot!$A$2:$A$1946,Table3[[#This Row],[Müştəri adı]])),pivot!$B$2:$B$1946)</f>
        <v>HandsetWebCapable</v>
      </c>
      <c r="D676" s="22" cm="1">
        <f t="array" ref="D676">_xlfn.XLOOKUP(1,
  (pivot!$A$2:$A$1946=endirim!B676) * (pivot!$C$2:$C$1946 = _xlfn.MAXIFS(pivot!$C$2:$C$1946, pivot!$A$2:$A$1946, endirim!B676)),
  pivot!$D$2:$D$1946)</f>
        <v>62</v>
      </c>
      <c r="E676" s="3" t="str" cm="1">
        <f t="array" ref="E676">_xlfn.XLOOKUP(1,
    (pivot!$A$2:$A$1946=endirim!B676) * (pivot!$D$2:$D$1946 = _xlfn.MAXIFS(pivot!$D$2:$D$1946, pivot!$A$2:$A$1946, endirim!B676)),
    pivot!$B$2:$B$1946)</f>
        <v>HandsetWebCapable</v>
      </c>
      <c r="F676" s="22">
        <f>_xlfn.MAXIFS(pivot!$D$2:$D$1946, pivot!$A$2:$A$1946, endirim!B676)</f>
        <v>62</v>
      </c>
      <c r="G676" s="3" t="str">
        <f t="shared" si="10"/>
        <v>Təklif yoxdur</v>
      </c>
    </row>
    <row r="677" spans="2:7" x14ac:dyDescent="0.3">
      <c r="B677" t="s">
        <v>731</v>
      </c>
      <c r="C677" s="3" t="str" cm="1">
        <f t="array" ref="C677">_xlfn.XLOOKUP(1,(pivot!$A$2:$A$1946=Table3[[#This Row],[Müştəri adı]])*(pivot!$C$2:$C$1946=_xlfn.MAXIFS(pivot!$C$2:$C$1946,pivot!$A$2:$A$1946,Table3[[#This Row],[Müştəri adı]])),pivot!$B$2:$B$1946)</f>
        <v>BuysViaMailOrder</v>
      </c>
      <c r="D677" s="22" cm="1">
        <f t="array" ref="D677">_xlfn.XLOOKUP(1,
  (pivot!$A$2:$A$1946=endirim!B677) * (pivot!$C$2:$C$1946 = _xlfn.MAXIFS(pivot!$C$2:$C$1946, pivot!$A$2:$A$1946, endirim!B677)),
  pivot!$D$2:$D$1946)</f>
        <v>25</v>
      </c>
      <c r="E677" s="3" t="str" cm="1">
        <f t="array" ref="E677">_xlfn.XLOOKUP(1,
    (pivot!$A$2:$A$1946=endirim!B677) * (pivot!$D$2:$D$1946 = _xlfn.MAXIFS(pivot!$D$2:$D$1946, pivot!$A$2:$A$1946, endirim!B677)),
    pivot!$B$2:$B$1946)</f>
        <v>BuysViaMailOrder</v>
      </c>
      <c r="F677" s="22">
        <f>_xlfn.MAXIFS(pivot!$D$2:$D$1946, pivot!$A$2:$A$1946, endirim!B677)</f>
        <v>25</v>
      </c>
      <c r="G677" s="3" t="str">
        <f t="shared" si="10"/>
        <v>Təklif yoxdur</v>
      </c>
    </row>
    <row r="678" spans="2:7" x14ac:dyDescent="0.3">
      <c r="B678" t="s">
        <v>732</v>
      </c>
      <c r="C678" s="3" t="str" cm="1">
        <f t="array" ref="C678">_xlfn.XLOOKUP(1,(pivot!$A$2:$A$1946=Table3[[#This Row],[Müştəri adı]])*(pivot!$C$2:$C$1946=_xlfn.MAXIFS(pivot!$C$2:$C$1946,pivot!$A$2:$A$1946,Table3[[#This Row],[Müştəri adı]])),pivot!$B$2:$B$1946)</f>
        <v>NonUSTravel</v>
      </c>
      <c r="D678" s="22" cm="1">
        <f t="array" ref="D678">_xlfn.XLOOKUP(1,
  (pivot!$A$2:$A$1946=endirim!B678) * (pivot!$C$2:$C$1946 = _xlfn.MAXIFS(pivot!$C$2:$C$1946, pivot!$A$2:$A$1946, endirim!B678)),
  pivot!$D$2:$D$1946)</f>
        <v>66</v>
      </c>
      <c r="E678" s="3" t="str" cm="1">
        <f t="array" ref="E678">_xlfn.XLOOKUP(1,
    (pivot!$A$2:$A$1946=endirim!B678) * (pivot!$D$2:$D$1946 = _xlfn.MAXIFS(pivot!$D$2:$D$1946, pivot!$A$2:$A$1946, endirim!B678)),
    pivot!$B$2:$B$1946)</f>
        <v>NonUSTravel</v>
      </c>
      <c r="F678" s="22">
        <f>_xlfn.MAXIFS(pivot!$D$2:$D$1946, pivot!$A$2:$A$1946, endirim!B678)</f>
        <v>66</v>
      </c>
      <c r="G678" s="3" t="str">
        <f t="shared" si="10"/>
        <v>Təklif yoxdur</v>
      </c>
    </row>
    <row r="679" spans="2:7" x14ac:dyDescent="0.3">
      <c r="B679" t="s">
        <v>733</v>
      </c>
      <c r="C679" s="3" t="str" cm="1">
        <f t="array" ref="C679">_xlfn.XLOOKUP(1,(pivot!$A$2:$A$1946=Table3[[#This Row],[Müştəri adı]])*(pivot!$C$2:$C$1946=_xlfn.MAXIFS(pivot!$C$2:$C$1946,pivot!$A$2:$A$1946,Table3[[#This Row],[Müştəri adı]])),pivot!$B$2:$B$1946)</f>
        <v>NotNewCellphoneUser</v>
      </c>
      <c r="D679" s="22" cm="1">
        <f t="array" ref="D679">_xlfn.XLOOKUP(1,
  (pivot!$A$2:$A$1946=endirim!B679) * (pivot!$C$2:$C$1946 = _xlfn.MAXIFS(pivot!$C$2:$C$1946, pivot!$A$2:$A$1946, endirim!B679)),
  pivot!$D$2:$D$1946)</f>
        <v>28</v>
      </c>
      <c r="E679" s="3" t="str" cm="1">
        <f t="array" ref="E679">_xlfn.XLOOKUP(1,
    (pivot!$A$2:$A$1946=endirim!B679) * (pivot!$D$2:$D$1946 = _xlfn.MAXIFS(pivot!$D$2:$D$1946, pivot!$A$2:$A$1946, endirim!B679)),
    pivot!$B$2:$B$1946)</f>
        <v>HandsetWebCapable</v>
      </c>
      <c r="F679" s="22">
        <f>_xlfn.MAXIFS(pivot!$D$2:$D$1946, pivot!$A$2:$A$1946, endirim!B679)</f>
        <v>62</v>
      </c>
      <c r="G679" s="3" t="str">
        <f t="shared" si="10"/>
        <v>HandsetWebCapable Kompaniyasını 20% endirimlə təklif et</v>
      </c>
    </row>
    <row r="680" spans="2:7" x14ac:dyDescent="0.3">
      <c r="B680" t="s">
        <v>734</v>
      </c>
      <c r="C680" s="3" t="str" cm="1">
        <f t="array" ref="C680">_xlfn.XLOOKUP(1,(pivot!$A$2:$A$1946=Table3[[#This Row],[Müştəri adı]])*(pivot!$C$2:$C$1946=_xlfn.MAXIFS(pivot!$C$2:$C$1946,pivot!$A$2:$A$1946,Table3[[#This Row],[Müştəri adı]])),pivot!$B$2:$B$1946)</f>
        <v>HandsetWebCapable</v>
      </c>
      <c r="D680" s="22" cm="1">
        <f t="array" ref="D680">_xlfn.XLOOKUP(1,
  (pivot!$A$2:$A$1946=endirim!B680) * (pivot!$C$2:$C$1946 = _xlfn.MAXIFS(pivot!$C$2:$C$1946, pivot!$A$2:$A$1946, endirim!B680)),
  pivot!$D$2:$D$1946)</f>
        <v>62</v>
      </c>
      <c r="E680" s="3" t="str" cm="1">
        <f t="array" ref="E680">_xlfn.XLOOKUP(1,
    (pivot!$A$2:$A$1946=endirim!B680) * (pivot!$D$2:$D$1946 = _xlfn.MAXIFS(pivot!$D$2:$D$1946, pivot!$A$2:$A$1946, endirim!B680)),
    pivot!$B$2:$B$1946)</f>
        <v>NonUSTravel</v>
      </c>
      <c r="F680" s="22">
        <f>_xlfn.MAXIFS(pivot!$D$2:$D$1946, pivot!$A$2:$A$1946, endirim!B680)</f>
        <v>66</v>
      </c>
      <c r="G680" s="3" t="str">
        <f t="shared" si="10"/>
        <v>NonUSTravel Kompaniyasını 20% endirimlə təklif et</v>
      </c>
    </row>
    <row r="681" spans="2:7" x14ac:dyDescent="0.3">
      <c r="B681" t="s">
        <v>735</v>
      </c>
      <c r="C681" s="3" t="str" cm="1">
        <f t="array" ref="C681">_xlfn.XLOOKUP(1,(pivot!$A$2:$A$1946=Table3[[#This Row],[Müştəri adı]])*(pivot!$C$2:$C$1946=_xlfn.MAXIFS(pivot!$C$2:$C$1946,pivot!$A$2:$A$1946,Table3[[#This Row],[Müştəri adı]])),pivot!$B$2:$B$1946)</f>
        <v>HandsetWebCapable</v>
      </c>
      <c r="D681" s="22" cm="1">
        <f t="array" ref="D681">_xlfn.XLOOKUP(1,
  (pivot!$A$2:$A$1946=endirim!B681) * (pivot!$C$2:$C$1946 = _xlfn.MAXIFS(pivot!$C$2:$C$1946, pivot!$A$2:$A$1946, endirim!B681)),
  pivot!$D$2:$D$1946)</f>
        <v>62</v>
      </c>
      <c r="E681" s="3" t="str" cm="1">
        <f t="array" ref="E681">_xlfn.XLOOKUP(1,
    (pivot!$A$2:$A$1946=endirim!B681) * (pivot!$D$2:$D$1946 = _xlfn.MAXIFS(pivot!$D$2:$D$1946, pivot!$A$2:$A$1946, endirim!B681)),
    pivot!$B$2:$B$1946)</f>
        <v>HandsetWebCapable</v>
      </c>
      <c r="F681" s="22">
        <f>_xlfn.MAXIFS(pivot!$D$2:$D$1946, pivot!$A$2:$A$1946, endirim!B681)</f>
        <v>62</v>
      </c>
      <c r="G681" s="3" t="str">
        <f t="shared" si="10"/>
        <v>Təklif yoxdur</v>
      </c>
    </row>
    <row r="682" spans="2:7" x14ac:dyDescent="0.3">
      <c r="B682" t="s">
        <v>736</v>
      </c>
      <c r="C682" s="3" t="str" cm="1">
        <f t="array" ref="C682">_xlfn.XLOOKUP(1,(pivot!$A$2:$A$1946=Table3[[#This Row],[Müştəri adı]])*(pivot!$C$2:$C$1946=_xlfn.MAXIFS(pivot!$C$2:$C$1946,pivot!$A$2:$A$1946,Table3[[#This Row],[Müştəri adı]])),pivot!$B$2:$B$1946)</f>
        <v>ChildrenInHH</v>
      </c>
      <c r="D682" s="22" cm="1">
        <f t="array" ref="D682">_xlfn.XLOOKUP(1,
  (pivot!$A$2:$A$1946=endirim!B682) * (pivot!$C$2:$C$1946 = _xlfn.MAXIFS(pivot!$C$2:$C$1946, pivot!$A$2:$A$1946, endirim!B682)),
  pivot!$D$2:$D$1946)</f>
        <v>10</v>
      </c>
      <c r="E682" s="3" t="str" cm="1">
        <f t="array" ref="E682">_xlfn.XLOOKUP(1,
    (pivot!$A$2:$A$1946=endirim!B682) * (pivot!$D$2:$D$1946 = _xlfn.MAXIFS(pivot!$D$2:$D$1946, pivot!$A$2:$A$1946, endirim!B682)),
    pivot!$B$2:$B$1946)</f>
        <v>HandsetWebCapable</v>
      </c>
      <c r="F682" s="22">
        <f>_xlfn.MAXIFS(pivot!$D$2:$D$1946, pivot!$A$2:$A$1946, endirim!B682)</f>
        <v>62</v>
      </c>
      <c r="G682" s="3" t="str">
        <f t="shared" si="10"/>
        <v>HandsetWebCapable Kompaniyasını 20% endirimlə təklif et</v>
      </c>
    </row>
    <row r="683" spans="2:7" x14ac:dyDescent="0.3">
      <c r="B683" t="s">
        <v>737</v>
      </c>
      <c r="C683" s="3" t="str" cm="1">
        <f t="array" ref="C683">_xlfn.XLOOKUP(1,(pivot!$A$2:$A$1946=Table3[[#This Row],[Müştəri adı]])*(pivot!$C$2:$C$1946=_xlfn.MAXIFS(pivot!$C$2:$C$1946,pivot!$A$2:$A$1946,Table3[[#This Row],[Müştəri adı]])),pivot!$B$2:$B$1946)</f>
        <v>OwnsComputer</v>
      </c>
      <c r="D683" s="22" cm="1">
        <f t="array" ref="D683">_xlfn.XLOOKUP(1,
  (pivot!$A$2:$A$1946=endirim!B683) * (pivot!$C$2:$C$1946 = _xlfn.MAXIFS(pivot!$C$2:$C$1946, pivot!$A$2:$A$1946, endirim!B683)),
  pivot!$D$2:$D$1946)</f>
        <v>62</v>
      </c>
      <c r="E683" s="3" t="str" cm="1">
        <f t="array" ref="E683">_xlfn.XLOOKUP(1,
    (pivot!$A$2:$A$1946=endirim!B683) * (pivot!$D$2:$D$1946 = _xlfn.MAXIFS(pivot!$D$2:$D$1946, pivot!$A$2:$A$1946, endirim!B683)),
    pivot!$B$2:$B$1946)</f>
        <v>OwnsComputer</v>
      </c>
      <c r="F683" s="22">
        <f>_xlfn.MAXIFS(pivot!$D$2:$D$1946, pivot!$A$2:$A$1946, endirim!B683)</f>
        <v>62</v>
      </c>
      <c r="G683" s="3" t="str">
        <f t="shared" si="10"/>
        <v>Təklif yoxdur</v>
      </c>
    </row>
    <row r="684" spans="2:7" x14ac:dyDescent="0.3">
      <c r="B684" t="s">
        <v>738</v>
      </c>
      <c r="C684" s="3" t="str" cm="1">
        <f t="array" ref="C684">_xlfn.XLOOKUP(1,(pivot!$A$2:$A$1946=Table3[[#This Row],[Müştəri adı]])*(pivot!$C$2:$C$1946=_xlfn.MAXIFS(pivot!$C$2:$C$1946,pivot!$A$2:$A$1946,Table3[[#This Row],[Müştəri adı]])),pivot!$B$2:$B$1946)</f>
        <v>NotNewCellphoneUser</v>
      </c>
      <c r="D684" s="22" cm="1">
        <f t="array" ref="D684">_xlfn.XLOOKUP(1,
  (pivot!$A$2:$A$1946=endirim!B684) * (pivot!$C$2:$C$1946 = _xlfn.MAXIFS(pivot!$C$2:$C$1946, pivot!$A$2:$A$1946, endirim!B684)),
  pivot!$D$2:$D$1946)</f>
        <v>28</v>
      </c>
      <c r="E684" s="3" t="str" cm="1">
        <f t="array" ref="E684">_xlfn.XLOOKUP(1,
    (pivot!$A$2:$A$1946=endirim!B684) * (pivot!$D$2:$D$1946 = _xlfn.MAXIFS(pivot!$D$2:$D$1946, pivot!$A$2:$A$1946, endirim!B684)),
    pivot!$B$2:$B$1946)</f>
        <v>OptOutMailings</v>
      </c>
      <c r="F684" s="22">
        <f>_xlfn.MAXIFS(pivot!$D$2:$D$1946, pivot!$A$2:$A$1946, endirim!B684)</f>
        <v>75</v>
      </c>
      <c r="G684" s="3" t="str">
        <f t="shared" si="10"/>
        <v>OptOutMailings Kompaniyasını 20% endirimlə təklif et</v>
      </c>
    </row>
    <row r="685" spans="2:7" x14ac:dyDescent="0.3">
      <c r="B685" t="s">
        <v>739</v>
      </c>
      <c r="C685" s="3" t="str" cm="1">
        <f t="array" ref="C685">_xlfn.XLOOKUP(1,(pivot!$A$2:$A$1946=Table3[[#This Row],[Müştəri adı]])*(pivot!$C$2:$C$1946=_xlfn.MAXIFS(pivot!$C$2:$C$1946,pivot!$A$2:$A$1946,Table3[[#This Row],[Müştəri adı]])),pivot!$B$2:$B$1946)</f>
        <v>RespondsToMailOffers</v>
      </c>
      <c r="D685" s="22" cm="1">
        <f t="array" ref="D685">_xlfn.XLOOKUP(1,
  (pivot!$A$2:$A$1946=endirim!B685) * (pivot!$C$2:$C$1946 = _xlfn.MAXIFS(pivot!$C$2:$C$1946, pivot!$A$2:$A$1946, endirim!B685)),
  pivot!$D$2:$D$1946)</f>
        <v>27</v>
      </c>
      <c r="E685" s="3" t="str" cm="1">
        <f t="array" ref="E685">_xlfn.XLOOKUP(1,
    (pivot!$A$2:$A$1946=endirim!B685) * (pivot!$D$2:$D$1946 = _xlfn.MAXIFS(pivot!$D$2:$D$1946, pivot!$A$2:$A$1946, endirim!B685)),
    pivot!$B$2:$B$1946)</f>
        <v>RespondsToMailOffers</v>
      </c>
      <c r="F685" s="22">
        <f>_xlfn.MAXIFS(pivot!$D$2:$D$1946, pivot!$A$2:$A$1946, endirim!B685)</f>
        <v>27</v>
      </c>
      <c r="G685" s="3" t="str">
        <f t="shared" si="10"/>
        <v>Təklif yoxdur</v>
      </c>
    </row>
    <row r="686" spans="2:7" x14ac:dyDescent="0.3">
      <c r="B686" t="s">
        <v>740</v>
      </c>
      <c r="C686" s="3" t="str" cm="1">
        <f t="array" ref="C686">_xlfn.XLOOKUP(1,(pivot!$A$2:$A$1946=Table3[[#This Row],[Müştəri adı]])*(pivot!$C$2:$C$1946=_xlfn.MAXIFS(pivot!$C$2:$C$1946,pivot!$A$2:$A$1946,Table3[[#This Row],[Müştəri adı]])),pivot!$B$2:$B$1946)</f>
        <v>MadeCallToRetentionTeam</v>
      </c>
      <c r="D686" s="22" cm="1">
        <f t="array" ref="D686">_xlfn.XLOOKUP(1,
  (pivot!$A$2:$A$1946=endirim!B686) * (pivot!$C$2:$C$1946 = _xlfn.MAXIFS(pivot!$C$2:$C$1946, pivot!$A$2:$A$1946, endirim!B686)),
  pivot!$D$2:$D$1946)</f>
        <v>16</v>
      </c>
      <c r="E686" s="3" t="str" cm="1">
        <f t="array" ref="E686">_xlfn.XLOOKUP(1,
    (pivot!$A$2:$A$1946=endirim!B686) * (pivot!$D$2:$D$1946 = _xlfn.MAXIFS(pivot!$D$2:$D$1946, pivot!$A$2:$A$1946, endirim!B686)),
    pivot!$B$2:$B$1946)</f>
        <v>HasCreditCard</v>
      </c>
      <c r="F686" s="22">
        <f>_xlfn.MAXIFS(pivot!$D$2:$D$1946, pivot!$A$2:$A$1946, endirim!B686)</f>
        <v>65</v>
      </c>
      <c r="G686" s="3" t="str">
        <f t="shared" si="10"/>
        <v>HasCreditCard Kompaniyasını 20% endirimlə təklif et</v>
      </c>
    </row>
    <row r="687" spans="2:7" x14ac:dyDescent="0.3">
      <c r="B687" t="s">
        <v>741</v>
      </c>
      <c r="C687" s="3" t="str" cm="1">
        <f t="array" ref="C687">_xlfn.XLOOKUP(1,(pivot!$A$2:$A$1946=Table3[[#This Row],[Müştəri adı]])*(pivot!$C$2:$C$1946=_xlfn.MAXIFS(pivot!$C$2:$C$1946,pivot!$A$2:$A$1946,Table3[[#This Row],[Müştəri adı]])),pivot!$B$2:$B$1946)</f>
        <v>TruckOwner</v>
      </c>
      <c r="D687" s="22" cm="1">
        <f t="array" ref="D687">_xlfn.XLOOKUP(1,
  (pivot!$A$2:$A$1946=endirim!B687) * (pivot!$C$2:$C$1946 = _xlfn.MAXIFS(pivot!$C$2:$C$1946, pivot!$A$2:$A$1946, endirim!B687)),
  pivot!$D$2:$D$1946)</f>
        <v>26</v>
      </c>
      <c r="E687" s="3" t="str" cm="1">
        <f t="array" ref="E687">_xlfn.XLOOKUP(1,
    (pivot!$A$2:$A$1946=endirim!B687) * (pivot!$D$2:$D$1946 = _xlfn.MAXIFS(pivot!$D$2:$D$1946, pivot!$A$2:$A$1946, endirim!B687)),
    pivot!$B$2:$B$1946)</f>
        <v>TruckOwner</v>
      </c>
      <c r="F687" s="22">
        <f>_xlfn.MAXIFS(pivot!$D$2:$D$1946, pivot!$A$2:$A$1946, endirim!B687)</f>
        <v>26</v>
      </c>
      <c r="G687" s="3" t="str">
        <f t="shared" si="10"/>
        <v>Təklif yoxdur</v>
      </c>
    </row>
    <row r="688" spans="2:7" x14ac:dyDescent="0.3">
      <c r="B688" t="s">
        <v>742</v>
      </c>
      <c r="C688" s="3" t="str" cm="1">
        <f t="array" ref="C688">_xlfn.XLOOKUP(1,(pivot!$A$2:$A$1946=Table3[[#This Row],[Müştəri adı]])*(pivot!$C$2:$C$1946=_xlfn.MAXIFS(pivot!$C$2:$C$1946,pivot!$A$2:$A$1946,Table3[[#This Row],[Müştəri adı]])),pivot!$B$2:$B$1946)</f>
        <v>MaritalStatus</v>
      </c>
      <c r="D688" s="22" cm="1">
        <f t="array" ref="D688">_xlfn.XLOOKUP(1,
  (pivot!$A$2:$A$1946=endirim!B688) * (pivot!$C$2:$C$1946 = _xlfn.MAXIFS(pivot!$C$2:$C$1946, pivot!$A$2:$A$1946, endirim!B688)),
  pivot!$D$2:$D$1946)</f>
        <v>29</v>
      </c>
      <c r="E688" s="3" t="str" cm="1">
        <f t="array" ref="E688">_xlfn.XLOOKUP(1,
    (pivot!$A$2:$A$1946=endirim!B688) * (pivot!$D$2:$D$1946 = _xlfn.MAXIFS(pivot!$D$2:$D$1946, pivot!$A$2:$A$1946, endirim!B688)),
    pivot!$B$2:$B$1946)</f>
        <v>HasCreditCard</v>
      </c>
      <c r="F688" s="22">
        <f>_xlfn.MAXIFS(pivot!$D$2:$D$1946, pivot!$A$2:$A$1946, endirim!B688)</f>
        <v>65</v>
      </c>
      <c r="G688" s="3" t="str">
        <f t="shared" si="10"/>
        <v>HasCreditCard Kompaniyasını 20% endirimlə təklif et</v>
      </c>
    </row>
    <row r="689" spans="2:7" x14ac:dyDescent="0.3">
      <c r="B689" t="s">
        <v>743</v>
      </c>
      <c r="C689" s="3" t="str" cm="1">
        <f t="array" ref="C689">_xlfn.XLOOKUP(1,(pivot!$A$2:$A$1946=Table3[[#This Row],[Müştəri adı]])*(pivot!$C$2:$C$1946=_xlfn.MAXIFS(pivot!$C$2:$C$1946,pivot!$A$2:$A$1946,Table3[[#This Row],[Müştəri adı]])),pivot!$B$2:$B$1946)</f>
        <v>NewCellphoneUser</v>
      </c>
      <c r="D689" s="22" cm="1">
        <f t="array" ref="D689">_xlfn.XLOOKUP(1,
  (pivot!$A$2:$A$1946=endirim!B689) * (pivot!$C$2:$C$1946 = _xlfn.MAXIFS(pivot!$C$2:$C$1946, pivot!$A$2:$A$1946, endirim!B689)),
  pivot!$D$2:$D$1946)</f>
        <v>25</v>
      </c>
      <c r="E689" s="3" t="str" cm="1">
        <f t="array" ref="E689">_xlfn.XLOOKUP(1,
    (pivot!$A$2:$A$1946=endirim!B689) * (pivot!$D$2:$D$1946 = _xlfn.MAXIFS(pivot!$D$2:$D$1946, pivot!$A$2:$A$1946, endirim!B689)),
    pivot!$B$2:$B$1946)</f>
        <v>NewCellphoneUser</v>
      </c>
      <c r="F689" s="22">
        <f>_xlfn.MAXIFS(pivot!$D$2:$D$1946, pivot!$A$2:$A$1946, endirim!B689)</f>
        <v>25</v>
      </c>
      <c r="G689" s="3" t="str">
        <f t="shared" si="10"/>
        <v>Təklif yoxdur</v>
      </c>
    </row>
    <row r="690" spans="2:7" x14ac:dyDescent="0.3">
      <c r="B690" t="s">
        <v>744</v>
      </c>
      <c r="C690" s="3" t="str" cm="1">
        <f t="array" ref="C690">_xlfn.XLOOKUP(1,(pivot!$A$2:$A$1946=Table3[[#This Row],[Müştəri adı]])*(pivot!$C$2:$C$1946=_xlfn.MAXIFS(pivot!$C$2:$C$1946,pivot!$A$2:$A$1946,Table3[[#This Row],[Müştəri adı]])),pivot!$B$2:$B$1946)</f>
        <v>HasCreditCard</v>
      </c>
      <c r="D690" s="22" cm="1">
        <f t="array" ref="D690">_xlfn.XLOOKUP(1,
  (pivot!$A$2:$A$1946=endirim!B690) * (pivot!$C$2:$C$1946 = _xlfn.MAXIFS(pivot!$C$2:$C$1946, pivot!$A$2:$A$1946, endirim!B690)),
  pivot!$D$2:$D$1946)</f>
        <v>65</v>
      </c>
      <c r="E690" s="3" t="str" cm="1">
        <f t="array" ref="E690">_xlfn.XLOOKUP(1,
    (pivot!$A$2:$A$1946=endirim!B690) * (pivot!$D$2:$D$1946 = _xlfn.MAXIFS(pivot!$D$2:$D$1946, pivot!$A$2:$A$1946, endirim!B690)),
    pivot!$B$2:$B$1946)</f>
        <v>NonUSTravel</v>
      </c>
      <c r="F690" s="22">
        <f>_xlfn.MAXIFS(pivot!$D$2:$D$1946, pivot!$A$2:$A$1946, endirim!B690)</f>
        <v>66</v>
      </c>
      <c r="G690" s="3" t="str">
        <f t="shared" si="10"/>
        <v>NonUSTravel Kompaniyasını 20% endirimlə təklif et</v>
      </c>
    </row>
    <row r="691" spans="2:7" x14ac:dyDescent="0.3">
      <c r="B691" t="s">
        <v>745</v>
      </c>
      <c r="C691" s="3" t="str" cm="1">
        <f t="array" ref="C691">_xlfn.XLOOKUP(1,(pivot!$A$2:$A$1946=Table3[[#This Row],[Müştəri adı]])*(pivot!$C$2:$C$1946=_xlfn.MAXIFS(pivot!$C$2:$C$1946,pivot!$A$2:$A$1946,Table3[[#This Row],[Müştəri adı]])),pivot!$B$2:$B$1946)</f>
        <v>OptOutMailings</v>
      </c>
      <c r="D691" s="22" cm="1">
        <f t="array" ref="D691">_xlfn.XLOOKUP(1,
  (pivot!$A$2:$A$1946=endirim!B691) * (pivot!$C$2:$C$1946 = _xlfn.MAXIFS(pivot!$C$2:$C$1946, pivot!$A$2:$A$1946, endirim!B691)),
  pivot!$D$2:$D$1946)</f>
        <v>75</v>
      </c>
      <c r="E691" s="3" t="str" cm="1">
        <f t="array" ref="E691">_xlfn.XLOOKUP(1,
    (pivot!$A$2:$A$1946=endirim!B691) * (pivot!$D$2:$D$1946 = _xlfn.MAXIFS(pivot!$D$2:$D$1946, pivot!$A$2:$A$1946, endirim!B691)),
    pivot!$B$2:$B$1946)</f>
        <v>OptOutMailings</v>
      </c>
      <c r="F691" s="22">
        <f>_xlfn.MAXIFS(pivot!$D$2:$D$1946, pivot!$A$2:$A$1946, endirim!B691)</f>
        <v>75</v>
      </c>
      <c r="G691" s="3" t="str">
        <f t="shared" si="10"/>
        <v>Təklif yoxdur</v>
      </c>
    </row>
    <row r="692" spans="2:7" x14ac:dyDescent="0.3">
      <c r="B692" t="s">
        <v>746</v>
      </c>
      <c r="C692" s="3" t="str" cm="1">
        <f t="array" ref="C692">_xlfn.XLOOKUP(1,(pivot!$A$2:$A$1946=Table3[[#This Row],[Müştəri adı]])*(pivot!$C$2:$C$1946=_xlfn.MAXIFS(pivot!$C$2:$C$1946,pivot!$A$2:$A$1946,Table3[[#This Row],[Müştəri adı]])),pivot!$B$2:$B$1946)</f>
        <v>OwnsMotorcycle</v>
      </c>
      <c r="D692" s="22" cm="1">
        <f t="array" ref="D692">_xlfn.XLOOKUP(1,
  (pivot!$A$2:$A$1946=endirim!B692) * (pivot!$C$2:$C$1946 = _xlfn.MAXIFS(pivot!$C$2:$C$1946, pivot!$A$2:$A$1946, endirim!B692)),
  pivot!$D$2:$D$1946)</f>
        <v>14</v>
      </c>
      <c r="E692" s="3" t="str" cm="1">
        <f t="array" ref="E692">_xlfn.XLOOKUP(1,
    (pivot!$A$2:$A$1946=endirim!B692) * (pivot!$D$2:$D$1946 = _xlfn.MAXIFS(pivot!$D$2:$D$1946, pivot!$A$2:$A$1946, endirim!B692)),
    pivot!$B$2:$B$1946)</f>
        <v>TruckOwner</v>
      </c>
      <c r="F692" s="22">
        <f>_xlfn.MAXIFS(pivot!$D$2:$D$1946, pivot!$A$2:$A$1946, endirim!B692)</f>
        <v>26</v>
      </c>
      <c r="G692" s="3" t="str">
        <f t="shared" si="10"/>
        <v>TruckOwner Kompaniyasını 20% endirimlə təklif et</v>
      </c>
    </row>
    <row r="693" spans="2:7" x14ac:dyDescent="0.3">
      <c r="B693" t="s">
        <v>747</v>
      </c>
      <c r="C693" s="3" t="str" cm="1">
        <f t="array" ref="C693">_xlfn.XLOOKUP(1,(pivot!$A$2:$A$1946=Table3[[#This Row],[Müştəri adı]])*(pivot!$C$2:$C$1946=_xlfn.MAXIFS(pivot!$C$2:$C$1946,pivot!$A$2:$A$1946,Table3[[#This Row],[Müştəri adı]])),pivot!$B$2:$B$1946)</f>
        <v>TruckOwner</v>
      </c>
      <c r="D693" s="22" cm="1">
        <f t="array" ref="D693">_xlfn.XLOOKUP(1,
  (pivot!$A$2:$A$1946=endirim!B693) * (pivot!$C$2:$C$1946 = _xlfn.MAXIFS(pivot!$C$2:$C$1946, pivot!$A$2:$A$1946, endirim!B693)),
  pivot!$D$2:$D$1946)</f>
        <v>26</v>
      </c>
      <c r="E693" s="3" t="str" cm="1">
        <f t="array" ref="E693">_xlfn.XLOOKUP(1,
    (pivot!$A$2:$A$1946=endirim!B693) * (pivot!$D$2:$D$1946 = _xlfn.MAXIFS(pivot!$D$2:$D$1946, pivot!$A$2:$A$1946, endirim!B693)),
    pivot!$B$2:$B$1946)</f>
        <v>NonUSTravel</v>
      </c>
      <c r="F693" s="22">
        <f>_xlfn.MAXIFS(pivot!$D$2:$D$1946, pivot!$A$2:$A$1946, endirim!B693)</f>
        <v>66</v>
      </c>
      <c r="G693" s="3" t="str">
        <f t="shared" si="10"/>
        <v>NonUSTravel Kompaniyasını 20% endirimlə təklif et</v>
      </c>
    </row>
    <row r="694" spans="2:7" x14ac:dyDescent="0.3">
      <c r="B694" t="s">
        <v>748</v>
      </c>
      <c r="C694" s="3" t="str" cm="1">
        <f t="array" ref="C694">_xlfn.XLOOKUP(1,(pivot!$A$2:$A$1946=Table3[[#This Row],[Müştəri adı]])*(pivot!$C$2:$C$1946=_xlfn.MAXIFS(pivot!$C$2:$C$1946,pivot!$A$2:$A$1946,Table3[[#This Row],[Müştəri adı]])),pivot!$B$2:$B$1946)</f>
        <v>OwnsComputer</v>
      </c>
      <c r="D694" s="22" cm="1">
        <f t="array" ref="D694">_xlfn.XLOOKUP(1,
  (pivot!$A$2:$A$1946=endirim!B694) * (pivot!$C$2:$C$1946 = _xlfn.MAXIFS(pivot!$C$2:$C$1946, pivot!$A$2:$A$1946, endirim!B694)),
  pivot!$D$2:$D$1946)</f>
        <v>62</v>
      </c>
      <c r="E694" s="3" t="str" cm="1">
        <f t="array" ref="E694">_xlfn.XLOOKUP(1,
    (pivot!$A$2:$A$1946=endirim!B694) * (pivot!$D$2:$D$1946 = _xlfn.MAXIFS(pivot!$D$2:$D$1946, pivot!$A$2:$A$1946, endirim!B694)),
    pivot!$B$2:$B$1946)</f>
        <v>OwnsComputer</v>
      </c>
      <c r="F694" s="22">
        <f>_xlfn.MAXIFS(pivot!$D$2:$D$1946, pivot!$A$2:$A$1946, endirim!B694)</f>
        <v>62</v>
      </c>
      <c r="G694" s="3" t="str">
        <f t="shared" si="10"/>
        <v>Təklif yoxdur</v>
      </c>
    </row>
    <row r="695" spans="2:7" x14ac:dyDescent="0.3">
      <c r="B695" t="s">
        <v>749</v>
      </c>
      <c r="C695" s="3" t="str" cm="1">
        <f t="array" ref="C695">_xlfn.XLOOKUP(1,(pivot!$A$2:$A$1946=Table3[[#This Row],[Müştəri adı]])*(pivot!$C$2:$C$1946=_xlfn.MAXIFS(pivot!$C$2:$C$1946,pivot!$A$2:$A$1946,Table3[[#This Row],[Müştəri adı]])),pivot!$B$2:$B$1946)</f>
        <v>HandsetRefurbished</v>
      </c>
      <c r="D695" s="22" cm="1">
        <f t="array" ref="D695">_xlfn.XLOOKUP(1,
  (pivot!$A$2:$A$1946=endirim!B695) * (pivot!$C$2:$C$1946 = _xlfn.MAXIFS(pivot!$C$2:$C$1946, pivot!$A$2:$A$1946, endirim!B695)),
  pivot!$D$2:$D$1946)</f>
        <v>26</v>
      </c>
      <c r="E695" s="3" t="str" cm="1">
        <f t="array" ref="E695">_xlfn.XLOOKUP(1,
    (pivot!$A$2:$A$1946=endirim!B695) * (pivot!$D$2:$D$1946 = _xlfn.MAXIFS(pivot!$D$2:$D$1946, pivot!$A$2:$A$1946, endirim!B695)),
    pivot!$B$2:$B$1946)</f>
        <v>HandsetWebCapable</v>
      </c>
      <c r="F695" s="22">
        <f>_xlfn.MAXIFS(pivot!$D$2:$D$1946, pivot!$A$2:$A$1946, endirim!B695)</f>
        <v>62</v>
      </c>
      <c r="G695" s="3" t="str">
        <f t="shared" si="10"/>
        <v>HandsetWebCapable Kompaniyasını 20% endirimlə təklif et</v>
      </c>
    </row>
    <row r="696" spans="2:7" x14ac:dyDescent="0.3">
      <c r="B696" t="s">
        <v>750</v>
      </c>
      <c r="C696" s="3" t="str" cm="1">
        <f t="array" ref="C696">_xlfn.XLOOKUP(1,(pivot!$A$2:$A$1946=Table3[[#This Row],[Müştəri adı]])*(pivot!$C$2:$C$1946=_xlfn.MAXIFS(pivot!$C$2:$C$1946,pivot!$A$2:$A$1946,Table3[[#This Row],[Müştəri adı]])),pivot!$B$2:$B$1946)</f>
        <v>ChildrenInHH</v>
      </c>
      <c r="D696" s="22" cm="1">
        <f t="array" ref="D696">_xlfn.XLOOKUP(1,
  (pivot!$A$2:$A$1946=endirim!B696) * (pivot!$C$2:$C$1946 = _xlfn.MAXIFS(pivot!$C$2:$C$1946, pivot!$A$2:$A$1946, endirim!B696)),
  pivot!$D$2:$D$1946)</f>
        <v>10</v>
      </c>
      <c r="E696" s="3" t="str" cm="1">
        <f t="array" ref="E696">_xlfn.XLOOKUP(1,
    (pivot!$A$2:$A$1946=endirim!B696) * (pivot!$D$2:$D$1946 = _xlfn.MAXIFS(pivot!$D$2:$D$1946, pivot!$A$2:$A$1946, endirim!B696)),
    pivot!$B$2:$B$1946)</f>
        <v>MadeCallToRetentionTeam</v>
      </c>
      <c r="F696" s="22">
        <f>_xlfn.MAXIFS(pivot!$D$2:$D$1946, pivot!$A$2:$A$1946, endirim!B696)</f>
        <v>16</v>
      </c>
      <c r="G696" s="3" t="str">
        <f t="shared" si="10"/>
        <v>MadeCallToRetentionTeam Kompaniyasını 20% endirimlə təklif et</v>
      </c>
    </row>
    <row r="697" spans="2:7" x14ac:dyDescent="0.3">
      <c r="B697" t="s">
        <v>751</v>
      </c>
      <c r="C697" s="3" t="str" cm="1">
        <f t="array" ref="C697">_xlfn.XLOOKUP(1,(pivot!$A$2:$A$1946=Table3[[#This Row],[Müştəri adı]])*(pivot!$C$2:$C$1946=_xlfn.MAXIFS(pivot!$C$2:$C$1946,pivot!$A$2:$A$1946,Table3[[#This Row],[Müştəri adı]])),pivot!$B$2:$B$1946)</f>
        <v>ChildrenInHH</v>
      </c>
      <c r="D697" s="22" cm="1">
        <f t="array" ref="D697">_xlfn.XLOOKUP(1,
  (pivot!$A$2:$A$1946=endirim!B697) * (pivot!$C$2:$C$1946 = _xlfn.MAXIFS(pivot!$C$2:$C$1946, pivot!$A$2:$A$1946, endirim!B697)),
  pivot!$D$2:$D$1946)</f>
        <v>10</v>
      </c>
      <c r="E697" s="3" t="str" cm="1">
        <f t="array" ref="E697">_xlfn.XLOOKUP(1,
    (pivot!$A$2:$A$1946=endirim!B697) * (pivot!$D$2:$D$1946 = _xlfn.MAXIFS(pivot!$D$2:$D$1946, pivot!$A$2:$A$1946, endirim!B697)),
    pivot!$B$2:$B$1946)</f>
        <v>NotNewCellphoneUser</v>
      </c>
      <c r="F697" s="22">
        <f>_xlfn.MAXIFS(pivot!$D$2:$D$1946, pivot!$A$2:$A$1946, endirim!B697)</f>
        <v>28</v>
      </c>
      <c r="G697" s="3" t="str">
        <f t="shared" si="10"/>
        <v>NotNewCellphoneUser Kompaniyasını 20% endirimlə təklif et</v>
      </c>
    </row>
    <row r="698" spans="2:7" x14ac:dyDescent="0.3">
      <c r="B698" t="s">
        <v>752</v>
      </c>
      <c r="C698" s="3" t="str" cm="1">
        <f t="array" ref="C698">_xlfn.XLOOKUP(1,(pivot!$A$2:$A$1946=Table3[[#This Row],[Müştəri adı]])*(pivot!$C$2:$C$1946=_xlfn.MAXIFS(pivot!$C$2:$C$1946,pivot!$A$2:$A$1946,Table3[[#This Row],[Müştəri adı]])),pivot!$B$2:$B$1946)</f>
        <v>MadeCallToRetentionTeam</v>
      </c>
      <c r="D698" s="22" cm="1">
        <f t="array" ref="D698">_xlfn.XLOOKUP(1,
  (pivot!$A$2:$A$1946=endirim!B698) * (pivot!$C$2:$C$1946 = _xlfn.MAXIFS(pivot!$C$2:$C$1946, pivot!$A$2:$A$1946, endirim!B698)),
  pivot!$D$2:$D$1946)</f>
        <v>16</v>
      </c>
      <c r="E698" s="3" t="str" cm="1">
        <f t="array" ref="E698">_xlfn.XLOOKUP(1,
    (pivot!$A$2:$A$1946=endirim!B698) * (pivot!$D$2:$D$1946 = _xlfn.MAXIFS(pivot!$D$2:$D$1946, pivot!$A$2:$A$1946, endirim!B698)),
    pivot!$B$2:$B$1946)</f>
        <v>OptOutMailings</v>
      </c>
      <c r="F698" s="22">
        <f>_xlfn.MAXIFS(pivot!$D$2:$D$1946, pivot!$A$2:$A$1946, endirim!B698)</f>
        <v>75</v>
      </c>
      <c r="G698" s="3" t="str">
        <f t="shared" si="10"/>
        <v>OptOutMailings Kompaniyasını 20% endirimlə təklif et</v>
      </c>
    </row>
    <row r="699" spans="2:7" x14ac:dyDescent="0.3">
      <c r="B699" t="s">
        <v>753</v>
      </c>
      <c r="C699" s="3" t="str" cm="1">
        <f t="array" ref="C699">_xlfn.XLOOKUP(1,(pivot!$A$2:$A$1946=Table3[[#This Row],[Müştəri adı]])*(pivot!$C$2:$C$1946=_xlfn.MAXIFS(pivot!$C$2:$C$1946,pivot!$A$2:$A$1946,Table3[[#This Row],[Müştəri adı]])),pivot!$B$2:$B$1946)</f>
        <v>Homeownership</v>
      </c>
      <c r="D699" s="22" cm="1">
        <f t="array" ref="D699">_xlfn.XLOOKUP(1,
  (pivot!$A$2:$A$1946=endirim!B699) * (pivot!$C$2:$C$1946 = _xlfn.MAXIFS(pivot!$C$2:$C$1946, pivot!$A$2:$A$1946, endirim!B699)),
  pivot!$D$2:$D$1946)</f>
        <v>13</v>
      </c>
      <c r="E699" s="3" t="str" cm="1">
        <f t="array" ref="E699">_xlfn.XLOOKUP(1,
    (pivot!$A$2:$A$1946=endirim!B699) * (pivot!$D$2:$D$1946 = _xlfn.MAXIFS(pivot!$D$2:$D$1946, pivot!$A$2:$A$1946, endirim!B699)),
    pivot!$B$2:$B$1946)</f>
        <v>OptOutMailings</v>
      </c>
      <c r="F699" s="22">
        <f>_xlfn.MAXIFS(pivot!$D$2:$D$1946, pivot!$A$2:$A$1946, endirim!B699)</f>
        <v>75</v>
      </c>
      <c r="G699" s="3" t="str">
        <f t="shared" si="10"/>
        <v>OptOutMailings Kompaniyasını 20% endirimlə təklif et</v>
      </c>
    </row>
    <row r="700" spans="2:7" x14ac:dyDescent="0.3">
      <c r="B700" t="s">
        <v>754</v>
      </c>
      <c r="C700" s="3" t="str" cm="1">
        <f t="array" ref="C700">_xlfn.XLOOKUP(1,(pivot!$A$2:$A$1946=Table3[[#This Row],[Müştəri adı]])*(pivot!$C$2:$C$1946=_xlfn.MAXIFS(pivot!$C$2:$C$1946,pivot!$A$2:$A$1946,Table3[[#This Row],[Müştəri adı]])),pivot!$B$2:$B$1946)</f>
        <v>RespondsToMailOffers</v>
      </c>
      <c r="D700" s="22" cm="1">
        <f t="array" ref="D700">_xlfn.XLOOKUP(1,
  (pivot!$A$2:$A$1946=endirim!B700) * (pivot!$C$2:$C$1946 = _xlfn.MAXIFS(pivot!$C$2:$C$1946, pivot!$A$2:$A$1946, endirim!B700)),
  pivot!$D$2:$D$1946)</f>
        <v>27</v>
      </c>
      <c r="E700" s="3" t="str" cm="1">
        <f t="array" ref="E700">_xlfn.XLOOKUP(1,
    (pivot!$A$2:$A$1946=endirim!B700) * (pivot!$D$2:$D$1946 = _xlfn.MAXIFS(pivot!$D$2:$D$1946, pivot!$A$2:$A$1946, endirim!B700)),
    pivot!$B$2:$B$1946)</f>
        <v>RespondsToMailOffers</v>
      </c>
      <c r="F700" s="22">
        <f>_xlfn.MAXIFS(pivot!$D$2:$D$1946, pivot!$A$2:$A$1946, endirim!B700)</f>
        <v>27</v>
      </c>
      <c r="G700" s="3" t="str">
        <f t="shared" si="10"/>
        <v>Təklif yoxdur</v>
      </c>
    </row>
    <row r="701" spans="2:7" x14ac:dyDescent="0.3">
      <c r="B701" t="s">
        <v>755</v>
      </c>
      <c r="C701" s="3" t="str" cm="1">
        <f t="array" ref="C701">_xlfn.XLOOKUP(1,(pivot!$A$2:$A$1946=Table3[[#This Row],[Müştəri adı]])*(pivot!$C$2:$C$1946=_xlfn.MAXIFS(pivot!$C$2:$C$1946,pivot!$A$2:$A$1946,Table3[[#This Row],[Müştəri adı]])),pivot!$B$2:$B$1946)</f>
        <v>NotNewCellphoneUser</v>
      </c>
      <c r="D701" s="22" cm="1">
        <f t="array" ref="D701">_xlfn.XLOOKUP(1,
  (pivot!$A$2:$A$1946=endirim!B701) * (pivot!$C$2:$C$1946 = _xlfn.MAXIFS(pivot!$C$2:$C$1946, pivot!$A$2:$A$1946, endirim!B701)),
  pivot!$D$2:$D$1946)</f>
        <v>28</v>
      </c>
      <c r="E701" s="3" t="str" cm="1">
        <f t="array" ref="E701">_xlfn.XLOOKUP(1,
    (pivot!$A$2:$A$1946=endirim!B701) * (pivot!$D$2:$D$1946 = _xlfn.MAXIFS(pivot!$D$2:$D$1946, pivot!$A$2:$A$1946, endirim!B701)),
    pivot!$B$2:$B$1946)</f>
        <v>MaritalStatus</v>
      </c>
      <c r="F701" s="22">
        <f>_xlfn.MAXIFS(pivot!$D$2:$D$1946, pivot!$A$2:$A$1946, endirim!B701)</f>
        <v>29</v>
      </c>
      <c r="G701" s="3" t="str">
        <f t="shared" si="10"/>
        <v>MaritalStatus Kompaniyasını 20% endirimlə təklif et</v>
      </c>
    </row>
    <row r="702" spans="2:7" x14ac:dyDescent="0.3">
      <c r="B702" t="s">
        <v>756</v>
      </c>
      <c r="C702" s="3" t="str" cm="1">
        <f t="array" ref="C702">_xlfn.XLOOKUP(1,(pivot!$A$2:$A$1946=Table3[[#This Row],[Müştəri adı]])*(pivot!$C$2:$C$1946=_xlfn.MAXIFS(pivot!$C$2:$C$1946,pivot!$A$2:$A$1946,Table3[[#This Row],[Müştəri adı]])),pivot!$B$2:$B$1946)</f>
        <v>HandsetRefurbished</v>
      </c>
      <c r="D702" s="22" cm="1">
        <f t="array" ref="D702">_xlfn.XLOOKUP(1,
  (pivot!$A$2:$A$1946=endirim!B702) * (pivot!$C$2:$C$1946 = _xlfn.MAXIFS(pivot!$C$2:$C$1946, pivot!$A$2:$A$1946, endirim!B702)),
  pivot!$D$2:$D$1946)</f>
        <v>26</v>
      </c>
      <c r="E702" s="3" t="str" cm="1">
        <f t="array" ref="E702">_xlfn.XLOOKUP(1,
    (pivot!$A$2:$A$1946=endirim!B702) * (pivot!$D$2:$D$1946 = _xlfn.MAXIFS(pivot!$D$2:$D$1946, pivot!$A$2:$A$1946, endirim!B702)),
    pivot!$B$2:$B$1946)</f>
        <v>NotNewCellphoneUser</v>
      </c>
      <c r="F702" s="22">
        <f>_xlfn.MAXIFS(pivot!$D$2:$D$1946, pivot!$A$2:$A$1946, endirim!B702)</f>
        <v>28</v>
      </c>
      <c r="G702" s="3" t="str">
        <f t="shared" si="10"/>
        <v>NotNewCellphoneUser Kompaniyasını 20% endirimlə təklif et</v>
      </c>
    </row>
    <row r="703" spans="2:7" x14ac:dyDescent="0.3">
      <c r="B703" t="s">
        <v>757</v>
      </c>
      <c r="C703" s="3" t="str" cm="1">
        <f t="array" ref="C703">_xlfn.XLOOKUP(1,(pivot!$A$2:$A$1946=Table3[[#This Row],[Müştəri adı]])*(pivot!$C$2:$C$1946=_xlfn.MAXIFS(pivot!$C$2:$C$1946,pivot!$A$2:$A$1946,Table3[[#This Row],[Müştəri adı]])),pivot!$B$2:$B$1946)</f>
        <v>RVOwner</v>
      </c>
      <c r="D703" s="22" cm="1">
        <f t="array" ref="D703">_xlfn.XLOOKUP(1,
  (pivot!$A$2:$A$1946=endirim!B703) * (pivot!$C$2:$C$1946 = _xlfn.MAXIFS(pivot!$C$2:$C$1946, pivot!$A$2:$A$1946, endirim!B703)),
  pivot!$D$2:$D$1946)</f>
        <v>22</v>
      </c>
      <c r="E703" s="3" t="str" cm="1">
        <f t="array" ref="E703">_xlfn.XLOOKUP(1,
    (pivot!$A$2:$A$1946=endirim!B703) * (pivot!$D$2:$D$1946 = _xlfn.MAXIFS(pivot!$D$2:$D$1946, pivot!$A$2:$A$1946, endirim!B703)),
    pivot!$B$2:$B$1946)</f>
        <v>NotNewCellphoneUser</v>
      </c>
      <c r="F703" s="22">
        <f>_xlfn.MAXIFS(pivot!$D$2:$D$1946, pivot!$A$2:$A$1946, endirim!B703)</f>
        <v>28</v>
      </c>
      <c r="G703" s="3" t="str">
        <f t="shared" si="10"/>
        <v>NotNewCellphoneUser Kompaniyasını 20% endirimlə təklif et</v>
      </c>
    </row>
    <row r="704" spans="2:7" x14ac:dyDescent="0.3">
      <c r="B704" t="s">
        <v>758</v>
      </c>
      <c r="C704" s="3" t="str" cm="1">
        <f t="array" ref="C704">_xlfn.XLOOKUP(1,(pivot!$A$2:$A$1946=Table3[[#This Row],[Müştəri adı]])*(pivot!$C$2:$C$1946=_xlfn.MAXIFS(pivot!$C$2:$C$1946,pivot!$A$2:$A$1946,Table3[[#This Row],[Müştəri adı]])),pivot!$B$2:$B$1946)</f>
        <v>RVOwner</v>
      </c>
      <c r="D704" s="22" cm="1">
        <f t="array" ref="D704">_xlfn.XLOOKUP(1,
  (pivot!$A$2:$A$1946=endirim!B704) * (pivot!$C$2:$C$1946 = _xlfn.MAXIFS(pivot!$C$2:$C$1946, pivot!$A$2:$A$1946, endirim!B704)),
  pivot!$D$2:$D$1946)</f>
        <v>22</v>
      </c>
      <c r="E704" s="3" t="str" cm="1">
        <f t="array" ref="E704">_xlfn.XLOOKUP(1,
    (pivot!$A$2:$A$1946=endirim!B704) * (pivot!$D$2:$D$1946 = _xlfn.MAXIFS(pivot!$D$2:$D$1946, pivot!$A$2:$A$1946, endirim!B704)),
    pivot!$B$2:$B$1946)</f>
        <v>NewCellphoneUser</v>
      </c>
      <c r="F704" s="22">
        <f>_xlfn.MAXIFS(pivot!$D$2:$D$1946, pivot!$A$2:$A$1946, endirim!B704)</f>
        <v>25</v>
      </c>
      <c r="G704" s="3" t="str">
        <f t="shared" si="10"/>
        <v>NewCellphoneUser Kompaniyasını 20% endirimlə təklif et</v>
      </c>
    </row>
    <row r="705" spans="2:7" x14ac:dyDescent="0.3">
      <c r="B705" t="s">
        <v>759</v>
      </c>
      <c r="C705" s="3" t="str" cm="1">
        <f t="array" ref="C705">_xlfn.XLOOKUP(1,(pivot!$A$2:$A$1946=Table3[[#This Row],[Müştəri adı]])*(pivot!$C$2:$C$1946=_xlfn.MAXIFS(pivot!$C$2:$C$1946,pivot!$A$2:$A$1946,Table3[[#This Row],[Müştəri adı]])),pivot!$B$2:$B$1946)</f>
        <v>RVOwner</v>
      </c>
      <c r="D705" s="22" cm="1">
        <f t="array" ref="D705">_xlfn.XLOOKUP(1,
  (pivot!$A$2:$A$1946=endirim!B705) * (pivot!$C$2:$C$1946 = _xlfn.MAXIFS(pivot!$C$2:$C$1946, pivot!$A$2:$A$1946, endirim!B705)),
  pivot!$D$2:$D$1946)</f>
        <v>22</v>
      </c>
      <c r="E705" s="3" t="str" cm="1">
        <f t="array" ref="E705">_xlfn.XLOOKUP(1,
    (pivot!$A$2:$A$1946=endirim!B705) * (pivot!$D$2:$D$1946 = _xlfn.MAXIFS(pivot!$D$2:$D$1946, pivot!$A$2:$A$1946, endirim!B705)),
    pivot!$B$2:$B$1946)</f>
        <v>OwnsComputer</v>
      </c>
      <c r="F705" s="22">
        <f>_xlfn.MAXIFS(pivot!$D$2:$D$1946, pivot!$A$2:$A$1946, endirim!B705)</f>
        <v>62</v>
      </c>
      <c r="G705" s="3" t="str">
        <f t="shared" si="10"/>
        <v>OwnsComputer Kompaniyasını 20% endirimlə təklif et</v>
      </c>
    </row>
    <row r="706" spans="2:7" x14ac:dyDescent="0.3">
      <c r="B706" t="s">
        <v>760</v>
      </c>
      <c r="C706" s="3" t="str" cm="1">
        <f t="array" ref="C706">_xlfn.XLOOKUP(1,(pivot!$A$2:$A$1946=Table3[[#This Row],[Müştəri adı]])*(pivot!$C$2:$C$1946=_xlfn.MAXIFS(pivot!$C$2:$C$1946,pivot!$A$2:$A$1946,Table3[[#This Row],[Müştəri adı]])),pivot!$B$2:$B$1946)</f>
        <v>HasCreditCard</v>
      </c>
      <c r="D706" s="22" cm="1">
        <f t="array" ref="D706">_xlfn.XLOOKUP(1,
  (pivot!$A$2:$A$1946=endirim!B706) * (pivot!$C$2:$C$1946 = _xlfn.MAXIFS(pivot!$C$2:$C$1946, pivot!$A$2:$A$1946, endirim!B706)),
  pivot!$D$2:$D$1946)</f>
        <v>65</v>
      </c>
      <c r="E706" s="3" t="str" cm="1">
        <f t="array" ref="E706">_xlfn.XLOOKUP(1,
    (pivot!$A$2:$A$1946=endirim!B706) * (pivot!$D$2:$D$1946 = _xlfn.MAXIFS(pivot!$D$2:$D$1946, pivot!$A$2:$A$1946, endirim!B706)),
    pivot!$B$2:$B$1946)</f>
        <v>HasCreditCard</v>
      </c>
      <c r="F706" s="22">
        <f>_xlfn.MAXIFS(pivot!$D$2:$D$1946, pivot!$A$2:$A$1946, endirim!B706)</f>
        <v>65</v>
      </c>
      <c r="G706" s="3" t="str">
        <f t="shared" si="10"/>
        <v>Təklif yoxdur</v>
      </c>
    </row>
    <row r="707" spans="2:7" x14ac:dyDescent="0.3">
      <c r="B707" t="s">
        <v>761</v>
      </c>
      <c r="C707" s="3" t="str" cm="1">
        <f t="array" ref="C707">_xlfn.XLOOKUP(1,(pivot!$A$2:$A$1946=Table3[[#This Row],[Müştəri adı]])*(pivot!$C$2:$C$1946=_xlfn.MAXIFS(pivot!$C$2:$C$1946,pivot!$A$2:$A$1946,Table3[[#This Row],[Müştəri adı]])),pivot!$B$2:$B$1946)</f>
        <v>RespondsToMailOffers</v>
      </c>
      <c r="D707" s="22" cm="1">
        <f t="array" ref="D707">_xlfn.XLOOKUP(1,
  (pivot!$A$2:$A$1946=endirim!B707) * (pivot!$C$2:$C$1946 = _xlfn.MAXIFS(pivot!$C$2:$C$1946, pivot!$A$2:$A$1946, endirim!B707)),
  pivot!$D$2:$D$1946)</f>
        <v>27</v>
      </c>
      <c r="E707" s="3" t="str" cm="1">
        <f t="array" ref="E707">_xlfn.XLOOKUP(1,
    (pivot!$A$2:$A$1946=endirim!B707) * (pivot!$D$2:$D$1946 = _xlfn.MAXIFS(pivot!$D$2:$D$1946, pivot!$A$2:$A$1946, endirim!B707)),
    pivot!$B$2:$B$1946)</f>
        <v>OptOutMailings</v>
      </c>
      <c r="F707" s="22">
        <f>_xlfn.MAXIFS(pivot!$D$2:$D$1946, pivot!$A$2:$A$1946, endirim!B707)</f>
        <v>75</v>
      </c>
      <c r="G707" s="3" t="str">
        <f t="shared" si="10"/>
        <v>OptOutMailings Kompaniyasını 20% endirimlə təklif et</v>
      </c>
    </row>
    <row r="708" spans="2:7" x14ac:dyDescent="0.3">
      <c r="B708" t="s">
        <v>762</v>
      </c>
      <c r="C708" s="3" t="str" cm="1">
        <f t="array" ref="C708">_xlfn.XLOOKUP(1,(pivot!$A$2:$A$1946=Table3[[#This Row],[Müştəri adı]])*(pivot!$C$2:$C$1946=_xlfn.MAXIFS(pivot!$C$2:$C$1946,pivot!$A$2:$A$1946,Table3[[#This Row],[Müştəri adı]])),pivot!$B$2:$B$1946)</f>
        <v>HandsetRefurbished</v>
      </c>
      <c r="D708" s="22" cm="1">
        <f t="array" ref="D708">_xlfn.XLOOKUP(1,
  (pivot!$A$2:$A$1946=endirim!B708) * (pivot!$C$2:$C$1946 = _xlfn.MAXIFS(pivot!$C$2:$C$1946, pivot!$A$2:$A$1946, endirim!B708)),
  pivot!$D$2:$D$1946)</f>
        <v>26</v>
      </c>
      <c r="E708" s="3" t="str" cm="1">
        <f t="array" ref="E708">_xlfn.XLOOKUP(1,
    (pivot!$A$2:$A$1946=endirim!B708) * (pivot!$D$2:$D$1946 = _xlfn.MAXIFS(pivot!$D$2:$D$1946, pivot!$A$2:$A$1946, endirim!B708)),
    pivot!$B$2:$B$1946)</f>
        <v>HandsetRefurbished</v>
      </c>
      <c r="F708" s="22">
        <f>_xlfn.MAXIFS(pivot!$D$2:$D$1946, pivot!$A$2:$A$1946, endirim!B708)</f>
        <v>26</v>
      </c>
      <c r="G708" s="3" t="str">
        <f t="shared" ref="G708:G771" si="11">IF(D708=F708, "Təklif yoxdur", E708&amp;" Kompaniyasını 20% endirimlə təklif et")</f>
        <v>Təklif yoxdur</v>
      </c>
    </row>
    <row r="709" spans="2:7" x14ac:dyDescent="0.3">
      <c r="B709" t="s">
        <v>763</v>
      </c>
      <c r="C709" s="3" t="str" cm="1">
        <f t="array" ref="C709">_xlfn.XLOOKUP(1,(pivot!$A$2:$A$1946=Table3[[#This Row],[Müştəri adı]])*(pivot!$C$2:$C$1946=_xlfn.MAXIFS(pivot!$C$2:$C$1946,pivot!$A$2:$A$1946,Table3[[#This Row],[Müştəri adı]])),pivot!$B$2:$B$1946)</f>
        <v>HandsetRefurbished</v>
      </c>
      <c r="D709" s="22" cm="1">
        <f t="array" ref="D709">_xlfn.XLOOKUP(1,
  (pivot!$A$2:$A$1946=endirim!B709) * (pivot!$C$2:$C$1946 = _xlfn.MAXIFS(pivot!$C$2:$C$1946, pivot!$A$2:$A$1946, endirim!B709)),
  pivot!$D$2:$D$1946)</f>
        <v>26</v>
      </c>
      <c r="E709" s="3" t="str" cm="1">
        <f t="array" ref="E709">_xlfn.XLOOKUP(1,
    (pivot!$A$2:$A$1946=endirim!B709) * (pivot!$D$2:$D$1946 = _xlfn.MAXIFS(pivot!$D$2:$D$1946, pivot!$A$2:$A$1946, endirim!B709)),
    pivot!$B$2:$B$1946)</f>
        <v>HandsetRefurbished</v>
      </c>
      <c r="F709" s="22">
        <f>_xlfn.MAXIFS(pivot!$D$2:$D$1946, pivot!$A$2:$A$1946, endirim!B709)</f>
        <v>26</v>
      </c>
      <c r="G709" s="3" t="str">
        <f t="shared" si="11"/>
        <v>Təklif yoxdur</v>
      </c>
    </row>
    <row r="710" spans="2:7" x14ac:dyDescent="0.3">
      <c r="B710" t="s">
        <v>764</v>
      </c>
      <c r="C710" s="3" t="str" cm="1">
        <f t="array" ref="C710">_xlfn.XLOOKUP(1,(pivot!$A$2:$A$1946=Table3[[#This Row],[Müştəri adı]])*(pivot!$C$2:$C$1946=_xlfn.MAXIFS(pivot!$C$2:$C$1946,pivot!$A$2:$A$1946,Table3[[#This Row],[Müştəri adı]])),pivot!$B$2:$B$1946)</f>
        <v>HandsetRefurbished</v>
      </c>
      <c r="D710" s="22" cm="1">
        <f t="array" ref="D710">_xlfn.XLOOKUP(1,
  (pivot!$A$2:$A$1946=endirim!B710) * (pivot!$C$2:$C$1946 = _xlfn.MAXIFS(pivot!$C$2:$C$1946, pivot!$A$2:$A$1946, endirim!B710)),
  pivot!$D$2:$D$1946)</f>
        <v>26</v>
      </c>
      <c r="E710" s="3" t="str" cm="1">
        <f t="array" ref="E710">_xlfn.XLOOKUP(1,
    (pivot!$A$2:$A$1946=endirim!B710) * (pivot!$D$2:$D$1946 = _xlfn.MAXIFS(pivot!$D$2:$D$1946, pivot!$A$2:$A$1946, endirim!B710)),
    pivot!$B$2:$B$1946)</f>
        <v>HandsetRefurbished</v>
      </c>
      <c r="F710" s="22">
        <f>_xlfn.MAXIFS(pivot!$D$2:$D$1946, pivot!$A$2:$A$1946, endirim!B710)</f>
        <v>26</v>
      </c>
      <c r="G710" s="3" t="str">
        <f t="shared" si="11"/>
        <v>Təklif yoxdur</v>
      </c>
    </row>
    <row r="711" spans="2:7" x14ac:dyDescent="0.3">
      <c r="B711" t="s">
        <v>765</v>
      </c>
      <c r="C711" s="3" t="str" cm="1">
        <f t="array" ref="C711">_xlfn.XLOOKUP(1,(pivot!$A$2:$A$1946=Table3[[#This Row],[Müştəri adı]])*(pivot!$C$2:$C$1946=_xlfn.MAXIFS(pivot!$C$2:$C$1946,pivot!$A$2:$A$1946,Table3[[#This Row],[Müştəri adı]])),pivot!$B$2:$B$1946)</f>
        <v>BuysViaMailOrder</v>
      </c>
      <c r="D711" s="22" cm="1">
        <f t="array" ref="D711">_xlfn.XLOOKUP(1,
  (pivot!$A$2:$A$1946=endirim!B711) * (pivot!$C$2:$C$1946 = _xlfn.MAXIFS(pivot!$C$2:$C$1946, pivot!$A$2:$A$1946, endirim!B711)),
  pivot!$D$2:$D$1946)</f>
        <v>25</v>
      </c>
      <c r="E711" s="3" t="str" cm="1">
        <f t="array" ref="E711">_xlfn.XLOOKUP(1,
    (pivot!$A$2:$A$1946=endirim!B711) * (pivot!$D$2:$D$1946 = _xlfn.MAXIFS(pivot!$D$2:$D$1946, pivot!$A$2:$A$1946, endirim!B711)),
    pivot!$B$2:$B$1946)</f>
        <v>BuysViaMailOrder</v>
      </c>
      <c r="F711" s="22">
        <f>_xlfn.MAXIFS(pivot!$D$2:$D$1946, pivot!$A$2:$A$1946, endirim!B711)</f>
        <v>25</v>
      </c>
      <c r="G711" s="3" t="str">
        <f t="shared" si="11"/>
        <v>Təklif yoxdur</v>
      </c>
    </row>
    <row r="712" spans="2:7" x14ac:dyDescent="0.3">
      <c r="B712" t="s">
        <v>766</v>
      </c>
      <c r="C712" s="3" t="str" cm="1">
        <f t="array" ref="C712">_xlfn.XLOOKUP(1,(pivot!$A$2:$A$1946=Table3[[#This Row],[Müştəri adı]])*(pivot!$C$2:$C$1946=_xlfn.MAXIFS(pivot!$C$2:$C$1946,pivot!$A$2:$A$1946,Table3[[#This Row],[Müştəri adı]])),pivot!$B$2:$B$1946)</f>
        <v>RespondsToMailOffers</v>
      </c>
      <c r="D712" s="22" cm="1">
        <f t="array" ref="D712">_xlfn.XLOOKUP(1,
  (pivot!$A$2:$A$1946=endirim!B712) * (pivot!$C$2:$C$1946 = _xlfn.MAXIFS(pivot!$C$2:$C$1946, pivot!$A$2:$A$1946, endirim!B712)),
  pivot!$D$2:$D$1946)</f>
        <v>27</v>
      </c>
      <c r="E712" s="3" t="str" cm="1">
        <f t="array" ref="E712">_xlfn.XLOOKUP(1,
    (pivot!$A$2:$A$1946=endirim!B712) * (pivot!$D$2:$D$1946 = _xlfn.MAXIFS(pivot!$D$2:$D$1946, pivot!$A$2:$A$1946, endirim!B712)),
    pivot!$B$2:$B$1946)</f>
        <v>OptOutMailings</v>
      </c>
      <c r="F712" s="22">
        <f>_xlfn.MAXIFS(pivot!$D$2:$D$1946, pivot!$A$2:$A$1946, endirim!B712)</f>
        <v>75</v>
      </c>
      <c r="G712" s="3" t="str">
        <f t="shared" si="11"/>
        <v>OptOutMailings Kompaniyasını 20% endirimlə təklif et</v>
      </c>
    </row>
    <row r="713" spans="2:7" x14ac:dyDescent="0.3">
      <c r="B713" t="s">
        <v>767</v>
      </c>
      <c r="C713" s="3" t="str" cm="1">
        <f t="array" ref="C713">_xlfn.XLOOKUP(1,(pivot!$A$2:$A$1946=Table3[[#This Row],[Müştəri adı]])*(pivot!$C$2:$C$1946=_xlfn.MAXIFS(pivot!$C$2:$C$1946,pivot!$A$2:$A$1946,Table3[[#This Row],[Müştəri adı]])),pivot!$B$2:$B$1946)</f>
        <v>MadeCallToRetentionTeam</v>
      </c>
      <c r="D713" s="22" cm="1">
        <f t="array" ref="D713">_xlfn.XLOOKUP(1,
  (pivot!$A$2:$A$1946=endirim!B713) * (pivot!$C$2:$C$1946 = _xlfn.MAXIFS(pivot!$C$2:$C$1946, pivot!$A$2:$A$1946, endirim!B713)),
  pivot!$D$2:$D$1946)</f>
        <v>16</v>
      </c>
      <c r="E713" s="3" t="str" cm="1">
        <f t="array" ref="E713">_xlfn.XLOOKUP(1,
    (pivot!$A$2:$A$1946=endirim!B713) * (pivot!$D$2:$D$1946 = _xlfn.MAXIFS(pivot!$D$2:$D$1946, pivot!$A$2:$A$1946, endirim!B713)),
    pivot!$B$2:$B$1946)</f>
        <v>BuysViaMailOrder</v>
      </c>
      <c r="F713" s="22">
        <f>_xlfn.MAXIFS(pivot!$D$2:$D$1946, pivot!$A$2:$A$1946, endirim!B713)</f>
        <v>25</v>
      </c>
      <c r="G713" s="3" t="str">
        <f t="shared" si="11"/>
        <v>BuysViaMailOrder Kompaniyasını 20% endirimlə təklif et</v>
      </c>
    </row>
    <row r="714" spans="2:7" x14ac:dyDescent="0.3">
      <c r="B714" t="s">
        <v>768</v>
      </c>
      <c r="C714" s="3" t="str" cm="1">
        <f t="array" ref="C714">_xlfn.XLOOKUP(1,(pivot!$A$2:$A$1946=Table3[[#This Row],[Müştəri adı]])*(pivot!$C$2:$C$1946=_xlfn.MAXIFS(pivot!$C$2:$C$1946,pivot!$A$2:$A$1946,Table3[[#This Row],[Müştəri adı]])),pivot!$B$2:$B$1946)</f>
        <v>NonUSTravel</v>
      </c>
      <c r="D714" s="22" cm="1">
        <f t="array" ref="D714">_xlfn.XLOOKUP(1,
  (pivot!$A$2:$A$1946=endirim!B714) * (pivot!$C$2:$C$1946 = _xlfn.MAXIFS(pivot!$C$2:$C$1946, pivot!$A$2:$A$1946, endirim!B714)),
  pivot!$D$2:$D$1946)</f>
        <v>66</v>
      </c>
      <c r="E714" s="3" t="str" cm="1">
        <f t="array" ref="E714">_xlfn.XLOOKUP(1,
    (pivot!$A$2:$A$1946=endirim!B714) * (pivot!$D$2:$D$1946 = _xlfn.MAXIFS(pivot!$D$2:$D$1946, pivot!$A$2:$A$1946, endirim!B714)),
    pivot!$B$2:$B$1946)</f>
        <v>NonUSTravel</v>
      </c>
      <c r="F714" s="22">
        <f>_xlfn.MAXIFS(pivot!$D$2:$D$1946, pivot!$A$2:$A$1946, endirim!B714)</f>
        <v>66</v>
      </c>
      <c r="G714" s="3" t="str">
        <f t="shared" si="11"/>
        <v>Təklif yoxdur</v>
      </c>
    </row>
    <row r="715" spans="2:7" x14ac:dyDescent="0.3">
      <c r="B715" t="s">
        <v>769</v>
      </c>
      <c r="C715" s="3" t="str" cm="1">
        <f t="array" ref="C715">_xlfn.XLOOKUP(1,(pivot!$A$2:$A$1946=Table3[[#This Row],[Müştəri adı]])*(pivot!$C$2:$C$1946=_xlfn.MAXIFS(pivot!$C$2:$C$1946,pivot!$A$2:$A$1946,Table3[[#This Row],[Müştəri adı]])),pivot!$B$2:$B$1946)</f>
        <v>BuysViaMailOrder</v>
      </c>
      <c r="D715" s="22" cm="1">
        <f t="array" ref="D715">_xlfn.XLOOKUP(1,
  (pivot!$A$2:$A$1946=endirim!B715) * (pivot!$C$2:$C$1946 = _xlfn.MAXIFS(pivot!$C$2:$C$1946, pivot!$A$2:$A$1946, endirim!B715)),
  pivot!$D$2:$D$1946)</f>
        <v>25</v>
      </c>
      <c r="E715" s="3" t="str" cm="1">
        <f t="array" ref="E715">_xlfn.XLOOKUP(1,
    (pivot!$A$2:$A$1946=endirim!B715) * (pivot!$D$2:$D$1946 = _xlfn.MAXIFS(pivot!$D$2:$D$1946, pivot!$A$2:$A$1946, endirim!B715)),
    pivot!$B$2:$B$1946)</f>
        <v>NotNewCellphoneUser</v>
      </c>
      <c r="F715" s="22">
        <f>_xlfn.MAXIFS(pivot!$D$2:$D$1946, pivot!$A$2:$A$1946, endirim!B715)</f>
        <v>28</v>
      </c>
      <c r="G715" s="3" t="str">
        <f t="shared" si="11"/>
        <v>NotNewCellphoneUser Kompaniyasını 20% endirimlə təklif et</v>
      </c>
    </row>
    <row r="716" spans="2:7" x14ac:dyDescent="0.3">
      <c r="B716" t="s">
        <v>770</v>
      </c>
      <c r="C716" s="3" t="str" cm="1">
        <f t="array" ref="C716">_xlfn.XLOOKUP(1,(pivot!$A$2:$A$1946=Table3[[#This Row],[Müştəri adı]])*(pivot!$C$2:$C$1946=_xlfn.MAXIFS(pivot!$C$2:$C$1946,pivot!$A$2:$A$1946,Table3[[#This Row],[Müştəri adı]])),pivot!$B$2:$B$1946)</f>
        <v>MadeCallToRetentionTeam</v>
      </c>
      <c r="D716" s="22" cm="1">
        <f t="array" ref="D716">_xlfn.XLOOKUP(1,
  (pivot!$A$2:$A$1946=endirim!B716) * (pivot!$C$2:$C$1946 = _xlfn.MAXIFS(pivot!$C$2:$C$1946, pivot!$A$2:$A$1946, endirim!B716)),
  pivot!$D$2:$D$1946)</f>
        <v>16</v>
      </c>
      <c r="E716" s="3" t="str" cm="1">
        <f t="array" ref="E716">_xlfn.XLOOKUP(1,
    (pivot!$A$2:$A$1946=endirim!B716) * (pivot!$D$2:$D$1946 = _xlfn.MAXIFS(pivot!$D$2:$D$1946, pivot!$A$2:$A$1946, endirim!B716)),
    pivot!$B$2:$B$1946)</f>
        <v>NotNewCellphoneUser</v>
      </c>
      <c r="F716" s="22">
        <f>_xlfn.MAXIFS(pivot!$D$2:$D$1946, pivot!$A$2:$A$1946, endirim!B716)</f>
        <v>28</v>
      </c>
      <c r="G716" s="3" t="str">
        <f t="shared" si="11"/>
        <v>NotNewCellphoneUser Kompaniyasını 20% endirimlə təklif et</v>
      </c>
    </row>
    <row r="717" spans="2:7" x14ac:dyDescent="0.3">
      <c r="B717" t="s">
        <v>771</v>
      </c>
      <c r="C717" s="3" t="str" cm="1">
        <f t="array" ref="C717">_xlfn.XLOOKUP(1,(pivot!$A$2:$A$1946=Table3[[#This Row],[Müştəri adı]])*(pivot!$C$2:$C$1946=_xlfn.MAXIFS(pivot!$C$2:$C$1946,pivot!$A$2:$A$1946,Table3[[#This Row],[Müştəri adı]])),pivot!$B$2:$B$1946)</f>
        <v>MaritalStatus</v>
      </c>
      <c r="D717" s="22" cm="1">
        <f t="array" ref="D717">_xlfn.XLOOKUP(1,
  (pivot!$A$2:$A$1946=endirim!B717) * (pivot!$C$2:$C$1946 = _xlfn.MAXIFS(pivot!$C$2:$C$1946, pivot!$A$2:$A$1946, endirim!B717)),
  pivot!$D$2:$D$1946)</f>
        <v>29</v>
      </c>
      <c r="E717" s="3" t="str" cm="1">
        <f t="array" ref="E717">_xlfn.XLOOKUP(1,
    (pivot!$A$2:$A$1946=endirim!B717) * (pivot!$D$2:$D$1946 = _xlfn.MAXIFS(pivot!$D$2:$D$1946, pivot!$A$2:$A$1946, endirim!B717)),
    pivot!$B$2:$B$1946)</f>
        <v>MaritalStatus</v>
      </c>
      <c r="F717" s="22">
        <f>_xlfn.MAXIFS(pivot!$D$2:$D$1946, pivot!$A$2:$A$1946, endirim!B717)</f>
        <v>29</v>
      </c>
      <c r="G717" s="3" t="str">
        <f t="shared" si="11"/>
        <v>Təklif yoxdur</v>
      </c>
    </row>
    <row r="718" spans="2:7" x14ac:dyDescent="0.3">
      <c r="B718" t="s">
        <v>772</v>
      </c>
      <c r="C718" s="3" t="str" cm="1">
        <f t="array" ref="C718">_xlfn.XLOOKUP(1,(pivot!$A$2:$A$1946=Table3[[#This Row],[Müştəri adı]])*(pivot!$C$2:$C$1946=_xlfn.MAXIFS(pivot!$C$2:$C$1946,pivot!$A$2:$A$1946,Table3[[#This Row],[Müştəri adı]])),pivot!$B$2:$B$1946)</f>
        <v>RespondsToMailOffers</v>
      </c>
      <c r="D718" s="22" cm="1">
        <f t="array" ref="D718">_xlfn.XLOOKUP(1,
  (pivot!$A$2:$A$1946=endirim!B718) * (pivot!$C$2:$C$1946 = _xlfn.MAXIFS(pivot!$C$2:$C$1946, pivot!$A$2:$A$1946, endirim!B718)),
  pivot!$D$2:$D$1946)</f>
        <v>27</v>
      </c>
      <c r="E718" s="3" t="str" cm="1">
        <f t="array" ref="E718">_xlfn.XLOOKUP(1,
    (pivot!$A$2:$A$1946=endirim!B718) * (pivot!$D$2:$D$1946 = _xlfn.MAXIFS(pivot!$D$2:$D$1946, pivot!$A$2:$A$1946, endirim!B718)),
    pivot!$B$2:$B$1946)</f>
        <v>OwnsComputer</v>
      </c>
      <c r="F718" s="22">
        <f>_xlfn.MAXIFS(pivot!$D$2:$D$1946, pivot!$A$2:$A$1946, endirim!B718)</f>
        <v>62</v>
      </c>
      <c r="G718" s="3" t="str">
        <f t="shared" si="11"/>
        <v>OwnsComputer Kompaniyasını 20% endirimlə təklif et</v>
      </c>
    </row>
    <row r="719" spans="2:7" x14ac:dyDescent="0.3">
      <c r="B719" t="s">
        <v>773</v>
      </c>
      <c r="C719" s="3" t="str" cm="1">
        <f t="array" ref="C719">_xlfn.XLOOKUP(1,(pivot!$A$2:$A$1946=Table3[[#This Row],[Müştəri adı]])*(pivot!$C$2:$C$1946=_xlfn.MAXIFS(pivot!$C$2:$C$1946,pivot!$A$2:$A$1946,Table3[[#This Row],[Müştəri adı]])),pivot!$B$2:$B$1946)</f>
        <v>Homeownership</v>
      </c>
      <c r="D719" s="22" cm="1">
        <f t="array" ref="D719">_xlfn.XLOOKUP(1,
  (pivot!$A$2:$A$1946=endirim!B719) * (pivot!$C$2:$C$1946 = _xlfn.MAXIFS(pivot!$C$2:$C$1946, pivot!$A$2:$A$1946, endirim!B719)),
  pivot!$D$2:$D$1946)</f>
        <v>13</v>
      </c>
      <c r="E719" s="3" t="str" cm="1">
        <f t="array" ref="E719">_xlfn.XLOOKUP(1,
    (pivot!$A$2:$A$1946=endirim!B719) * (pivot!$D$2:$D$1946 = _xlfn.MAXIFS(pivot!$D$2:$D$1946, pivot!$A$2:$A$1946, endirim!B719)),
    pivot!$B$2:$B$1946)</f>
        <v>RVOwner</v>
      </c>
      <c r="F719" s="22">
        <f>_xlfn.MAXIFS(pivot!$D$2:$D$1946, pivot!$A$2:$A$1946, endirim!B719)</f>
        <v>22</v>
      </c>
      <c r="G719" s="3" t="str">
        <f t="shared" si="11"/>
        <v>RVOwner Kompaniyasını 20% endirimlə təklif et</v>
      </c>
    </row>
    <row r="720" spans="2:7" x14ac:dyDescent="0.3">
      <c r="B720" t="s">
        <v>774</v>
      </c>
      <c r="C720" s="3" t="str" cm="1">
        <f t="array" ref="C720">_xlfn.XLOOKUP(1,(pivot!$A$2:$A$1946=Table3[[#This Row],[Müştəri adı]])*(pivot!$C$2:$C$1946=_xlfn.MAXIFS(pivot!$C$2:$C$1946,pivot!$A$2:$A$1946,Table3[[#This Row],[Müştəri adı]])),pivot!$B$2:$B$1946)</f>
        <v>MaritalStatus</v>
      </c>
      <c r="D720" s="22" cm="1">
        <f t="array" ref="D720">_xlfn.XLOOKUP(1,
  (pivot!$A$2:$A$1946=endirim!B720) * (pivot!$C$2:$C$1946 = _xlfn.MAXIFS(pivot!$C$2:$C$1946, pivot!$A$2:$A$1946, endirim!B720)),
  pivot!$D$2:$D$1946)</f>
        <v>29</v>
      </c>
      <c r="E720" s="3" t="str" cm="1">
        <f t="array" ref="E720">_xlfn.XLOOKUP(1,
    (pivot!$A$2:$A$1946=endirim!B720) * (pivot!$D$2:$D$1946 = _xlfn.MAXIFS(pivot!$D$2:$D$1946, pivot!$A$2:$A$1946, endirim!B720)),
    pivot!$B$2:$B$1946)</f>
        <v>MaritalStatus</v>
      </c>
      <c r="F720" s="22">
        <f>_xlfn.MAXIFS(pivot!$D$2:$D$1946, pivot!$A$2:$A$1946, endirim!B720)</f>
        <v>29</v>
      </c>
      <c r="G720" s="3" t="str">
        <f t="shared" si="11"/>
        <v>Təklif yoxdur</v>
      </c>
    </row>
    <row r="721" spans="2:7" x14ac:dyDescent="0.3">
      <c r="B721" t="s">
        <v>775</v>
      </c>
      <c r="C721" s="3" t="str" cm="1">
        <f t="array" ref="C721">_xlfn.XLOOKUP(1,(pivot!$A$2:$A$1946=Table3[[#This Row],[Müştəri adı]])*(pivot!$C$2:$C$1946=_xlfn.MAXIFS(pivot!$C$2:$C$1946,pivot!$A$2:$A$1946,Table3[[#This Row],[Müştəri adı]])),pivot!$B$2:$B$1946)</f>
        <v>NonUSTravel</v>
      </c>
      <c r="D721" s="22" cm="1">
        <f t="array" ref="D721">_xlfn.XLOOKUP(1,
  (pivot!$A$2:$A$1946=endirim!B721) * (pivot!$C$2:$C$1946 = _xlfn.MAXIFS(pivot!$C$2:$C$1946, pivot!$A$2:$A$1946, endirim!B721)),
  pivot!$D$2:$D$1946)</f>
        <v>66</v>
      </c>
      <c r="E721" s="3" t="str" cm="1">
        <f t="array" ref="E721">_xlfn.XLOOKUP(1,
    (pivot!$A$2:$A$1946=endirim!B721) * (pivot!$D$2:$D$1946 = _xlfn.MAXIFS(pivot!$D$2:$D$1946, pivot!$A$2:$A$1946, endirim!B721)),
    pivot!$B$2:$B$1946)</f>
        <v>NonUSTravel</v>
      </c>
      <c r="F721" s="22">
        <f>_xlfn.MAXIFS(pivot!$D$2:$D$1946, pivot!$A$2:$A$1946, endirim!B721)</f>
        <v>66</v>
      </c>
      <c r="G721" s="3" t="str">
        <f t="shared" si="11"/>
        <v>Təklif yoxdur</v>
      </c>
    </row>
    <row r="722" spans="2:7" x14ac:dyDescent="0.3">
      <c r="B722" t="s">
        <v>776</v>
      </c>
      <c r="C722" s="3" t="str" cm="1">
        <f t="array" ref="C722">_xlfn.XLOOKUP(1,(pivot!$A$2:$A$1946=Table3[[#This Row],[Müştəri adı]])*(pivot!$C$2:$C$1946=_xlfn.MAXIFS(pivot!$C$2:$C$1946,pivot!$A$2:$A$1946,Table3[[#This Row],[Müştəri adı]])),pivot!$B$2:$B$1946)</f>
        <v>ChildrenInHH</v>
      </c>
      <c r="D722" s="22" cm="1">
        <f t="array" ref="D722">_xlfn.XLOOKUP(1,
  (pivot!$A$2:$A$1946=endirim!B722) * (pivot!$C$2:$C$1946 = _xlfn.MAXIFS(pivot!$C$2:$C$1946, pivot!$A$2:$A$1946, endirim!B722)),
  pivot!$D$2:$D$1946)</f>
        <v>10</v>
      </c>
      <c r="E722" s="3" t="str" cm="1">
        <f t="array" ref="E722">_xlfn.XLOOKUP(1,
    (pivot!$A$2:$A$1946=endirim!B722) * (pivot!$D$2:$D$1946 = _xlfn.MAXIFS(pivot!$D$2:$D$1946, pivot!$A$2:$A$1946, endirim!B722)),
    pivot!$B$2:$B$1946)</f>
        <v>NonUSTravel</v>
      </c>
      <c r="F722" s="22">
        <f>_xlfn.MAXIFS(pivot!$D$2:$D$1946, pivot!$A$2:$A$1946, endirim!B722)</f>
        <v>66</v>
      </c>
      <c r="G722" s="3" t="str">
        <f t="shared" si="11"/>
        <v>NonUSTravel Kompaniyasını 20% endirimlə təklif et</v>
      </c>
    </row>
    <row r="723" spans="2:7" x14ac:dyDescent="0.3">
      <c r="B723" t="s">
        <v>777</v>
      </c>
      <c r="C723" s="3" t="str" cm="1">
        <f t="array" ref="C723">_xlfn.XLOOKUP(1,(pivot!$A$2:$A$1946=Table3[[#This Row],[Müştəri adı]])*(pivot!$C$2:$C$1946=_xlfn.MAXIFS(pivot!$C$2:$C$1946,pivot!$A$2:$A$1946,Table3[[#This Row],[Müştəri adı]])),pivot!$B$2:$B$1946)</f>
        <v>Homeownership</v>
      </c>
      <c r="D723" s="22" cm="1">
        <f t="array" ref="D723">_xlfn.XLOOKUP(1,
  (pivot!$A$2:$A$1946=endirim!B723) * (pivot!$C$2:$C$1946 = _xlfn.MAXIFS(pivot!$C$2:$C$1946, pivot!$A$2:$A$1946, endirim!B723)),
  pivot!$D$2:$D$1946)</f>
        <v>13</v>
      </c>
      <c r="E723" s="3" t="str" cm="1">
        <f t="array" ref="E723">_xlfn.XLOOKUP(1,
    (pivot!$A$2:$A$1946=endirim!B723) * (pivot!$D$2:$D$1946 = _xlfn.MAXIFS(pivot!$D$2:$D$1946, pivot!$A$2:$A$1946, endirim!B723)),
    pivot!$B$2:$B$1946)</f>
        <v>NewCellphoneUser</v>
      </c>
      <c r="F723" s="22">
        <f>_xlfn.MAXIFS(pivot!$D$2:$D$1946, pivot!$A$2:$A$1946, endirim!B723)</f>
        <v>25</v>
      </c>
      <c r="G723" s="3" t="str">
        <f t="shared" si="11"/>
        <v>NewCellphoneUser Kompaniyasını 20% endirimlə təklif et</v>
      </c>
    </row>
    <row r="724" spans="2:7" x14ac:dyDescent="0.3">
      <c r="B724" t="s">
        <v>778</v>
      </c>
      <c r="C724" s="3" t="str" cm="1">
        <f t="array" ref="C724">_xlfn.XLOOKUP(1,(pivot!$A$2:$A$1946=Table3[[#This Row],[Müştəri adı]])*(pivot!$C$2:$C$1946=_xlfn.MAXIFS(pivot!$C$2:$C$1946,pivot!$A$2:$A$1946,Table3[[#This Row],[Müştəri adı]])),pivot!$B$2:$B$1946)</f>
        <v>RVOwner</v>
      </c>
      <c r="D724" s="22" cm="1">
        <f t="array" ref="D724">_xlfn.XLOOKUP(1,
  (pivot!$A$2:$A$1946=endirim!B724) * (pivot!$C$2:$C$1946 = _xlfn.MAXIFS(pivot!$C$2:$C$1946, pivot!$A$2:$A$1946, endirim!B724)),
  pivot!$D$2:$D$1946)</f>
        <v>22</v>
      </c>
      <c r="E724" s="3" t="str" cm="1">
        <f t="array" ref="E724">_xlfn.XLOOKUP(1,
    (pivot!$A$2:$A$1946=endirim!B724) * (pivot!$D$2:$D$1946 = _xlfn.MAXIFS(pivot!$D$2:$D$1946, pivot!$A$2:$A$1946, endirim!B724)),
    pivot!$B$2:$B$1946)</f>
        <v>TruckOwner</v>
      </c>
      <c r="F724" s="22">
        <f>_xlfn.MAXIFS(pivot!$D$2:$D$1946, pivot!$A$2:$A$1946, endirim!B724)</f>
        <v>26</v>
      </c>
      <c r="G724" s="3" t="str">
        <f t="shared" si="11"/>
        <v>TruckOwner Kompaniyasını 20% endirimlə təklif et</v>
      </c>
    </row>
    <row r="725" spans="2:7" x14ac:dyDescent="0.3">
      <c r="B725" t="s">
        <v>779</v>
      </c>
      <c r="C725" s="3" t="str" cm="1">
        <f t="array" ref="C725">_xlfn.XLOOKUP(1,(pivot!$A$2:$A$1946=Table3[[#This Row],[Müştəri adı]])*(pivot!$C$2:$C$1946=_xlfn.MAXIFS(pivot!$C$2:$C$1946,pivot!$A$2:$A$1946,Table3[[#This Row],[Müştəri adı]])),pivot!$B$2:$B$1946)</f>
        <v>RVOwner</v>
      </c>
      <c r="D725" s="22" cm="1">
        <f t="array" ref="D725">_xlfn.XLOOKUP(1,
  (pivot!$A$2:$A$1946=endirim!B725) * (pivot!$C$2:$C$1946 = _xlfn.MAXIFS(pivot!$C$2:$C$1946, pivot!$A$2:$A$1946, endirim!B725)),
  pivot!$D$2:$D$1946)</f>
        <v>22</v>
      </c>
      <c r="E725" s="3" t="str" cm="1">
        <f t="array" ref="E725">_xlfn.XLOOKUP(1,
    (pivot!$A$2:$A$1946=endirim!B725) * (pivot!$D$2:$D$1946 = _xlfn.MAXIFS(pivot!$D$2:$D$1946, pivot!$A$2:$A$1946, endirim!B725)),
    pivot!$B$2:$B$1946)</f>
        <v>RVOwner</v>
      </c>
      <c r="F725" s="22">
        <f>_xlfn.MAXIFS(pivot!$D$2:$D$1946, pivot!$A$2:$A$1946, endirim!B725)</f>
        <v>22</v>
      </c>
      <c r="G725" s="3" t="str">
        <f t="shared" si="11"/>
        <v>Təklif yoxdur</v>
      </c>
    </row>
    <row r="726" spans="2:7" x14ac:dyDescent="0.3">
      <c r="B726" t="s">
        <v>780</v>
      </c>
      <c r="C726" s="3" t="str" cm="1">
        <f t="array" ref="C726">_xlfn.XLOOKUP(1,(pivot!$A$2:$A$1946=Table3[[#This Row],[Müştəri adı]])*(pivot!$C$2:$C$1946=_xlfn.MAXIFS(pivot!$C$2:$C$1946,pivot!$A$2:$A$1946,Table3[[#This Row],[Müştəri adı]])),pivot!$B$2:$B$1946)</f>
        <v>BuysViaMailOrder</v>
      </c>
      <c r="D726" s="22" cm="1">
        <f t="array" ref="D726">_xlfn.XLOOKUP(1,
  (pivot!$A$2:$A$1946=endirim!B726) * (pivot!$C$2:$C$1946 = _xlfn.MAXIFS(pivot!$C$2:$C$1946, pivot!$A$2:$A$1946, endirim!B726)),
  pivot!$D$2:$D$1946)</f>
        <v>25</v>
      </c>
      <c r="E726" s="3" t="str" cm="1">
        <f t="array" ref="E726">_xlfn.XLOOKUP(1,
    (pivot!$A$2:$A$1946=endirim!B726) * (pivot!$D$2:$D$1946 = _xlfn.MAXIFS(pivot!$D$2:$D$1946, pivot!$A$2:$A$1946, endirim!B726)),
    pivot!$B$2:$B$1946)</f>
        <v>BuysViaMailOrder</v>
      </c>
      <c r="F726" s="22">
        <f>_xlfn.MAXIFS(pivot!$D$2:$D$1946, pivot!$A$2:$A$1946, endirim!B726)</f>
        <v>25</v>
      </c>
      <c r="G726" s="3" t="str">
        <f t="shared" si="11"/>
        <v>Təklif yoxdur</v>
      </c>
    </row>
    <row r="727" spans="2:7" x14ac:dyDescent="0.3">
      <c r="B727" t="s">
        <v>781</v>
      </c>
      <c r="C727" s="3" t="str" cm="1">
        <f t="array" ref="C727">_xlfn.XLOOKUP(1,(pivot!$A$2:$A$1946=Table3[[#This Row],[Müştəri adı]])*(pivot!$C$2:$C$1946=_xlfn.MAXIFS(pivot!$C$2:$C$1946,pivot!$A$2:$A$1946,Table3[[#This Row],[Müştəri adı]])),pivot!$B$2:$B$1946)</f>
        <v>HandsetWebCapable</v>
      </c>
      <c r="D727" s="22" cm="1">
        <f t="array" ref="D727">_xlfn.XLOOKUP(1,
  (pivot!$A$2:$A$1946=endirim!B727) * (pivot!$C$2:$C$1946 = _xlfn.MAXIFS(pivot!$C$2:$C$1946, pivot!$A$2:$A$1946, endirim!B727)),
  pivot!$D$2:$D$1946)</f>
        <v>62</v>
      </c>
      <c r="E727" s="3" t="str" cm="1">
        <f t="array" ref="E727">_xlfn.XLOOKUP(1,
    (pivot!$A$2:$A$1946=endirim!B727) * (pivot!$D$2:$D$1946 = _xlfn.MAXIFS(pivot!$D$2:$D$1946, pivot!$A$2:$A$1946, endirim!B727)),
    pivot!$B$2:$B$1946)</f>
        <v>HasCreditCard</v>
      </c>
      <c r="F727" s="22">
        <f>_xlfn.MAXIFS(pivot!$D$2:$D$1946, pivot!$A$2:$A$1946, endirim!B727)</f>
        <v>65</v>
      </c>
      <c r="G727" s="3" t="str">
        <f t="shared" si="11"/>
        <v>HasCreditCard Kompaniyasını 20% endirimlə təklif et</v>
      </c>
    </row>
    <row r="728" spans="2:7" x14ac:dyDescent="0.3">
      <c r="B728" t="s">
        <v>782</v>
      </c>
      <c r="C728" s="3" t="str" cm="1">
        <f t="array" ref="C728">_xlfn.XLOOKUP(1,(pivot!$A$2:$A$1946=Table3[[#This Row],[Müştəri adı]])*(pivot!$C$2:$C$1946=_xlfn.MAXIFS(pivot!$C$2:$C$1946,pivot!$A$2:$A$1946,Table3[[#This Row],[Müştəri adı]])),pivot!$B$2:$B$1946)</f>
        <v>RespondsToMailOffers</v>
      </c>
      <c r="D728" s="22" cm="1">
        <f t="array" ref="D728">_xlfn.XLOOKUP(1,
  (pivot!$A$2:$A$1946=endirim!B728) * (pivot!$C$2:$C$1946 = _xlfn.MAXIFS(pivot!$C$2:$C$1946, pivot!$A$2:$A$1946, endirim!B728)),
  pivot!$D$2:$D$1946)</f>
        <v>27</v>
      </c>
      <c r="E728" s="3" t="str" cm="1">
        <f t="array" ref="E728">_xlfn.XLOOKUP(1,
    (pivot!$A$2:$A$1946=endirim!B728) * (pivot!$D$2:$D$1946 = _xlfn.MAXIFS(pivot!$D$2:$D$1946, pivot!$A$2:$A$1946, endirim!B728)),
    pivot!$B$2:$B$1946)</f>
        <v>RespondsToMailOffers</v>
      </c>
      <c r="F728" s="22">
        <f>_xlfn.MAXIFS(pivot!$D$2:$D$1946, pivot!$A$2:$A$1946, endirim!B728)</f>
        <v>27</v>
      </c>
      <c r="G728" s="3" t="str">
        <f t="shared" si="11"/>
        <v>Təklif yoxdur</v>
      </c>
    </row>
    <row r="729" spans="2:7" x14ac:dyDescent="0.3">
      <c r="B729" t="s">
        <v>783</v>
      </c>
      <c r="C729" s="3" t="str" cm="1">
        <f t="array" ref="C729">_xlfn.XLOOKUP(1,(pivot!$A$2:$A$1946=Table3[[#This Row],[Müştəri adı]])*(pivot!$C$2:$C$1946=_xlfn.MAXIFS(pivot!$C$2:$C$1946,pivot!$A$2:$A$1946,Table3[[#This Row],[Müştəri adı]])),pivot!$B$2:$B$1946)</f>
        <v>NonUSTravel</v>
      </c>
      <c r="D729" s="22" cm="1">
        <f t="array" ref="D729">_xlfn.XLOOKUP(1,
  (pivot!$A$2:$A$1946=endirim!B729) * (pivot!$C$2:$C$1946 = _xlfn.MAXIFS(pivot!$C$2:$C$1946, pivot!$A$2:$A$1946, endirim!B729)),
  pivot!$D$2:$D$1946)</f>
        <v>66</v>
      </c>
      <c r="E729" s="3" t="str" cm="1">
        <f t="array" ref="E729">_xlfn.XLOOKUP(1,
    (pivot!$A$2:$A$1946=endirim!B729) * (pivot!$D$2:$D$1946 = _xlfn.MAXIFS(pivot!$D$2:$D$1946, pivot!$A$2:$A$1946, endirim!B729)),
    pivot!$B$2:$B$1946)</f>
        <v>NonUSTravel</v>
      </c>
      <c r="F729" s="22">
        <f>_xlfn.MAXIFS(pivot!$D$2:$D$1946, pivot!$A$2:$A$1946, endirim!B729)</f>
        <v>66</v>
      </c>
      <c r="G729" s="3" t="str">
        <f t="shared" si="11"/>
        <v>Təklif yoxdur</v>
      </c>
    </row>
    <row r="730" spans="2:7" x14ac:dyDescent="0.3">
      <c r="B730" t="s">
        <v>784</v>
      </c>
      <c r="C730" s="3" t="str" cm="1">
        <f t="array" ref="C730">_xlfn.XLOOKUP(1,(pivot!$A$2:$A$1946=Table3[[#This Row],[Müştəri adı]])*(pivot!$C$2:$C$1946=_xlfn.MAXIFS(pivot!$C$2:$C$1946,pivot!$A$2:$A$1946,Table3[[#This Row],[Müştəri adı]])),pivot!$B$2:$B$1946)</f>
        <v>NotNewCellphoneUser</v>
      </c>
      <c r="D730" s="22" cm="1">
        <f t="array" ref="D730">_xlfn.XLOOKUP(1,
  (pivot!$A$2:$A$1946=endirim!B730) * (pivot!$C$2:$C$1946 = _xlfn.MAXIFS(pivot!$C$2:$C$1946, pivot!$A$2:$A$1946, endirim!B730)),
  pivot!$D$2:$D$1946)</f>
        <v>28</v>
      </c>
      <c r="E730" s="3" t="str" cm="1">
        <f t="array" ref="E730">_xlfn.XLOOKUP(1,
    (pivot!$A$2:$A$1946=endirim!B730) * (pivot!$D$2:$D$1946 = _xlfn.MAXIFS(pivot!$D$2:$D$1946, pivot!$A$2:$A$1946, endirim!B730)),
    pivot!$B$2:$B$1946)</f>
        <v>NotNewCellphoneUser</v>
      </c>
      <c r="F730" s="22">
        <f>_xlfn.MAXIFS(pivot!$D$2:$D$1946, pivot!$A$2:$A$1946, endirim!B730)</f>
        <v>28</v>
      </c>
      <c r="G730" s="3" t="str">
        <f t="shared" si="11"/>
        <v>Təklif yoxdur</v>
      </c>
    </row>
    <row r="731" spans="2:7" x14ac:dyDescent="0.3">
      <c r="B731" t="s">
        <v>785</v>
      </c>
      <c r="C731" s="3" t="str" cm="1">
        <f t="array" ref="C731">_xlfn.XLOOKUP(1,(pivot!$A$2:$A$1946=Table3[[#This Row],[Müştəri adı]])*(pivot!$C$2:$C$1946=_xlfn.MAXIFS(pivot!$C$2:$C$1946,pivot!$A$2:$A$1946,Table3[[#This Row],[Müştəri adı]])),pivot!$B$2:$B$1946)</f>
        <v>RespondsToMailOffers</v>
      </c>
      <c r="D731" s="22" cm="1">
        <f t="array" ref="D731">_xlfn.XLOOKUP(1,
  (pivot!$A$2:$A$1946=endirim!B731) * (pivot!$C$2:$C$1946 = _xlfn.MAXIFS(pivot!$C$2:$C$1946, pivot!$A$2:$A$1946, endirim!B731)),
  pivot!$D$2:$D$1946)</f>
        <v>27</v>
      </c>
      <c r="E731" s="3" t="str" cm="1">
        <f t="array" ref="E731">_xlfn.XLOOKUP(1,
    (pivot!$A$2:$A$1946=endirim!B731) * (pivot!$D$2:$D$1946 = _xlfn.MAXIFS(pivot!$D$2:$D$1946, pivot!$A$2:$A$1946, endirim!B731)),
    pivot!$B$2:$B$1946)</f>
        <v>RespondsToMailOffers</v>
      </c>
      <c r="F731" s="22">
        <f>_xlfn.MAXIFS(pivot!$D$2:$D$1946, pivot!$A$2:$A$1946, endirim!B731)</f>
        <v>27</v>
      </c>
      <c r="G731" s="3" t="str">
        <f t="shared" si="11"/>
        <v>Təklif yoxdur</v>
      </c>
    </row>
    <row r="732" spans="2:7" x14ac:dyDescent="0.3">
      <c r="B732" t="s">
        <v>786</v>
      </c>
      <c r="C732" s="3" t="str" cm="1">
        <f t="array" ref="C732">_xlfn.XLOOKUP(1,(pivot!$A$2:$A$1946=Table3[[#This Row],[Müştəri adı]])*(pivot!$C$2:$C$1946=_xlfn.MAXIFS(pivot!$C$2:$C$1946,pivot!$A$2:$A$1946,Table3[[#This Row],[Müştəri adı]])),pivot!$B$2:$B$1946)</f>
        <v>NonUSTravel</v>
      </c>
      <c r="D732" s="22" cm="1">
        <f t="array" ref="D732">_xlfn.XLOOKUP(1,
  (pivot!$A$2:$A$1946=endirim!B732) * (pivot!$C$2:$C$1946 = _xlfn.MAXIFS(pivot!$C$2:$C$1946, pivot!$A$2:$A$1946, endirim!B732)),
  pivot!$D$2:$D$1946)</f>
        <v>66</v>
      </c>
      <c r="E732" s="3" t="str" cm="1">
        <f t="array" ref="E732">_xlfn.XLOOKUP(1,
    (pivot!$A$2:$A$1946=endirim!B732) * (pivot!$D$2:$D$1946 = _xlfn.MAXIFS(pivot!$D$2:$D$1946, pivot!$A$2:$A$1946, endirim!B732)),
    pivot!$B$2:$B$1946)</f>
        <v>NonUSTravel</v>
      </c>
      <c r="F732" s="22">
        <f>_xlfn.MAXIFS(pivot!$D$2:$D$1946, pivot!$A$2:$A$1946, endirim!B732)</f>
        <v>66</v>
      </c>
      <c r="G732" s="3" t="str">
        <f t="shared" si="11"/>
        <v>Təklif yoxdur</v>
      </c>
    </row>
    <row r="733" spans="2:7" x14ac:dyDescent="0.3">
      <c r="B733" t="s">
        <v>787</v>
      </c>
      <c r="C733" s="3" t="str" cm="1">
        <f t="array" ref="C733">_xlfn.XLOOKUP(1,(pivot!$A$2:$A$1946=Table3[[#This Row],[Müştəri adı]])*(pivot!$C$2:$C$1946=_xlfn.MAXIFS(pivot!$C$2:$C$1946,pivot!$A$2:$A$1946,Table3[[#This Row],[Müştəri adı]])),pivot!$B$2:$B$1946)</f>
        <v>MaritalStatus</v>
      </c>
      <c r="D733" s="22" cm="1">
        <f t="array" ref="D733">_xlfn.XLOOKUP(1,
  (pivot!$A$2:$A$1946=endirim!B733) * (pivot!$C$2:$C$1946 = _xlfn.MAXIFS(pivot!$C$2:$C$1946, pivot!$A$2:$A$1946, endirim!B733)),
  pivot!$D$2:$D$1946)</f>
        <v>29</v>
      </c>
      <c r="E733" s="3" t="str" cm="1">
        <f t="array" ref="E733">_xlfn.XLOOKUP(1,
    (pivot!$A$2:$A$1946=endirim!B733) * (pivot!$D$2:$D$1946 = _xlfn.MAXIFS(pivot!$D$2:$D$1946, pivot!$A$2:$A$1946, endirim!B733)),
    pivot!$B$2:$B$1946)</f>
        <v>MaritalStatus</v>
      </c>
      <c r="F733" s="22">
        <f>_xlfn.MAXIFS(pivot!$D$2:$D$1946, pivot!$A$2:$A$1946, endirim!B733)</f>
        <v>29</v>
      </c>
      <c r="G733" s="3" t="str">
        <f t="shared" si="11"/>
        <v>Təklif yoxdur</v>
      </c>
    </row>
    <row r="734" spans="2:7" x14ac:dyDescent="0.3">
      <c r="B734" t="s">
        <v>788</v>
      </c>
      <c r="C734" s="3" t="str" cm="1">
        <f t="array" ref="C734">_xlfn.XLOOKUP(1,(pivot!$A$2:$A$1946=Table3[[#This Row],[Müştəri adı]])*(pivot!$C$2:$C$1946=_xlfn.MAXIFS(pivot!$C$2:$C$1946,pivot!$A$2:$A$1946,Table3[[#This Row],[Müştəri adı]])),pivot!$B$2:$B$1946)</f>
        <v>HasCreditCard</v>
      </c>
      <c r="D734" s="22" cm="1">
        <f t="array" ref="D734">_xlfn.XLOOKUP(1,
  (pivot!$A$2:$A$1946=endirim!B734) * (pivot!$C$2:$C$1946 = _xlfn.MAXIFS(pivot!$C$2:$C$1946, pivot!$A$2:$A$1946, endirim!B734)),
  pivot!$D$2:$D$1946)</f>
        <v>65</v>
      </c>
      <c r="E734" s="3" t="str" cm="1">
        <f t="array" ref="E734">_xlfn.XLOOKUP(1,
    (pivot!$A$2:$A$1946=endirim!B734) * (pivot!$D$2:$D$1946 = _xlfn.MAXIFS(pivot!$D$2:$D$1946, pivot!$A$2:$A$1946, endirim!B734)),
    pivot!$B$2:$B$1946)</f>
        <v>NonUSTravel</v>
      </c>
      <c r="F734" s="22">
        <f>_xlfn.MAXIFS(pivot!$D$2:$D$1946, pivot!$A$2:$A$1946, endirim!B734)</f>
        <v>66</v>
      </c>
      <c r="G734" s="3" t="str">
        <f t="shared" si="11"/>
        <v>NonUSTravel Kompaniyasını 20% endirimlə təklif et</v>
      </c>
    </row>
    <row r="735" spans="2:7" x14ac:dyDescent="0.3">
      <c r="B735" t="s">
        <v>789</v>
      </c>
      <c r="C735" s="3" t="str" cm="1">
        <f t="array" ref="C735">_xlfn.XLOOKUP(1,(pivot!$A$2:$A$1946=Table3[[#This Row],[Müştəri adı]])*(pivot!$C$2:$C$1946=_xlfn.MAXIFS(pivot!$C$2:$C$1946,pivot!$A$2:$A$1946,Table3[[#This Row],[Müştəri adı]])),pivot!$B$2:$B$1946)</f>
        <v>OwnsComputer</v>
      </c>
      <c r="D735" s="22" cm="1">
        <f t="array" ref="D735">_xlfn.XLOOKUP(1,
  (pivot!$A$2:$A$1946=endirim!B735) * (pivot!$C$2:$C$1946 = _xlfn.MAXIFS(pivot!$C$2:$C$1946, pivot!$A$2:$A$1946, endirim!B735)),
  pivot!$D$2:$D$1946)</f>
        <v>62</v>
      </c>
      <c r="E735" s="3" t="str" cm="1">
        <f t="array" ref="E735">_xlfn.XLOOKUP(1,
    (pivot!$A$2:$A$1946=endirim!B735) * (pivot!$D$2:$D$1946 = _xlfn.MAXIFS(pivot!$D$2:$D$1946, pivot!$A$2:$A$1946, endirim!B735)),
    pivot!$B$2:$B$1946)</f>
        <v>OwnsComputer</v>
      </c>
      <c r="F735" s="22">
        <f>_xlfn.MAXIFS(pivot!$D$2:$D$1946, pivot!$A$2:$A$1946, endirim!B735)</f>
        <v>62</v>
      </c>
      <c r="G735" s="3" t="str">
        <f t="shared" si="11"/>
        <v>Təklif yoxdur</v>
      </c>
    </row>
    <row r="736" spans="2:7" x14ac:dyDescent="0.3">
      <c r="B736" t="s">
        <v>790</v>
      </c>
      <c r="C736" s="3" t="str" cm="1">
        <f t="array" ref="C736">_xlfn.XLOOKUP(1,(pivot!$A$2:$A$1946=Table3[[#This Row],[Müştəri adı]])*(pivot!$C$2:$C$1946=_xlfn.MAXIFS(pivot!$C$2:$C$1946,pivot!$A$2:$A$1946,Table3[[#This Row],[Müştəri adı]])),pivot!$B$2:$B$1946)</f>
        <v>HandsetWebCapable</v>
      </c>
      <c r="D736" s="22" cm="1">
        <f t="array" ref="D736">_xlfn.XLOOKUP(1,
  (pivot!$A$2:$A$1946=endirim!B736) * (pivot!$C$2:$C$1946 = _xlfn.MAXIFS(pivot!$C$2:$C$1946, pivot!$A$2:$A$1946, endirim!B736)),
  pivot!$D$2:$D$1946)</f>
        <v>62</v>
      </c>
      <c r="E736" s="3" t="str" cm="1">
        <f t="array" ref="E736">_xlfn.XLOOKUP(1,
    (pivot!$A$2:$A$1946=endirim!B736) * (pivot!$D$2:$D$1946 = _xlfn.MAXIFS(pivot!$D$2:$D$1946, pivot!$A$2:$A$1946, endirim!B736)),
    pivot!$B$2:$B$1946)</f>
        <v>OptOutMailings</v>
      </c>
      <c r="F736" s="22">
        <f>_xlfn.MAXIFS(pivot!$D$2:$D$1946, pivot!$A$2:$A$1946, endirim!B736)</f>
        <v>75</v>
      </c>
      <c r="G736" s="3" t="str">
        <f t="shared" si="11"/>
        <v>OptOutMailings Kompaniyasını 20% endirimlə təklif et</v>
      </c>
    </row>
    <row r="737" spans="2:7" x14ac:dyDescent="0.3">
      <c r="B737" t="s">
        <v>791</v>
      </c>
      <c r="C737" s="3" t="str" cm="1">
        <f t="array" ref="C737">_xlfn.XLOOKUP(1,(pivot!$A$2:$A$1946=Table3[[#This Row],[Müştəri adı]])*(pivot!$C$2:$C$1946=_xlfn.MAXIFS(pivot!$C$2:$C$1946,pivot!$A$2:$A$1946,Table3[[#This Row],[Müştəri adı]])),pivot!$B$2:$B$1946)</f>
        <v>OwnsMotorcycle</v>
      </c>
      <c r="D737" s="22" cm="1">
        <f t="array" ref="D737">_xlfn.XLOOKUP(1,
  (pivot!$A$2:$A$1946=endirim!B737) * (pivot!$C$2:$C$1946 = _xlfn.MAXIFS(pivot!$C$2:$C$1946, pivot!$A$2:$A$1946, endirim!B737)),
  pivot!$D$2:$D$1946)</f>
        <v>14</v>
      </c>
      <c r="E737" s="3" t="str" cm="1">
        <f t="array" ref="E737">_xlfn.XLOOKUP(1,
    (pivot!$A$2:$A$1946=endirim!B737) * (pivot!$D$2:$D$1946 = _xlfn.MAXIFS(pivot!$D$2:$D$1946, pivot!$A$2:$A$1946, endirim!B737)),
    pivot!$B$2:$B$1946)</f>
        <v>HasCreditCard</v>
      </c>
      <c r="F737" s="22">
        <f>_xlfn.MAXIFS(pivot!$D$2:$D$1946, pivot!$A$2:$A$1946, endirim!B737)</f>
        <v>65</v>
      </c>
      <c r="G737" s="3" t="str">
        <f t="shared" si="11"/>
        <v>HasCreditCard Kompaniyasını 20% endirimlə təklif et</v>
      </c>
    </row>
    <row r="738" spans="2:7" x14ac:dyDescent="0.3">
      <c r="B738" t="s">
        <v>792</v>
      </c>
      <c r="C738" s="3" t="str" cm="1">
        <f t="array" ref="C738">_xlfn.XLOOKUP(1,(pivot!$A$2:$A$1946=Table3[[#This Row],[Müştəri adı]])*(pivot!$C$2:$C$1946=_xlfn.MAXIFS(pivot!$C$2:$C$1946,pivot!$A$2:$A$1946,Table3[[#This Row],[Müştəri adı]])),pivot!$B$2:$B$1946)</f>
        <v>NotNewCellphoneUser</v>
      </c>
      <c r="D738" s="22" cm="1">
        <f t="array" ref="D738">_xlfn.XLOOKUP(1,
  (pivot!$A$2:$A$1946=endirim!B738) * (pivot!$C$2:$C$1946 = _xlfn.MAXIFS(pivot!$C$2:$C$1946, pivot!$A$2:$A$1946, endirim!B738)),
  pivot!$D$2:$D$1946)</f>
        <v>28</v>
      </c>
      <c r="E738" s="3" t="str" cm="1">
        <f t="array" ref="E738">_xlfn.XLOOKUP(1,
    (pivot!$A$2:$A$1946=endirim!B738) * (pivot!$D$2:$D$1946 = _xlfn.MAXIFS(pivot!$D$2:$D$1946, pivot!$A$2:$A$1946, endirim!B738)),
    pivot!$B$2:$B$1946)</f>
        <v>NotNewCellphoneUser</v>
      </c>
      <c r="F738" s="22">
        <f>_xlfn.MAXIFS(pivot!$D$2:$D$1946, pivot!$A$2:$A$1946, endirim!B738)</f>
        <v>28</v>
      </c>
      <c r="G738" s="3" t="str">
        <f t="shared" si="11"/>
        <v>Təklif yoxdur</v>
      </c>
    </row>
    <row r="739" spans="2:7" x14ac:dyDescent="0.3">
      <c r="B739" t="s">
        <v>793</v>
      </c>
      <c r="C739" s="3" t="str" cm="1">
        <f t="array" ref="C739">_xlfn.XLOOKUP(1,(pivot!$A$2:$A$1946=Table3[[#This Row],[Müştəri adı]])*(pivot!$C$2:$C$1946=_xlfn.MAXIFS(pivot!$C$2:$C$1946,pivot!$A$2:$A$1946,Table3[[#This Row],[Müştəri adı]])),pivot!$B$2:$B$1946)</f>
        <v>RespondsToMailOffers</v>
      </c>
      <c r="D739" s="22" cm="1">
        <f t="array" ref="D739">_xlfn.XLOOKUP(1,
  (pivot!$A$2:$A$1946=endirim!B739) * (pivot!$C$2:$C$1946 = _xlfn.MAXIFS(pivot!$C$2:$C$1946, pivot!$A$2:$A$1946, endirim!B739)),
  pivot!$D$2:$D$1946)</f>
        <v>27</v>
      </c>
      <c r="E739" s="3" t="str" cm="1">
        <f t="array" ref="E739">_xlfn.XLOOKUP(1,
    (pivot!$A$2:$A$1946=endirim!B739) * (pivot!$D$2:$D$1946 = _xlfn.MAXIFS(pivot!$D$2:$D$1946, pivot!$A$2:$A$1946, endirim!B739)),
    pivot!$B$2:$B$1946)</f>
        <v>RespondsToMailOffers</v>
      </c>
      <c r="F739" s="22">
        <f>_xlfn.MAXIFS(pivot!$D$2:$D$1946, pivot!$A$2:$A$1946, endirim!B739)</f>
        <v>27</v>
      </c>
      <c r="G739" s="3" t="str">
        <f t="shared" si="11"/>
        <v>Təklif yoxdur</v>
      </c>
    </row>
    <row r="740" spans="2:7" x14ac:dyDescent="0.3">
      <c r="B740" t="s">
        <v>794</v>
      </c>
      <c r="C740" s="3" t="str" cm="1">
        <f t="array" ref="C740">_xlfn.XLOOKUP(1,(pivot!$A$2:$A$1946=Table3[[#This Row],[Müştəri adı]])*(pivot!$C$2:$C$1946=_xlfn.MAXIFS(pivot!$C$2:$C$1946,pivot!$A$2:$A$1946,Table3[[#This Row],[Müştəri adı]])),pivot!$B$2:$B$1946)</f>
        <v>MaritalStatus</v>
      </c>
      <c r="D740" s="22" cm="1">
        <f t="array" ref="D740">_xlfn.XLOOKUP(1,
  (pivot!$A$2:$A$1946=endirim!B740) * (pivot!$C$2:$C$1946 = _xlfn.MAXIFS(pivot!$C$2:$C$1946, pivot!$A$2:$A$1946, endirim!B740)),
  pivot!$D$2:$D$1946)</f>
        <v>29</v>
      </c>
      <c r="E740" s="3" t="str" cm="1">
        <f t="array" ref="E740">_xlfn.XLOOKUP(1,
    (pivot!$A$2:$A$1946=endirim!B740) * (pivot!$D$2:$D$1946 = _xlfn.MAXIFS(pivot!$D$2:$D$1946, pivot!$A$2:$A$1946, endirim!B740)),
    pivot!$B$2:$B$1946)</f>
        <v>MaritalStatus</v>
      </c>
      <c r="F740" s="22">
        <f>_xlfn.MAXIFS(pivot!$D$2:$D$1946, pivot!$A$2:$A$1946, endirim!B740)</f>
        <v>29</v>
      </c>
      <c r="G740" s="3" t="str">
        <f t="shared" si="11"/>
        <v>Təklif yoxdur</v>
      </c>
    </row>
    <row r="741" spans="2:7" x14ac:dyDescent="0.3">
      <c r="B741" t="s">
        <v>795</v>
      </c>
      <c r="C741" s="3" t="str" cm="1">
        <f t="array" ref="C741">_xlfn.XLOOKUP(1,(pivot!$A$2:$A$1946=Table3[[#This Row],[Müştəri adı]])*(pivot!$C$2:$C$1946=_xlfn.MAXIFS(pivot!$C$2:$C$1946,pivot!$A$2:$A$1946,Table3[[#This Row],[Müştəri adı]])),pivot!$B$2:$B$1946)</f>
        <v>Homeownership</v>
      </c>
      <c r="D741" s="22" cm="1">
        <f t="array" ref="D741">_xlfn.XLOOKUP(1,
  (pivot!$A$2:$A$1946=endirim!B741) * (pivot!$C$2:$C$1946 = _xlfn.MAXIFS(pivot!$C$2:$C$1946, pivot!$A$2:$A$1946, endirim!B741)),
  pivot!$D$2:$D$1946)</f>
        <v>13</v>
      </c>
      <c r="E741" s="3" t="str" cm="1">
        <f t="array" ref="E741">_xlfn.XLOOKUP(1,
    (pivot!$A$2:$A$1946=endirim!B741) * (pivot!$D$2:$D$1946 = _xlfn.MAXIFS(pivot!$D$2:$D$1946, pivot!$A$2:$A$1946, endirim!B741)),
    pivot!$B$2:$B$1946)</f>
        <v>OwnsComputer</v>
      </c>
      <c r="F741" s="22">
        <f>_xlfn.MAXIFS(pivot!$D$2:$D$1946, pivot!$A$2:$A$1946, endirim!B741)</f>
        <v>62</v>
      </c>
      <c r="G741" s="3" t="str">
        <f t="shared" si="11"/>
        <v>OwnsComputer Kompaniyasını 20% endirimlə təklif et</v>
      </c>
    </row>
    <row r="742" spans="2:7" x14ac:dyDescent="0.3">
      <c r="B742" t="s">
        <v>796</v>
      </c>
      <c r="C742" s="3" t="str" cm="1">
        <f t="array" ref="C742">_xlfn.XLOOKUP(1,(pivot!$A$2:$A$1946=Table3[[#This Row],[Müştəri adı]])*(pivot!$C$2:$C$1946=_xlfn.MAXIFS(pivot!$C$2:$C$1946,pivot!$A$2:$A$1946,Table3[[#This Row],[Müştəri adı]])),pivot!$B$2:$B$1946)</f>
        <v>OwnsComputer</v>
      </c>
      <c r="D742" s="22" cm="1">
        <f t="array" ref="D742">_xlfn.XLOOKUP(1,
  (pivot!$A$2:$A$1946=endirim!B742) * (pivot!$C$2:$C$1946 = _xlfn.MAXIFS(pivot!$C$2:$C$1946, pivot!$A$2:$A$1946, endirim!B742)),
  pivot!$D$2:$D$1946)</f>
        <v>62</v>
      </c>
      <c r="E742" s="3" t="str" cm="1">
        <f t="array" ref="E742">_xlfn.XLOOKUP(1,
    (pivot!$A$2:$A$1946=endirim!B742) * (pivot!$D$2:$D$1946 = _xlfn.MAXIFS(pivot!$D$2:$D$1946, pivot!$A$2:$A$1946, endirim!B742)),
    pivot!$B$2:$B$1946)</f>
        <v>OwnsComputer</v>
      </c>
      <c r="F742" s="22">
        <f>_xlfn.MAXIFS(pivot!$D$2:$D$1946, pivot!$A$2:$A$1946, endirim!B742)</f>
        <v>62</v>
      </c>
      <c r="G742" s="3" t="str">
        <f t="shared" si="11"/>
        <v>Təklif yoxdur</v>
      </c>
    </row>
    <row r="743" spans="2:7" x14ac:dyDescent="0.3">
      <c r="B743" t="s">
        <v>797</v>
      </c>
      <c r="C743" s="3" t="str" cm="1">
        <f t="array" ref="C743">_xlfn.XLOOKUP(1,(pivot!$A$2:$A$1946=Table3[[#This Row],[Müştəri adı]])*(pivot!$C$2:$C$1946=_xlfn.MAXIFS(pivot!$C$2:$C$1946,pivot!$A$2:$A$1946,Table3[[#This Row],[Müştəri adı]])),pivot!$B$2:$B$1946)</f>
        <v>ChildrenInHH</v>
      </c>
      <c r="D743" s="22" cm="1">
        <f t="array" ref="D743">_xlfn.XLOOKUP(1,
  (pivot!$A$2:$A$1946=endirim!B743) * (pivot!$C$2:$C$1946 = _xlfn.MAXIFS(pivot!$C$2:$C$1946, pivot!$A$2:$A$1946, endirim!B743)),
  pivot!$D$2:$D$1946)</f>
        <v>10</v>
      </c>
      <c r="E743" s="3" t="str" cm="1">
        <f t="array" ref="E743">_xlfn.XLOOKUP(1,
    (pivot!$A$2:$A$1946=endirim!B743) * (pivot!$D$2:$D$1946 = _xlfn.MAXIFS(pivot!$D$2:$D$1946, pivot!$A$2:$A$1946, endirim!B743)),
    pivot!$B$2:$B$1946)</f>
        <v>OptOutMailings</v>
      </c>
      <c r="F743" s="22">
        <f>_xlfn.MAXIFS(pivot!$D$2:$D$1946, pivot!$A$2:$A$1946, endirim!B743)</f>
        <v>75</v>
      </c>
      <c r="G743" s="3" t="str">
        <f t="shared" si="11"/>
        <v>OptOutMailings Kompaniyasını 20% endirimlə təklif et</v>
      </c>
    </row>
    <row r="744" spans="2:7" x14ac:dyDescent="0.3">
      <c r="B744" t="s">
        <v>798</v>
      </c>
      <c r="C744" s="3" t="str" cm="1">
        <f t="array" ref="C744">_xlfn.XLOOKUP(1,(pivot!$A$2:$A$1946=Table3[[#This Row],[Müştəri adı]])*(pivot!$C$2:$C$1946=_xlfn.MAXIFS(pivot!$C$2:$C$1946,pivot!$A$2:$A$1946,Table3[[#This Row],[Müştəri adı]])),pivot!$B$2:$B$1946)</f>
        <v>Homeownership</v>
      </c>
      <c r="D744" s="22" cm="1">
        <f t="array" ref="D744">_xlfn.XLOOKUP(1,
  (pivot!$A$2:$A$1946=endirim!B744) * (pivot!$C$2:$C$1946 = _xlfn.MAXIFS(pivot!$C$2:$C$1946, pivot!$A$2:$A$1946, endirim!B744)),
  pivot!$D$2:$D$1946)</f>
        <v>13</v>
      </c>
      <c r="E744" s="3" t="str" cm="1">
        <f t="array" ref="E744">_xlfn.XLOOKUP(1,
    (pivot!$A$2:$A$1946=endirim!B744) * (pivot!$D$2:$D$1946 = _xlfn.MAXIFS(pivot!$D$2:$D$1946, pivot!$A$2:$A$1946, endirim!B744)),
    pivot!$B$2:$B$1946)</f>
        <v>HasCreditCard</v>
      </c>
      <c r="F744" s="22">
        <f>_xlfn.MAXIFS(pivot!$D$2:$D$1946, pivot!$A$2:$A$1946, endirim!B744)</f>
        <v>65</v>
      </c>
      <c r="G744" s="3" t="str">
        <f t="shared" si="11"/>
        <v>HasCreditCard Kompaniyasını 20% endirimlə təklif et</v>
      </c>
    </row>
    <row r="745" spans="2:7" x14ac:dyDescent="0.3">
      <c r="B745" t="s">
        <v>799</v>
      </c>
      <c r="C745" s="3" t="str" cm="1">
        <f t="array" ref="C745">_xlfn.XLOOKUP(1,(pivot!$A$2:$A$1946=Table3[[#This Row],[Müştəri adı]])*(pivot!$C$2:$C$1946=_xlfn.MAXIFS(pivot!$C$2:$C$1946,pivot!$A$2:$A$1946,Table3[[#This Row],[Müştəri adı]])),pivot!$B$2:$B$1946)</f>
        <v>ChildrenInHH</v>
      </c>
      <c r="D745" s="22" cm="1">
        <f t="array" ref="D745">_xlfn.XLOOKUP(1,
  (pivot!$A$2:$A$1946=endirim!B745) * (pivot!$C$2:$C$1946 = _xlfn.MAXIFS(pivot!$C$2:$C$1946, pivot!$A$2:$A$1946, endirim!B745)),
  pivot!$D$2:$D$1946)</f>
        <v>10</v>
      </c>
      <c r="E745" s="3" t="str" cm="1">
        <f t="array" ref="E745">_xlfn.XLOOKUP(1,
    (pivot!$A$2:$A$1946=endirim!B745) * (pivot!$D$2:$D$1946 = _xlfn.MAXIFS(pivot!$D$2:$D$1946, pivot!$A$2:$A$1946, endirim!B745)),
    pivot!$B$2:$B$1946)</f>
        <v>OwnsComputer</v>
      </c>
      <c r="F745" s="22">
        <f>_xlfn.MAXIFS(pivot!$D$2:$D$1946, pivot!$A$2:$A$1946, endirim!B745)</f>
        <v>62</v>
      </c>
      <c r="G745" s="3" t="str">
        <f t="shared" si="11"/>
        <v>OwnsComputer Kompaniyasını 20% endirimlə təklif et</v>
      </c>
    </row>
    <row r="746" spans="2:7" x14ac:dyDescent="0.3">
      <c r="B746" t="s">
        <v>800</v>
      </c>
      <c r="C746" s="3" t="str" cm="1">
        <f t="array" ref="C746">_xlfn.XLOOKUP(1,(pivot!$A$2:$A$1946=Table3[[#This Row],[Müştəri adı]])*(pivot!$C$2:$C$1946=_xlfn.MAXIFS(pivot!$C$2:$C$1946,pivot!$A$2:$A$1946,Table3[[#This Row],[Müştəri adı]])),pivot!$B$2:$B$1946)</f>
        <v>Homeownership</v>
      </c>
      <c r="D746" s="22" cm="1">
        <f t="array" ref="D746">_xlfn.XLOOKUP(1,
  (pivot!$A$2:$A$1946=endirim!B746) * (pivot!$C$2:$C$1946 = _xlfn.MAXIFS(pivot!$C$2:$C$1946, pivot!$A$2:$A$1946, endirim!B746)),
  pivot!$D$2:$D$1946)</f>
        <v>13</v>
      </c>
      <c r="E746" s="3" t="str" cm="1">
        <f t="array" ref="E746">_xlfn.XLOOKUP(1,
    (pivot!$A$2:$A$1946=endirim!B746) * (pivot!$D$2:$D$1946 = _xlfn.MAXIFS(pivot!$D$2:$D$1946, pivot!$A$2:$A$1946, endirim!B746)),
    pivot!$B$2:$B$1946)</f>
        <v>OwnsComputer</v>
      </c>
      <c r="F746" s="22">
        <f>_xlfn.MAXIFS(pivot!$D$2:$D$1946, pivot!$A$2:$A$1946, endirim!B746)</f>
        <v>62</v>
      </c>
      <c r="G746" s="3" t="str">
        <f t="shared" si="11"/>
        <v>OwnsComputer Kompaniyasını 20% endirimlə təklif et</v>
      </c>
    </row>
    <row r="747" spans="2:7" x14ac:dyDescent="0.3">
      <c r="B747" t="s">
        <v>801</v>
      </c>
      <c r="C747" s="3" t="str" cm="1">
        <f t="array" ref="C747">_xlfn.XLOOKUP(1,(pivot!$A$2:$A$1946=Table3[[#This Row],[Müştəri adı]])*(pivot!$C$2:$C$1946=_xlfn.MAXIFS(pivot!$C$2:$C$1946,pivot!$A$2:$A$1946,Table3[[#This Row],[Müştəri adı]])),pivot!$B$2:$B$1946)</f>
        <v>NonUSTravel</v>
      </c>
      <c r="D747" s="22" cm="1">
        <f t="array" ref="D747">_xlfn.XLOOKUP(1,
  (pivot!$A$2:$A$1946=endirim!B747) * (pivot!$C$2:$C$1946 = _xlfn.MAXIFS(pivot!$C$2:$C$1946, pivot!$A$2:$A$1946, endirim!B747)),
  pivot!$D$2:$D$1946)</f>
        <v>66</v>
      </c>
      <c r="E747" s="3" t="str" cm="1">
        <f t="array" ref="E747">_xlfn.XLOOKUP(1,
    (pivot!$A$2:$A$1946=endirim!B747) * (pivot!$D$2:$D$1946 = _xlfn.MAXIFS(pivot!$D$2:$D$1946, pivot!$A$2:$A$1946, endirim!B747)),
    pivot!$B$2:$B$1946)</f>
        <v>NonUSTravel</v>
      </c>
      <c r="F747" s="22">
        <f>_xlfn.MAXIFS(pivot!$D$2:$D$1946, pivot!$A$2:$A$1946, endirim!B747)</f>
        <v>66</v>
      </c>
      <c r="G747" s="3" t="str">
        <f t="shared" si="11"/>
        <v>Təklif yoxdur</v>
      </c>
    </row>
    <row r="748" spans="2:7" x14ac:dyDescent="0.3">
      <c r="B748" t="s">
        <v>802</v>
      </c>
      <c r="C748" s="3" t="str" cm="1">
        <f t="array" ref="C748">_xlfn.XLOOKUP(1,(pivot!$A$2:$A$1946=Table3[[#This Row],[Müştəri adı]])*(pivot!$C$2:$C$1946=_xlfn.MAXIFS(pivot!$C$2:$C$1946,pivot!$A$2:$A$1946,Table3[[#This Row],[Müştəri adı]])),pivot!$B$2:$B$1946)</f>
        <v>MaritalStatus</v>
      </c>
      <c r="D748" s="22" cm="1">
        <f t="array" ref="D748">_xlfn.XLOOKUP(1,
  (pivot!$A$2:$A$1946=endirim!B748) * (pivot!$C$2:$C$1946 = _xlfn.MAXIFS(pivot!$C$2:$C$1946, pivot!$A$2:$A$1946, endirim!B748)),
  pivot!$D$2:$D$1946)</f>
        <v>29</v>
      </c>
      <c r="E748" s="3" t="str" cm="1">
        <f t="array" ref="E748">_xlfn.XLOOKUP(1,
    (pivot!$A$2:$A$1946=endirim!B748) * (pivot!$D$2:$D$1946 = _xlfn.MAXIFS(pivot!$D$2:$D$1946, pivot!$A$2:$A$1946, endirim!B748)),
    pivot!$B$2:$B$1946)</f>
        <v>MaritalStatus</v>
      </c>
      <c r="F748" s="22">
        <f>_xlfn.MAXIFS(pivot!$D$2:$D$1946, pivot!$A$2:$A$1946, endirim!B748)</f>
        <v>29</v>
      </c>
      <c r="G748" s="3" t="str">
        <f t="shared" si="11"/>
        <v>Təklif yoxdur</v>
      </c>
    </row>
    <row r="749" spans="2:7" x14ac:dyDescent="0.3">
      <c r="B749" t="s">
        <v>803</v>
      </c>
      <c r="C749" s="3" t="str" cm="1">
        <f t="array" ref="C749">_xlfn.XLOOKUP(1,(pivot!$A$2:$A$1946=Table3[[#This Row],[Müştəri adı]])*(pivot!$C$2:$C$1946=_xlfn.MAXIFS(pivot!$C$2:$C$1946,pivot!$A$2:$A$1946,Table3[[#This Row],[Müştəri adı]])),pivot!$B$2:$B$1946)</f>
        <v>Homeownership</v>
      </c>
      <c r="D749" s="22" cm="1">
        <f t="array" ref="D749">_xlfn.XLOOKUP(1,
  (pivot!$A$2:$A$1946=endirim!B749) * (pivot!$C$2:$C$1946 = _xlfn.MAXIFS(pivot!$C$2:$C$1946, pivot!$A$2:$A$1946, endirim!B749)),
  pivot!$D$2:$D$1946)</f>
        <v>13</v>
      </c>
      <c r="E749" s="3" t="str" cm="1">
        <f t="array" ref="E749">_xlfn.XLOOKUP(1,
    (pivot!$A$2:$A$1946=endirim!B749) * (pivot!$D$2:$D$1946 = _xlfn.MAXIFS(pivot!$D$2:$D$1946, pivot!$A$2:$A$1946, endirim!B749)),
    pivot!$B$2:$B$1946)</f>
        <v>MadeCallToRetentionTeam</v>
      </c>
      <c r="F749" s="22">
        <f>_xlfn.MAXIFS(pivot!$D$2:$D$1946, pivot!$A$2:$A$1946, endirim!B749)</f>
        <v>16</v>
      </c>
      <c r="G749" s="3" t="str">
        <f t="shared" si="11"/>
        <v>MadeCallToRetentionTeam Kompaniyasını 20% endirimlə təklif et</v>
      </c>
    </row>
    <row r="750" spans="2:7" x14ac:dyDescent="0.3">
      <c r="B750" t="s">
        <v>804</v>
      </c>
      <c r="C750" s="3" t="str" cm="1">
        <f t="array" ref="C750">_xlfn.XLOOKUP(1,(pivot!$A$2:$A$1946=Table3[[#This Row],[Müştəri adı]])*(pivot!$C$2:$C$1946=_xlfn.MAXIFS(pivot!$C$2:$C$1946,pivot!$A$2:$A$1946,Table3[[#This Row],[Müştəri adı]])),pivot!$B$2:$B$1946)</f>
        <v>MadeCallToRetentionTeam</v>
      </c>
      <c r="D750" s="22" cm="1">
        <f t="array" ref="D750">_xlfn.XLOOKUP(1,
  (pivot!$A$2:$A$1946=endirim!B750) * (pivot!$C$2:$C$1946 = _xlfn.MAXIFS(pivot!$C$2:$C$1946, pivot!$A$2:$A$1946, endirim!B750)),
  pivot!$D$2:$D$1946)</f>
        <v>16</v>
      </c>
      <c r="E750" s="3" t="str" cm="1">
        <f t="array" ref="E750">_xlfn.XLOOKUP(1,
    (pivot!$A$2:$A$1946=endirim!B750) * (pivot!$D$2:$D$1946 = _xlfn.MAXIFS(pivot!$D$2:$D$1946, pivot!$A$2:$A$1946, endirim!B750)),
    pivot!$B$2:$B$1946)</f>
        <v>TruckOwner</v>
      </c>
      <c r="F750" s="22">
        <f>_xlfn.MAXIFS(pivot!$D$2:$D$1946, pivot!$A$2:$A$1946, endirim!B750)</f>
        <v>26</v>
      </c>
      <c r="G750" s="3" t="str">
        <f t="shared" si="11"/>
        <v>TruckOwner Kompaniyasını 20% endirimlə təklif et</v>
      </c>
    </row>
    <row r="751" spans="2:7" x14ac:dyDescent="0.3">
      <c r="B751" t="s">
        <v>805</v>
      </c>
      <c r="C751" s="3" t="str" cm="1">
        <f t="array" ref="C751">_xlfn.XLOOKUP(1,(pivot!$A$2:$A$1946=Table3[[#This Row],[Müştəri adı]])*(pivot!$C$2:$C$1946=_xlfn.MAXIFS(pivot!$C$2:$C$1946,pivot!$A$2:$A$1946,Table3[[#This Row],[Müştəri adı]])),pivot!$B$2:$B$1946)</f>
        <v>NotNewCellphoneUser</v>
      </c>
      <c r="D751" s="22" cm="1">
        <f t="array" ref="D751">_xlfn.XLOOKUP(1,
  (pivot!$A$2:$A$1946=endirim!B751) * (pivot!$C$2:$C$1946 = _xlfn.MAXIFS(pivot!$C$2:$C$1946, pivot!$A$2:$A$1946, endirim!B751)),
  pivot!$D$2:$D$1946)</f>
        <v>28</v>
      </c>
      <c r="E751" s="3" t="str" cm="1">
        <f t="array" ref="E751">_xlfn.XLOOKUP(1,
    (pivot!$A$2:$A$1946=endirim!B751) * (pivot!$D$2:$D$1946 = _xlfn.MAXIFS(pivot!$D$2:$D$1946, pivot!$A$2:$A$1946, endirim!B751)),
    pivot!$B$2:$B$1946)</f>
        <v>NotNewCellphoneUser</v>
      </c>
      <c r="F751" s="22">
        <f>_xlfn.MAXIFS(pivot!$D$2:$D$1946, pivot!$A$2:$A$1946, endirim!B751)</f>
        <v>28</v>
      </c>
      <c r="G751" s="3" t="str">
        <f t="shared" si="11"/>
        <v>Təklif yoxdur</v>
      </c>
    </row>
    <row r="752" spans="2:7" x14ac:dyDescent="0.3">
      <c r="B752" t="s">
        <v>806</v>
      </c>
      <c r="C752" s="3" t="str" cm="1">
        <f t="array" ref="C752">_xlfn.XLOOKUP(1,(pivot!$A$2:$A$1946=Table3[[#This Row],[Müştəri adı]])*(pivot!$C$2:$C$1946=_xlfn.MAXIFS(pivot!$C$2:$C$1946,pivot!$A$2:$A$1946,Table3[[#This Row],[Müştəri adı]])),pivot!$B$2:$B$1946)</f>
        <v>OwnsComputer</v>
      </c>
      <c r="D752" s="22" cm="1">
        <f t="array" ref="D752">_xlfn.XLOOKUP(1,
  (pivot!$A$2:$A$1946=endirim!B752) * (pivot!$C$2:$C$1946 = _xlfn.MAXIFS(pivot!$C$2:$C$1946, pivot!$A$2:$A$1946, endirim!B752)),
  pivot!$D$2:$D$1946)</f>
        <v>62</v>
      </c>
      <c r="E752" s="3" t="str" cm="1">
        <f t="array" ref="E752">_xlfn.XLOOKUP(1,
    (pivot!$A$2:$A$1946=endirim!B752) * (pivot!$D$2:$D$1946 = _xlfn.MAXIFS(pivot!$D$2:$D$1946, pivot!$A$2:$A$1946, endirim!B752)),
    pivot!$B$2:$B$1946)</f>
        <v>OwnsComputer</v>
      </c>
      <c r="F752" s="22">
        <f>_xlfn.MAXIFS(pivot!$D$2:$D$1946, pivot!$A$2:$A$1946, endirim!B752)</f>
        <v>62</v>
      </c>
      <c r="G752" s="3" t="str">
        <f t="shared" si="11"/>
        <v>Təklif yoxdur</v>
      </c>
    </row>
    <row r="753" spans="2:7" x14ac:dyDescent="0.3">
      <c r="B753" t="s">
        <v>807</v>
      </c>
      <c r="C753" s="3" t="str" cm="1">
        <f t="array" ref="C753">_xlfn.XLOOKUP(1,(pivot!$A$2:$A$1946=Table3[[#This Row],[Müştəri adı]])*(pivot!$C$2:$C$1946=_xlfn.MAXIFS(pivot!$C$2:$C$1946,pivot!$A$2:$A$1946,Table3[[#This Row],[Müştəri adı]])),pivot!$B$2:$B$1946)</f>
        <v>RespondsToMailOffers</v>
      </c>
      <c r="D753" s="22" cm="1">
        <f t="array" ref="D753">_xlfn.XLOOKUP(1,
  (pivot!$A$2:$A$1946=endirim!B753) * (pivot!$C$2:$C$1946 = _xlfn.MAXIFS(pivot!$C$2:$C$1946, pivot!$A$2:$A$1946, endirim!B753)),
  pivot!$D$2:$D$1946)</f>
        <v>27</v>
      </c>
      <c r="E753" s="3" t="str" cm="1">
        <f t="array" ref="E753">_xlfn.XLOOKUP(1,
    (pivot!$A$2:$A$1946=endirim!B753) * (pivot!$D$2:$D$1946 = _xlfn.MAXIFS(pivot!$D$2:$D$1946, pivot!$A$2:$A$1946, endirim!B753)),
    pivot!$B$2:$B$1946)</f>
        <v>HandsetWebCapable</v>
      </c>
      <c r="F753" s="22">
        <f>_xlfn.MAXIFS(pivot!$D$2:$D$1946, pivot!$A$2:$A$1946, endirim!B753)</f>
        <v>62</v>
      </c>
      <c r="G753" s="3" t="str">
        <f t="shared" si="11"/>
        <v>HandsetWebCapable Kompaniyasını 20% endirimlə təklif et</v>
      </c>
    </row>
    <row r="754" spans="2:7" x14ac:dyDescent="0.3">
      <c r="B754" t="s">
        <v>808</v>
      </c>
      <c r="C754" s="3" t="str" cm="1">
        <f t="array" ref="C754">_xlfn.XLOOKUP(1,(pivot!$A$2:$A$1946=Table3[[#This Row],[Müştəri adı]])*(pivot!$C$2:$C$1946=_xlfn.MAXIFS(pivot!$C$2:$C$1946,pivot!$A$2:$A$1946,Table3[[#This Row],[Müştəri adı]])),pivot!$B$2:$B$1946)</f>
        <v>NewCellphoneUser</v>
      </c>
      <c r="D754" s="22" cm="1">
        <f t="array" ref="D754">_xlfn.XLOOKUP(1,
  (pivot!$A$2:$A$1946=endirim!B754) * (pivot!$C$2:$C$1946 = _xlfn.MAXIFS(pivot!$C$2:$C$1946, pivot!$A$2:$A$1946, endirim!B754)),
  pivot!$D$2:$D$1946)</f>
        <v>25</v>
      </c>
      <c r="E754" s="3" t="str" cm="1">
        <f t="array" ref="E754">_xlfn.XLOOKUP(1,
    (pivot!$A$2:$A$1946=endirim!B754) * (pivot!$D$2:$D$1946 = _xlfn.MAXIFS(pivot!$D$2:$D$1946, pivot!$A$2:$A$1946, endirim!B754)),
    pivot!$B$2:$B$1946)</f>
        <v>MaritalStatus</v>
      </c>
      <c r="F754" s="22">
        <f>_xlfn.MAXIFS(pivot!$D$2:$D$1946, pivot!$A$2:$A$1946, endirim!B754)</f>
        <v>29</v>
      </c>
      <c r="G754" s="3" t="str">
        <f t="shared" si="11"/>
        <v>MaritalStatus Kompaniyasını 20% endirimlə təklif et</v>
      </c>
    </row>
    <row r="755" spans="2:7" x14ac:dyDescent="0.3">
      <c r="B755" t="s">
        <v>809</v>
      </c>
      <c r="C755" s="3" t="str" cm="1">
        <f t="array" ref="C755">_xlfn.XLOOKUP(1,(pivot!$A$2:$A$1946=Table3[[#This Row],[Müştəri adı]])*(pivot!$C$2:$C$1946=_xlfn.MAXIFS(pivot!$C$2:$C$1946,pivot!$A$2:$A$1946,Table3[[#This Row],[Müştəri adı]])),pivot!$B$2:$B$1946)</f>
        <v>RVOwner</v>
      </c>
      <c r="D755" s="22" cm="1">
        <f t="array" ref="D755">_xlfn.XLOOKUP(1,
  (pivot!$A$2:$A$1946=endirim!B755) * (pivot!$C$2:$C$1946 = _xlfn.MAXIFS(pivot!$C$2:$C$1946, pivot!$A$2:$A$1946, endirim!B755)),
  pivot!$D$2:$D$1946)</f>
        <v>22</v>
      </c>
      <c r="E755" s="3" t="str" cm="1">
        <f t="array" ref="E755">_xlfn.XLOOKUP(1,
    (pivot!$A$2:$A$1946=endirim!B755) * (pivot!$D$2:$D$1946 = _xlfn.MAXIFS(pivot!$D$2:$D$1946, pivot!$A$2:$A$1946, endirim!B755)),
    pivot!$B$2:$B$1946)</f>
        <v>NotNewCellphoneUser</v>
      </c>
      <c r="F755" s="22">
        <f>_xlfn.MAXIFS(pivot!$D$2:$D$1946, pivot!$A$2:$A$1946, endirim!B755)</f>
        <v>28</v>
      </c>
      <c r="G755" s="3" t="str">
        <f t="shared" si="11"/>
        <v>NotNewCellphoneUser Kompaniyasını 20% endirimlə təklif et</v>
      </c>
    </row>
    <row r="756" spans="2:7" x14ac:dyDescent="0.3">
      <c r="B756" t="s">
        <v>810</v>
      </c>
      <c r="C756" s="3" t="str" cm="1">
        <f t="array" ref="C756">_xlfn.XLOOKUP(1,(pivot!$A$2:$A$1946=Table3[[#This Row],[Müştəri adı]])*(pivot!$C$2:$C$1946=_xlfn.MAXIFS(pivot!$C$2:$C$1946,pivot!$A$2:$A$1946,Table3[[#This Row],[Müştəri adı]])),pivot!$B$2:$B$1946)</f>
        <v>OptOutMailings</v>
      </c>
      <c r="D756" s="22" cm="1">
        <f t="array" ref="D756">_xlfn.XLOOKUP(1,
  (pivot!$A$2:$A$1946=endirim!B756) * (pivot!$C$2:$C$1946 = _xlfn.MAXIFS(pivot!$C$2:$C$1946, pivot!$A$2:$A$1946, endirim!B756)),
  pivot!$D$2:$D$1946)</f>
        <v>75</v>
      </c>
      <c r="E756" s="3" t="str" cm="1">
        <f t="array" ref="E756">_xlfn.XLOOKUP(1,
    (pivot!$A$2:$A$1946=endirim!B756) * (pivot!$D$2:$D$1946 = _xlfn.MAXIFS(pivot!$D$2:$D$1946, pivot!$A$2:$A$1946, endirim!B756)),
    pivot!$B$2:$B$1946)</f>
        <v>OptOutMailings</v>
      </c>
      <c r="F756" s="22">
        <f>_xlfn.MAXIFS(pivot!$D$2:$D$1946, pivot!$A$2:$A$1946, endirim!B756)</f>
        <v>75</v>
      </c>
      <c r="G756" s="3" t="str">
        <f t="shared" si="11"/>
        <v>Təklif yoxdur</v>
      </c>
    </row>
    <row r="757" spans="2:7" x14ac:dyDescent="0.3">
      <c r="B757" t="s">
        <v>811</v>
      </c>
      <c r="C757" s="3" t="str" cm="1">
        <f t="array" ref="C757">_xlfn.XLOOKUP(1,(pivot!$A$2:$A$1946=Table3[[#This Row],[Müştəri adı]])*(pivot!$C$2:$C$1946=_xlfn.MAXIFS(pivot!$C$2:$C$1946,pivot!$A$2:$A$1946,Table3[[#This Row],[Müştəri adı]])),pivot!$B$2:$B$1946)</f>
        <v>OwnsComputer</v>
      </c>
      <c r="D757" s="22" cm="1">
        <f t="array" ref="D757">_xlfn.XLOOKUP(1,
  (pivot!$A$2:$A$1946=endirim!B757) * (pivot!$C$2:$C$1946 = _xlfn.MAXIFS(pivot!$C$2:$C$1946, pivot!$A$2:$A$1946, endirim!B757)),
  pivot!$D$2:$D$1946)</f>
        <v>62</v>
      </c>
      <c r="E757" s="3" t="str" cm="1">
        <f t="array" ref="E757">_xlfn.XLOOKUP(1,
    (pivot!$A$2:$A$1946=endirim!B757) * (pivot!$D$2:$D$1946 = _xlfn.MAXIFS(pivot!$D$2:$D$1946, pivot!$A$2:$A$1946, endirim!B757)),
    pivot!$B$2:$B$1946)</f>
        <v>OwnsComputer</v>
      </c>
      <c r="F757" s="22">
        <f>_xlfn.MAXIFS(pivot!$D$2:$D$1946, pivot!$A$2:$A$1946, endirim!B757)</f>
        <v>62</v>
      </c>
      <c r="G757" s="3" t="str">
        <f t="shared" si="11"/>
        <v>Təklif yoxdur</v>
      </c>
    </row>
    <row r="758" spans="2:7" x14ac:dyDescent="0.3">
      <c r="B758" t="s">
        <v>812</v>
      </c>
      <c r="C758" s="3" t="str" cm="1">
        <f t="array" ref="C758">_xlfn.XLOOKUP(1,(pivot!$A$2:$A$1946=Table3[[#This Row],[Müştəri adı]])*(pivot!$C$2:$C$1946=_xlfn.MAXIFS(pivot!$C$2:$C$1946,pivot!$A$2:$A$1946,Table3[[#This Row],[Müştəri adı]])),pivot!$B$2:$B$1946)</f>
        <v>OwnsComputer</v>
      </c>
      <c r="D758" s="22" cm="1">
        <f t="array" ref="D758">_xlfn.XLOOKUP(1,
  (pivot!$A$2:$A$1946=endirim!B758) * (pivot!$C$2:$C$1946 = _xlfn.MAXIFS(pivot!$C$2:$C$1946, pivot!$A$2:$A$1946, endirim!B758)),
  pivot!$D$2:$D$1946)</f>
        <v>62</v>
      </c>
      <c r="E758" s="3" t="str" cm="1">
        <f t="array" ref="E758">_xlfn.XLOOKUP(1,
    (pivot!$A$2:$A$1946=endirim!B758) * (pivot!$D$2:$D$1946 = _xlfn.MAXIFS(pivot!$D$2:$D$1946, pivot!$A$2:$A$1946, endirim!B758)),
    pivot!$B$2:$B$1946)</f>
        <v>NonUSTravel</v>
      </c>
      <c r="F758" s="22">
        <f>_xlfn.MAXIFS(pivot!$D$2:$D$1946, pivot!$A$2:$A$1946, endirim!B758)</f>
        <v>66</v>
      </c>
      <c r="G758" s="3" t="str">
        <f t="shared" si="11"/>
        <v>NonUSTravel Kompaniyasını 20% endirimlə təklif et</v>
      </c>
    </row>
    <row r="759" spans="2:7" x14ac:dyDescent="0.3">
      <c r="B759" t="s">
        <v>813</v>
      </c>
      <c r="C759" s="3" t="str" cm="1">
        <f t="array" ref="C759">_xlfn.XLOOKUP(1,(pivot!$A$2:$A$1946=Table3[[#This Row],[Müştəri adı]])*(pivot!$C$2:$C$1946=_xlfn.MAXIFS(pivot!$C$2:$C$1946,pivot!$A$2:$A$1946,Table3[[#This Row],[Müştəri adı]])),pivot!$B$2:$B$1946)</f>
        <v>HandsetWebCapable</v>
      </c>
      <c r="D759" s="22" cm="1">
        <f t="array" ref="D759">_xlfn.XLOOKUP(1,
  (pivot!$A$2:$A$1946=endirim!B759) * (pivot!$C$2:$C$1946 = _xlfn.MAXIFS(pivot!$C$2:$C$1946, pivot!$A$2:$A$1946, endirim!B759)),
  pivot!$D$2:$D$1946)</f>
        <v>62</v>
      </c>
      <c r="E759" s="3" t="str" cm="1">
        <f t="array" ref="E759">_xlfn.XLOOKUP(1,
    (pivot!$A$2:$A$1946=endirim!B759) * (pivot!$D$2:$D$1946 = _xlfn.MAXIFS(pivot!$D$2:$D$1946, pivot!$A$2:$A$1946, endirim!B759)),
    pivot!$B$2:$B$1946)</f>
        <v>HandsetWebCapable</v>
      </c>
      <c r="F759" s="22">
        <f>_xlfn.MAXIFS(pivot!$D$2:$D$1946, pivot!$A$2:$A$1946, endirim!B759)</f>
        <v>62</v>
      </c>
      <c r="G759" s="3" t="str">
        <f t="shared" si="11"/>
        <v>Təklif yoxdur</v>
      </c>
    </row>
    <row r="760" spans="2:7" x14ac:dyDescent="0.3">
      <c r="B760" t="s">
        <v>814</v>
      </c>
      <c r="C760" s="3" t="str" cm="1">
        <f t="array" ref="C760">_xlfn.XLOOKUP(1,(pivot!$A$2:$A$1946=Table3[[#This Row],[Müştəri adı]])*(pivot!$C$2:$C$1946=_xlfn.MAXIFS(pivot!$C$2:$C$1946,pivot!$A$2:$A$1946,Table3[[#This Row],[Müştəri adı]])),pivot!$B$2:$B$1946)</f>
        <v>MadeCallToRetentionTeam</v>
      </c>
      <c r="D760" s="22" cm="1">
        <f t="array" ref="D760">_xlfn.XLOOKUP(1,
  (pivot!$A$2:$A$1946=endirim!B760) * (pivot!$C$2:$C$1946 = _xlfn.MAXIFS(pivot!$C$2:$C$1946, pivot!$A$2:$A$1946, endirim!B760)),
  pivot!$D$2:$D$1946)</f>
        <v>16</v>
      </c>
      <c r="E760" s="3" t="str" cm="1">
        <f t="array" ref="E760">_xlfn.XLOOKUP(1,
    (pivot!$A$2:$A$1946=endirim!B760) * (pivot!$D$2:$D$1946 = _xlfn.MAXIFS(pivot!$D$2:$D$1946, pivot!$A$2:$A$1946, endirim!B760)),
    pivot!$B$2:$B$1946)</f>
        <v>MadeCallToRetentionTeam</v>
      </c>
      <c r="F760" s="22">
        <f>_xlfn.MAXIFS(pivot!$D$2:$D$1946, pivot!$A$2:$A$1946, endirim!B760)</f>
        <v>16</v>
      </c>
      <c r="G760" s="3" t="str">
        <f t="shared" si="11"/>
        <v>Təklif yoxdur</v>
      </c>
    </row>
    <row r="761" spans="2:7" x14ac:dyDescent="0.3">
      <c r="B761" t="s">
        <v>815</v>
      </c>
      <c r="C761" s="3" t="str" cm="1">
        <f t="array" ref="C761">_xlfn.XLOOKUP(1,(pivot!$A$2:$A$1946=Table3[[#This Row],[Müştəri adı]])*(pivot!$C$2:$C$1946=_xlfn.MAXIFS(pivot!$C$2:$C$1946,pivot!$A$2:$A$1946,Table3[[#This Row],[Müştəri adı]])),pivot!$B$2:$B$1946)</f>
        <v>RespondsToMailOffers</v>
      </c>
      <c r="D761" s="22" cm="1">
        <f t="array" ref="D761">_xlfn.XLOOKUP(1,
  (pivot!$A$2:$A$1946=endirim!B761) * (pivot!$C$2:$C$1946 = _xlfn.MAXIFS(pivot!$C$2:$C$1946, pivot!$A$2:$A$1946, endirim!B761)),
  pivot!$D$2:$D$1946)</f>
        <v>27</v>
      </c>
      <c r="E761" s="3" t="str" cm="1">
        <f t="array" ref="E761">_xlfn.XLOOKUP(1,
    (pivot!$A$2:$A$1946=endirim!B761) * (pivot!$D$2:$D$1946 = _xlfn.MAXIFS(pivot!$D$2:$D$1946, pivot!$A$2:$A$1946, endirim!B761)),
    pivot!$B$2:$B$1946)</f>
        <v>RespondsToMailOffers</v>
      </c>
      <c r="F761" s="22">
        <f>_xlfn.MAXIFS(pivot!$D$2:$D$1946, pivot!$A$2:$A$1946, endirim!B761)</f>
        <v>27</v>
      </c>
      <c r="G761" s="3" t="str">
        <f t="shared" si="11"/>
        <v>Təklif yoxdur</v>
      </c>
    </row>
    <row r="762" spans="2:7" x14ac:dyDescent="0.3">
      <c r="B762" t="s">
        <v>816</v>
      </c>
      <c r="C762" s="3" t="str" cm="1">
        <f t="array" ref="C762">_xlfn.XLOOKUP(1,(pivot!$A$2:$A$1946=Table3[[#This Row],[Müştəri adı]])*(pivot!$C$2:$C$1946=_xlfn.MAXIFS(pivot!$C$2:$C$1946,pivot!$A$2:$A$1946,Table3[[#This Row],[Müştəri adı]])),pivot!$B$2:$B$1946)</f>
        <v>ChildrenInHH</v>
      </c>
      <c r="D762" s="22" cm="1">
        <f t="array" ref="D762">_xlfn.XLOOKUP(1,
  (pivot!$A$2:$A$1946=endirim!B762) * (pivot!$C$2:$C$1946 = _xlfn.MAXIFS(pivot!$C$2:$C$1946, pivot!$A$2:$A$1946, endirim!B762)),
  pivot!$D$2:$D$1946)</f>
        <v>10</v>
      </c>
      <c r="E762" s="3" t="str" cm="1">
        <f t="array" ref="E762">_xlfn.XLOOKUP(1,
    (pivot!$A$2:$A$1946=endirim!B762) * (pivot!$D$2:$D$1946 = _xlfn.MAXIFS(pivot!$D$2:$D$1946, pivot!$A$2:$A$1946, endirim!B762)),
    pivot!$B$2:$B$1946)</f>
        <v>ChildrenInHH</v>
      </c>
      <c r="F762" s="22">
        <f>_xlfn.MAXIFS(pivot!$D$2:$D$1946, pivot!$A$2:$A$1946, endirim!B762)</f>
        <v>10</v>
      </c>
      <c r="G762" s="3" t="str">
        <f t="shared" si="11"/>
        <v>Təklif yoxdur</v>
      </c>
    </row>
    <row r="763" spans="2:7" x14ac:dyDescent="0.3">
      <c r="B763" t="s">
        <v>817</v>
      </c>
      <c r="C763" s="3" t="str" cm="1">
        <f t="array" ref="C763">_xlfn.XLOOKUP(1,(pivot!$A$2:$A$1946=Table3[[#This Row],[Müştəri adı]])*(pivot!$C$2:$C$1946=_xlfn.MAXIFS(pivot!$C$2:$C$1946,pivot!$A$2:$A$1946,Table3[[#This Row],[Müştəri adı]])),pivot!$B$2:$B$1946)</f>
        <v>HandsetWebCapable</v>
      </c>
      <c r="D763" s="22" cm="1">
        <f t="array" ref="D763">_xlfn.XLOOKUP(1,
  (pivot!$A$2:$A$1946=endirim!B763) * (pivot!$C$2:$C$1946 = _xlfn.MAXIFS(pivot!$C$2:$C$1946, pivot!$A$2:$A$1946, endirim!B763)),
  pivot!$D$2:$D$1946)</f>
        <v>62</v>
      </c>
      <c r="E763" s="3" t="str" cm="1">
        <f t="array" ref="E763">_xlfn.XLOOKUP(1,
    (pivot!$A$2:$A$1946=endirim!B763) * (pivot!$D$2:$D$1946 = _xlfn.MAXIFS(pivot!$D$2:$D$1946, pivot!$A$2:$A$1946, endirim!B763)),
    pivot!$B$2:$B$1946)</f>
        <v>HandsetWebCapable</v>
      </c>
      <c r="F763" s="22">
        <f>_xlfn.MAXIFS(pivot!$D$2:$D$1946, pivot!$A$2:$A$1946, endirim!B763)</f>
        <v>62</v>
      </c>
      <c r="G763" s="3" t="str">
        <f t="shared" si="11"/>
        <v>Təklif yoxdur</v>
      </c>
    </row>
    <row r="764" spans="2:7" x14ac:dyDescent="0.3">
      <c r="B764" t="s">
        <v>818</v>
      </c>
      <c r="C764" s="3" t="str" cm="1">
        <f t="array" ref="C764">_xlfn.XLOOKUP(1,(pivot!$A$2:$A$1946=Table3[[#This Row],[Müştəri adı]])*(pivot!$C$2:$C$1946=_xlfn.MAXIFS(pivot!$C$2:$C$1946,pivot!$A$2:$A$1946,Table3[[#This Row],[Müştəri adı]])),pivot!$B$2:$B$1946)</f>
        <v>MaritalStatus</v>
      </c>
      <c r="D764" s="22" cm="1">
        <f t="array" ref="D764">_xlfn.XLOOKUP(1,
  (pivot!$A$2:$A$1946=endirim!B764) * (pivot!$C$2:$C$1946 = _xlfn.MAXIFS(pivot!$C$2:$C$1946, pivot!$A$2:$A$1946, endirim!B764)),
  pivot!$D$2:$D$1946)</f>
        <v>29</v>
      </c>
      <c r="E764" s="3" t="str" cm="1">
        <f t="array" ref="E764">_xlfn.XLOOKUP(1,
    (pivot!$A$2:$A$1946=endirim!B764) * (pivot!$D$2:$D$1946 = _xlfn.MAXIFS(pivot!$D$2:$D$1946, pivot!$A$2:$A$1946, endirim!B764)),
    pivot!$B$2:$B$1946)</f>
        <v>MaritalStatus</v>
      </c>
      <c r="F764" s="22">
        <f>_xlfn.MAXIFS(pivot!$D$2:$D$1946, pivot!$A$2:$A$1946, endirim!B764)</f>
        <v>29</v>
      </c>
      <c r="G764" s="3" t="str">
        <f t="shared" si="11"/>
        <v>Təklif yoxdur</v>
      </c>
    </row>
    <row r="765" spans="2:7" x14ac:dyDescent="0.3">
      <c r="B765" t="s">
        <v>819</v>
      </c>
      <c r="C765" s="3" t="str" cm="1">
        <f t="array" ref="C765">_xlfn.XLOOKUP(1,(pivot!$A$2:$A$1946=Table3[[#This Row],[Müştəri adı]])*(pivot!$C$2:$C$1946=_xlfn.MAXIFS(pivot!$C$2:$C$1946,pivot!$A$2:$A$1946,Table3[[#This Row],[Müştəri adı]])),pivot!$B$2:$B$1946)</f>
        <v>NewCellphoneUser</v>
      </c>
      <c r="D765" s="22" cm="1">
        <f t="array" ref="D765">_xlfn.XLOOKUP(1,
  (pivot!$A$2:$A$1946=endirim!B765) * (pivot!$C$2:$C$1946 = _xlfn.MAXIFS(pivot!$C$2:$C$1946, pivot!$A$2:$A$1946, endirim!B765)),
  pivot!$D$2:$D$1946)</f>
        <v>25</v>
      </c>
      <c r="E765" s="3" t="str" cm="1">
        <f t="array" ref="E765">_xlfn.XLOOKUP(1,
    (pivot!$A$2:$A$1946=endirim!B765) * (pivot!$D$2:$D$1946 = _xlfn.MAXIFS(pivot!$D$2:$D$1946, pivot!$A$2:$A$1946, endirim!B765)),
    pivot!$B$2:$B$1946)</f>
        <v>NewCellphoneUser</v>
      </c>
      <c r="F765" s="22">
        <f>_xlfn.MAXIFS(pivot!$D$2:$D$1946, pivot!$A$2:$A$1946, endirim!B765)</f>
        <v>25</v>
      </c>
      <c r="G765" s="3" t="str">
        <f t="shared" si="11"/>
        <v>Təklif yoxdur</v>
      </c>
    </row>
    <row r="766" spans="2:7" x14ac:dyDescent="0.3">
      <c r="B766" t="s">
        <v>820</v>
      </c>
      <c r="C766" s="3" t="str" cm="1">
        <f t="array" ref="C766">_xlfn.XLOOKUP(1,(pivot!$A$2:$A$1946=Table3[[#This Row],[Müştəri adı]])*(pivot!$C$2:$C$1946=_xlfn.MAXIFS(pivot!$C$2:$C$1946,pivot!$A$2:$A$1946,Table3[[#This Row],[Müştəri adı]])),pivot!$B$2:$B$1946)</f>
        <v>HandsetRefurbished</v>
      </c>
      <c r="D766" s="22" cm="1">
        <f t="array" ref="D766">_xlfn.XLOOKUP(1,
  (pivot!$A$2:$A$1946=endirim!B766) * (pivot!$C$2:$C$1946 = _xlfn.MAXIFS(pivot!$C$2:$C$1946, pivot!$A$2:$A$1946, endirim!B766)),
  pivot!$D$2:$D$1946)</f>
        <v>26</v>
      </c>
      <c r="E766" s="3" t="str" cm="1">
        <f t="array" ref="E766">_xlfn.XLOOKUP(1,
    (pivot!$A$2:$A$1946=endirim!B766) * (pivot!$D$2:$D$1946 = _xlfn.MAXIFS(pivot!$D$2:$D$1946, pivot!$A$2:$A$1946, endirim!B766)),
    pivot!$B$2:$B$1946)</f>
        <v>HandsetWebCapable</v>
      </c>
      <c r="F766" s="22">
        <f>_xlfn.MAXIFS(pivot!$D$2:$D$1946, pivot!$A$2:$A$1946, endirim!B766)</f>
        <v>62</v>
      </c>
      <c r="G766" s="3" t="str">
        <f t="shared" si="11"/>
        <v>HandsetWebCapable Kompaniyasını 20% endirimlə təklif et</v>
      </c>
    </row>
    <row r="767" spans="2:7" x14ac:dyDescent="0.3">
      <c r="B767" t="s">
        <v>821</v>
      </c>
      <c r="C767" s="3" t="str" cm="1">
        <f t="array" ref="C767">_xlfn.XLOOKUP(1,(pivot!$A$2:$A$1946=Table3[[#This Row],[Müştəri adı]])*(pivot!$C$2:$C$1946=_xlfn.MAXIFS(pivot!$C$2:$C$1946,pivot!$A$2:$A$1946,Table3[[#This Row],[Müştəri adı]])),pivot!$B$2:$B$1946)</f>
        <v>Homeownership</v>
      </c>
      <c r="D767" s="22" cm="1">
        <f t="array" ref="D767">_xlfn.XLOOKUP(1,
  (pivot!$A$2:$A$1946=endirim!B767) * (pivot!$C$2:$C$1946 = _xlfn.MAXIFS(pivot!$C$2:$C$1946, pivot!$A$2:$A$1946, endirim!B767)),
  pivot!$D$2:$D$1946)</f>
        <v>13</v>
      </c>
      <c r="E767" s="3" t="str" cm="1">
        <f t="array" ref="E767">_xlfn.XLOOKUP(1,
    (pivot!$A$2:$A$1946=endirim!B767) * (pivot!$D$2:$D$1946 = _xlfn.MAXIFS(pivot!$D$2:$D$1946, pivot!$A$2:$A$1946, endirim!B767)),
    pivot!$B$2:$B$1946)</f>
        <v>NewCellphoneUser</v>
      </c>
      <c r="F767" s="22">
        <f>_xlfn.MAXIFS(pivot!$D$2:$D$1946, pivot!$A$2:$A$1946, endirim!B767)</f>
        <v>25</v>
      </c>
      <c r="G767" s="3" t="str">
        <f t="shared" si="11"/>
        <v>NewCellphoneUser Kompaniyasını 20% endirimlə təklif et</v>
      </c>
    </row>
    <row r="768" spans="2:7" x14ac:dyDescent="0.3">
      <c r="B768" t="s">
        <v>822</v>
      </c>
      <c r="C768" s="3" t="str" cm="1">
        <f t="array" ref="C768">_xlfn.XLOOKUP(1,(pivot!$A$2:$A$1946=Table3[[#This Row],[Müştəri adı]])*(pivot!$C$2:$C$1946=_xlfn.MAXIFS(pivot!$C$2:$C$1946,pivot!$A$2:$A$1946,Table3[[#This Row],[Müştəri adı]])),pivot!$B$2:$B$1946)</f>
        <v>OwnsMotorcycle</v>
      </c>
      <c r="D768" s="22" cm="1">
        <f t="array" ref="D768">_xlfn.XLOOKUP(1,
  (pivot!$A$2:$A$1946=endirim!B768) * (pivot!$C$2:$C$1946 = _xlfn.MAXIFS(pivot!$C$2:$C$1946, pivot!$A$2:$A$1946, endirim!B768)),
  pivot!$D$2:$D$1946)</f>
        <v>14</v>
      </c>
      <c r="E768" s="3" t="str" cm="1">
        <f t="array" ref="E768">_xlfn.XLOOKUP(1,
    (pivot!$A$2:$A$1946=endirim!B768) * (pivot!$D$2:$D$1946 = _xlfn.MAXIFS(pivot!$D$2:$D$1946, pivot!$A$2:$A$1946, endirim!B768)),
    pivot!$B$2:$B$1946)</f>
        <v>MadeCallToRetentionTeam</v>
      </c>
      <c r="F768" s="22">
        <f>_xlfn.MAXIFS(pivot!$D$2:$D$1946, pivot!$A$2:$A$1946, endirim!B768)</f>
        <v>16</v>
      </c>
      <c r="G768" s="3" t="str">
        <f t="shared" si="11"/>
        <v>MadeCallToRetentionTeam Kompaniyasını 20% endirimlə təklif et</v>
      </c>
    </row>
    <row r="769" spans="2:7" x14ac:dyDescent="0.3">
      <c r="B769" t="s">
        <v>823</v>
      </c>
      <c r="C769" s="3" t="str" cm="1">
        <f t="array" ref="C769">_xlfn.XLOOKUP(1,(pivot!$A$2:$A$1946=Table3[[#This Row],[Müştəri adı]])*(pivot!$C$2:$C$1946=_xlfn.MAXIFS(pivot!$C$2:$C$1946,pivot!$A$2:$A$1946,Table3[[#This Row],[Müştəri adı]])),pivot!$B$2:$B$1946)</f>
        <v>ChildrenInHH</v>
      </c>
      <c r="D769" s="22" cm="1">
        <f t="array" ref="D769">_xlfn.XLOOKUP(1,
  (pivot!$A$2:$A$1946=endirim!B769) * (pivot!$C$2:$C$1946 = _xlfn.MAXIFS(pivot!$C$2:$C$1946, pivot!$A$2:$A$1946, endirim!B769)),
  pivot!$D$2:$D$1946)</f>
        <v>10</v>
      </c>
      <c r="E769" s="3" t="str" cm="1">
        <f t="array" ref="E769">_xlfn.XLOOKUP(1,
    (pivot!$A$2:$A$1946=endirim!B769) * (pivot!$D$2:$D$1946 = _xlfn.MAXIFS(pivot!$D$2:$D$1946, pivot!$A$2:$A$1946, endirim!B769)),
    pivot!$B$2:$B$1946)</f>
        <v>OwnsMotorcycle</v>
      </c>
      <c r="F769" s="22">
        <f>_xlfn.MAXIFS(pivot!$D$2:$D$1946, pivot!$A$2:$A$1946, endirim!B769)</f>
        <v>14</v>
      </c>
      <c r="G769" s="3" t="str">
        <f t="shared" si="11"/>
        <v>OwnsMotorcycle Kompaniyasını 20% endirimlə təklif et</v>
      </c>
    </row>
    <row r="770" spans="2:7" x14ac:dyDescent="0.3">
      <c r="B770" t="s">
        <v>824</v>
      </c>
      <c r="C770" s="3" t="str" cm="1">
        <f t="array" ref="C770">_xlfn.XLOOKUP(1,(pivot!$A$2:$A$1946=Table3[[#This Row],[Müştəri adı]])*(pivot!$C$2:$C$1946=_xlfn.MAXIFS(pivot!$C$2:$C$1946,pivot!$A$2:$A$1946,Table3[[#This Row],[Müştəri adı]])),pivot!$B$2:$B$1946)</f>
        <v>RespondsToMailOffers</v>
      </c>
      <c r="D770" s="22" cm="1">
        <f t="array" ref="D770">_xlfn.XLOOKUP(1,
  (pivot!$A$2:$A$1946=endirim!B770) * (pivot!$C$2:$C$1946 = _xlfn.MAXIFS(pivot!$C$2:$C$1946, pivot!$A$2:$A$1946, endirim!B770)),
  pivot!$D$2:$D$1946)</f>
        <v>27</v>
      </c>
      <c r="E770" s="3" t="str" cm="1">
        <f t="array" ref="E770">_xlfn.XLOOKUP(1,
    (pivot!$A$2:$A$1946=endirim!B770) * (pivot!$D$2:$D$1946 = _xlfn.MAXIFS(pivot!$D$2:$D$1946, pivot!$A$2:$A$1946, endirim!B770)),
    pivot!$B$2:$B$1946)</f>
        <v>RespondsToMailOffers</v>
      </c>
      <c r="F770" s="22">
        <f>_xlfn.MAXIFS(pivot!$D$2:$D$1946, pivot!$A$2:$A$1946, endirim!B770)</f>
        <v>27</v>
      </c>
      <c r="G770" s="3" t="str">
        <f t="shared" si="11"/>
        <v>Təklif yoxdur</v>
      </c>
    </row>
    <row r="771" spans="2:7" x14ac:dyDescent="0.3">
      <c r="B771" t="s">
        <v>825</v>
      </c>
      <c r="C771" s="3" t="str" cm="1">
        <f t="array" ref="C771">_xlfn.XLOOKUP(1,(pivot!$A$2:$A$1946=Table3[[#This Row],[Müştəri adı]])*(pivot!$C$2:$C$1946=_xlfn.MAXIFS(pivot!$C$2:$C$1946,pivot!$A$2:$A$1946,Table3[[#This Row],[Müştəri adı]])),pivot!$B$2:$B$1946)</f>
        <v>BuysViaMailOrder</v>
      </c>
      <c r="D771" s="22" cm="1">
        <f t="array" ref="D771">_xlfn.XLOOKUP(1,
  (pivot!$A$2:$A$1946=endirim!B771) * (pivot!$C$2:$C$1946 = _xlfn.MAXIFS(pivot!$C$2:$C$1946, pivot!$A$2:$A$1946, endirim!B771)),
  pivot!$D$2:$D$1946)</f>
        <v>25</v>
      </c>
      <c r="E771" s="3" t="str" cm="1">
        <f t="array" ref="E771">_xlfn.XLOOKUP(1,
    (pivot!$A$2:$A$1946=endirim!B771) * (pivot!$D$2:$D$1946 = _xlfn.MAXIFS(pivot!$D$2:$D$1946, pivot!$A$2:$A$1946, endirim!B771)),
    pivot!$B$2:$B$1946)</f>
        <v>HandsetRefurbished</v>
      </c>
      <c r="F771" s="22">
        <f>_xlfn.MAXIFS(pivot!$D$2:$D$1946, pivot!$A$2:$A$1946, endirim!B771)</f>
        <v>26</v>
      </c>
      <c r="G771" s="3" t="str">
        <f t="shared" si="11"/>
        <v>HandsetRefurbished Kompaniyasını 20% endirimlə təklif et</v>
      </c>
    </row>
    <row r="772" spans="2:7" x14ac:dyDescent="0.3">
      <c r="B772" t="s">
        <v>826</v>
      </c>
      <c r="C772" s="3" t="str" cm="1">
        <f t="array" ref="C772">_xlfn.XLOOKUP(1,(pivot!$A$2:$A$1946=Table3[[#This Row],[Müştəri adı]])*(pivot!$C$2:$C$1946=_xlfn.MAXIFS(pivot!$C$2:$C$1946,pivot!$A$2:$A$1946,Table3[[#This Row],[Müştəri adı]])),pivot!$B$2:$B$1946)</f>
        <v>NewCellphoneUser</v>
      </c>
      <c r="D772" s="22" cm="1">
        <f t="array" ref="D772">_xlfn.XLOOKUP(1,
  (pivot!$A$2:$A$1946=endirim!B772) * (pivot!$C$2:$C$1946 = _xlfn.MAXIFS(pivot!$C$2:$C$1946, pivot!$A$2:$A$1946, endirim!B772)),
  pivot!$D$2:$D$1946)</f>
        <v>25</v>
      </c>
      <c r="E772" s="3" t="str" cm="1">
        <f t="array" ref="E772">_xlfn.XLOOKUP(1,
    (pivot!$A$2:$A$1946=endirim!B772) * (pivot!$D$2:$D$1946 = _xlfn.MAXIFS(pivot!$D$2:$D$1946, pivot!$A$2:$A$1946, endirim!B772)),
    pivot!$B$2:$B$1946)</f>
        <v>NewCellphoneUser</v>
      </c>
      <c r="F772" s="22">
        <f>_xlfn.MAXIFS(pivot!$D$2:$D$1946, pivot!$A$2:$A$1946, endirim!B772)</f>
        <v>25</v>
      </c>
      <c r="G772" s="3" t="str">
        <f t="shared" ref="G772:G835" si="12">IF(D772=F772, "Təklif yoxdur", E772&amp;" Kompaniyasını 20% endirimlə təklif et")</f>
        <v>Təklif yoxdur</v>
      </c>
    </row>
    <row r="773" spans="2:7" x14ac:dyDescent="0.3">
      <c r="B773" t="s">
        <v>827</v>
      </c>
      <c r="C773" s="3" t="str" cm="1">
        <f t="array" ref="C773">_xlfn.XLOOKUP(1,(pivot!$A$2:$A$1946=Table3[[#This Row],[Müştəri adı]])*(pivot!$C$2:$C$1946=_xlfn.MAXIFS(pivot!$C$2:$C$1946,pivot!$A$2:$A$1946,Table3[[#This Row],[Müştəri adı]])),pivot!$B$2:$B$1946)</f>
        <v>OwnsMotorcycle</v>
      </c>
      <c r="D773" s="22" cm="1">
        <f t="array" ref="D773">_xlfn.XLOOKUP(1,
  (pivot!$A$2:$A$1946=endirim!B773) * (pivot!$C$2:$C$1946 = _xlfn.MAXIFS(pivot!$C$2:$C$1946, pivot!$A$2:$A$1946, endirim!B773)),
  pivot!$D$2:$D$1946)</f>
        <v>14</v>
      </c>
      <c r="E773" s="3" t="str" cm="1">
        <f t="array" ref="E773">_xlfn.XLOOKUP(1,
    (pivot!$A$2:$A$1946=endirim!B773) * (pivot!$D$2:$D$1946 = _xlfn.MAXIFS(pivot!$D$2:$D$1946, pivot!$A$2:$A$1946, endirim!B773)),
    pivot!$B$2:$B$1946)</f>
        <v>OwnsComputer</v>
      </c>
      <c r="F773" s="22">
        <f>_xlfn.MAXIFS(pivot!$D$2:$D$1946, pivot!$A$2:$A$1946, endirim!B773)</f>
        <v>62</v>
      </c>
      <c r="G773" s="3" t="str">
        <f t="shared" si="12"/>
        <v>OwnsComputer Kompaniyasını 20% endirimlə təklif et</v>
      </c>
    </row>
    <row r="774" spans="2:7" x14ac:dyDescent="0.3">
      <c r="B774" t="s">
        <v>828</v>
      </c>
      <c r="C774" s="3" t="str" cm="1">
        <f t="array" ref="C774">_xlfn.XLOOKUP(1,(pivot!$A$2:$A$1946=Table3[[#This Row],[Müştəri adı]])*(pivot!$C$2:$C$1946=_xlfn.MAXIFS(pivot!$C$2:$C$1946,pivot!$A$2:$A$1946,Table3[[#This Row],[Müştəri adı]])),pivot!$B$2:$B$1946)</f>
        <v>ChildrenInHH</v>
      </c>
      <c r="D774" s="22" cm="1">
        <f t="array" ref="D774">_xlfn.XLOOKUP(1,
  (pivot!$A$2:$A$1946=endirim!B774) * (pivot!$C$2:$C$1946 = _xlfn.MAXIFS(pivot!$C$2:$C$1946, pivot!$A$2:$A$1946, endirim!B774)),
  pivot!$D$2:$D$1946)</f>
        <v>10</v>
      </c>
      <c r="E774" s="3" t="str" cm="1">
        <f t="array" ref="E774">_xlfn.XLOOKUP(1,
    (pivot!$A$2:$A$1946=endirim!B774) * (pivot!$D$2:$D$1946 = _xlfn.MAXIFS(pivot!$D$2:$D$1946, pivot!$A$2:$A$1946, endirim!B774)),
    pivot!$B$2:$B$1946)</f>
        <v>OptOutMailings</v>
      </c>
      <c r="F774" s="22">
        <f>_xlfn.MAXIFS(pivot!$D$2:$D$1946, pivot!$A$2:$A$1946, endirim!B774)</f>
        <v>75</v>
      </c>
      <c r="G774" s="3" t="str">
        <f t="shared" si="12"/>
        <v>OptOutMailings Kompaniyasını 20% endirimlə təklif et</v>
      </c>
    </row>
    <row r="775" spans="2:7" x14ac:dyDescent="0.3">
      <c r="B775" t="s">
        <v>829</v>
      </c>
      <c r="C775" s="3" t="str" cm="1">
        <f t="array" ref="C775">_xlfn.XLOOKUP(1,(pivot!$A$2:$A$1946=Table3[[#This Row],[Müştəri adı]])*(pivot!$C$2:$C$1946=_xlfn.MAXIFS(pivot!$C$2:$C$1946,pivot!$A$2:$A$1946,Table3[[#This Row],[Müştəri adı]])),pivot!$B$2:$B$1946)</f>
        <v>HasCreditCard</v>
      </c>
      <c r="D775" s="22" cm="1">
        <f t="array" ref="D775">_xlfn.XLOOKUP(1,
  (pivot!$A$2:$A$1946=endirim!B775) * (pivot!$C$2:$C$1946 = _xlfn.MAXIFS(pivot!$C$2:$C$1946, pivot!$A$2:$A$1946, endirim!B775)),
  pivot!$D$2:$D$1946)</f>
        <v>65</v>
      </c>
      <c r="E775" s="3" t="str" cm="1">
        <f t="array" ref="E775">_xlfn.XLOOKUP(1,
    (pivot!$A$2:$A$1946=endirim!B775) * (pivot!$D$2:$D$1946 = _xlfn.MAXIFS(pivot!$D$2:$D$1946, pivot!$A$2:$A$1946, endirim!B775)),
    pivot!$B$2:$B$1946)</f>
        <v>HasCreditCard</v>
      </c>
      <c r="F775" s="22">
        <f>_xlfn.MAXIFS(pivot!$D$2:$D$1946, pivot!$A$2:$A$1946, endirim!B775)</f>
        <v>65</v>
      </c>
      <c r="G775" s="3" t="str">
        <f t="shared" si="12"/>
        <v>Təklif yoxdur</v>
      </c>
    </row>
    <row r="776" spans="2:7" x14ac:dyDescent="0.3">
      <c r="B776" t="s">
        <v>830</v>
      </c>
      <c r="C776" s="3" t="str" cm="1">
        <f t="array" ref="C776">_xlfn.XLOOKUP(1,(pivot!$A$2:$A$1946=Table3[[#This Row],[Müştəri adı]])*(pivot!$C$2:$C$1946=_xlfn.MAXIFS(pivot!$C$2:$C$1946,pivot!$A$2:$A$1946,Table3[[#This Row],[Müştəri adı]])),pivot!$B$2:$B$1946)</f>
        <v>TruckOwner</v>
      </c>
      <c r="D776" s="22" cm="1">
        <f t="array" ref="D776">_xlfn.XLOOKUP(1,
  (pivot!$A$2:$A$1946=endirim!B776) * (pivot!$C$2:$C$1946 = _xlfn.MAXIFS(pivot!$C$2:$C$1946, pivot!$A$2:$A$1946, endirim!B776)),
  pivot!$D$2:$D$1946)</f>
        <v>26</v>
      </c>
      <c r="E776" s="3" t="str" cm="1">
        <f t="array" ref="E776">_xlfn.XLOOKUP(1,
    (pivot!$A$2:$A$1946=endirim!B776) * (pivot!$D$2:$D$1946 = _xlfn.MAXIFS(pivot!$D$2:$D$1946, pivot!$A$2:$A$1946, endirim!B776)),
    pivot!$B$2:$B$1946)</f>
        <v>HasCreditCard</v>
      </c>
      <c r="F776" s="22">
        <f>_xlfn.MAXIFS(pivot!$D$2:$D$1946, pivot!$A$2:$A$1946, endirim!B776)</f>
        <v>65</v>
      </c>
      <c r="G776" s="3" t="str">
        <f t="shared" si="12"/>
        <v>HasCreditCard Kompaniyasını 20% endirimlə təklif et</v>
      </c>
    </row>
    <row r="777" spans="2:7" x14ac:dyDescent="0.3">
      <c r="B777" t="s">
        <v>831</v>
      </c>
      <c r="C777" s="3" t="str" cm="1">
        <f t="array" ref="C777">_xlfn.XLOOKUP(1,(pivot!$A$2:$A$1946=Table3[[#This Row],[Müştəri adı]])*(pivot!$C$2:$C$1946=_xlfn.MAXIFS(pivot!$C$2:$C$1946,pivot!$A$2:$A$1946,Table3[[#This Row],[Müştəri adı]])),pivot!$B$2:$B$1946)</f>
        <v>HandsetRefurbished</v>
      </c>
      <c r="D777" s="22" cm="1">
        <f t="array" ref="D777">_xlfn.XLOOKUP(1,
  (pivot!$A$2:$A$1946=endirim!B777) * (pivot!$C$2:$C$1946 = _xlfn.MAXIFS(pivot!$C$2:$C$1946, pivot!$A$2:$A$1946, endirim!B777)),
  pivot!$D$2:$D$1946)</f>
        <v>26</v>
      </c>
      <c r="E777" s="3" t="str" cm="1">
        <f t="array" ref="E777">_xlfn.XLOOKUP(1,
    (pivot!$A$2:$A$1946=endirim!B777) * (pivot!$D$2:$D$1946 = _xlfn.MAXIFS(pivot!$D$2:$D$1946, pivot!$A$2:$A$1946, endirim!B777)),
    pivot!$B$2:$B$1946)</f>
        <v>HasCreditCard</v>
      </c>
      <c r="F777" s="22">
        <f>_xlfn.MAXIFS(pivot!$D$2:$D$1946, pivot!$A$2:$A$1946, endirim!B777)</f>
        <v>65</v>
      </c>
      <c r="G777" s="3" t="str">
        <f t="shared" si="12"/>
        <v>HasCreditCard Kompaniyasını 20% endirimlə təklif et</v>
      </c>
    </row>
    <row r="778" spans="2:7" x14ac:dyDescent="0.3">
      <c r="B778" t="s">
        <v>832</v>
      </c>
      <c r="C778" s="3" t="str" cm="1">
        <f t="array" ref="C778">_xlfn.XLOOKUP(1,(pivot!$A$2:$A$1946=Table3[[#This Row],[Müştəri adı]])*(pivot!$C$2:$C$1946=_xlfn.MAXIFS(pivot!$C$2:$C$1946,pivot!$A$2:$A$1946,Table3[[#This Row],[Müştəri adı]])),pivot!$B$2:$B$1946)</f>
        <v>HasCreditCard</v>
      </c>
      <c r="D778" s="22" cm="1">
        <f t="array" ref="D778">_xlfn.XLOOKUP(1,
  (pivot!$A$2:$A$1946=endirim!B778) * (pivot!$C$2:$C$1946 = _xlfn.MAXIFS(pivot!$C$2:$C$1946, pivot!$A$2:$A$1946, endirim!B778)),
  pivot!$D$2:$D$1946)</f>
        <v>65</v>
      </c>
      <c r="E778" s="3" t="str" cm="1">
        <f t="array" ref="E778">_xlfn.XLOOKUP(1,
    (pivot!$A$2:$A$1946=endirim!B778) * (pivot!$D$2:$D$1946 = _xlfn.MAXIFS(pivot!$D$2:$D$1946, pivot!$A$2:$A$1946, endirim!B778)),
    pivot!$B$2:$B$1946)</f>
        <v>HasCreditCard</v>
      </c>
      <c r="F778" s="22">
        <f>_xlfn.MAXIFS(pivot!$D$2:$D$1946, pivot!$A$2:$A$1946, endirim!B778)</f>
        <v>65</v>
      </c>
      <c r="G778" s="3" t="str">
        <f t="shared" si="12"/>
        <v>Təklif yoxdur</v>
      </c>
    </row>
    <row r="779" spans="2:7" x14ac:dyDescent="0.3">
      <c r="B779" t="s">
        <v>833</v>
      </c>
      <c r="C779" s="3" t="str" cm="1">
        <f t="array" ref="C779">_xlfn.XLOOKUP(1,(pivot!$A$2:$A$1946=Table3[[#This Row],[Müştəri adı]])*(pivot!$C$2:$C$1946=_xlfn.MAXIFS(pivot!$C$2:$C$1946,pivot!$A$2:$A$1946,Table3[[#This Row],[Müştəri adı]])),pivot!$B$2:$B$1946)</f>
        <v>ChildrenInHH</v>
      </c>
      <c r="D779" s="22" cm="1">
        <f t="array" ref="D779">_xlfn.XLOOKUP(1,
  (pivot!$A$2:$A$1946=endirim!B779) * (pivot!$C$2:$C$1946 = _xlfn.MAXIFS(pivot!$C$2:$C$1946, pivot!$A$2:$A$1946, endirim!B779)),
  pivot!$D$2:$D$1946)</f>
        <v>10</v>
      </c>
      <c r="E779" s="3" t="str" cm="1">
        <f t="array" ref="E779">_xlfn.XLOOKUP(1,
    (pivot!$A$2:$A$1946=endirim!B779) * (pivot!$D$2:$D$1946 = _xlfn.MAXIFS(pivot!$D$2:$D$1946, pivot!$A$2:$A$1946, endirim!B779)),
    pivot!$B$2:$B$1946)</f>
        <v>HandsetRefurbished</v>
      </c>
      <c r="F779" s="22">
        <f>_xlfn.MAXIFS(pivot!$D$2:$D$1946, pivot!$A$2:$A$1946, endirim!B779)</f>
        <v>26</v>
      </c>
      <c r="G779" s="3" t="str">
        <f t="shared" si="12"/>
        <v>HandsetRefurbished Kompaniyasını 20% endirimlə təklif et</v>
      </c>
    </row>
    <row r="780" spans="2:7" x14ac:dyDescent="0.3">
      <c r="B780" t="s">
        <v>834</v>
      </c>
      <c r="C780" s="3" t="str" cm="1">
        <f t="array" ref="C780">_xlfn.XLOOKUP(1,(pivot!$A$2:$A$1946=Table3[[#This Row],[Müştəri adı]])*(pivot!$C$2:$C$1946=_xlfn.MAXIFS(pivot!$C$2:$C$1946,pivot!$A$2:$A$1946,Table3[[#This Row],[Müştəri adı]])),pivot!$B$2:$B$1946)</f>
        <v>TruckOwner</v>
      </c>
      <c r="D780" s="22" cm="1">
        <f t="array" ref="D780">_xlfn.XLOOKUP(1,
  (pivot!$A$2:$A$1946=endirim!B780) * (pivot!$C$2:$C$1946 = _xlfn.MAXIFS(pivot!$C$2:$C$1946, pivot!$A$2:$A$1946, endirim!B780)),
  pivot!$D$2:$D$1946)</f>
        <v>26</v>
      </c>
      <c r="E780" s="3" t="str" cm="1">
        <f t="array" ref="E780">_xlfn.XLOOKUP(1,
    (pivot!$A$2:$A$1946=endirim!B780) * (pivot!$D$2:$D$1946 = _xlfn.MAXIFS(pivot!$D$2:$D$1946, pivot!$A$2:$A$1946, endirim!B780)),
    pivot!$B$2:$B$1946)</f>
        <v>MaritalStatus</v>
      </c>
      <c r="F780" s="22">
        <f>_xlfn.MAXIFS(pivot!$D$2:$D$1946, pivot!$A$2:$A$1946, endirim!B780)</f>
        <v>29</v>
      </c>
      <c r="G780" s="3" t="str">
        <f t="shared" si="12"/>
        <v>MaritalStatus Kompaniyasını 20% endirimlə təklif et</v>
      </c>
    </row>
    <row r="781" spans="2:7" x14ac:dyDescent="0.3">
      <c r="B781" t="s">
        <v>835</v>
      </c>
      <c r="C781" s="3" t="str" cm="1">
        <f t="array" ref="C781">_xlfn.XLOOKUP(1,(pivot!$A$2:$A$1946=Table3[[#This Row],[Müştəri adı]])*(pivot!$C$2:$C$1946=_xlfn.MAXIFS(pivot!$C$2:$C$1946,pivot!$A$2:$A$1946,Table3[[#This Row],[Müştəri adı]])),pivot!$B$2:$B$1946)</f>
        <v>OwnsMotorcycle</v>
      </c>
      <c r="D781" s="22" cm="1">
        <f t="array" ref="D781">_xlfn.XLOOKUP(1,
  (pivot!$A$2:$A$1946=endirim!B781) * (pivot!$C$2:$C$1946 = _xlfn.MAXIFS(pivot!$C$2:$C$1946, pivot!$A$2:$A$1946, endirim!B781)),
  pivot!$D$2:$D$1946)</f>
        <v>14</v>
      </c>
      <c r="E781" s="3" t="str" cm="1">
        <f t="array" ref="E781">_xlfn.XLOOKUP(1,
    (pivot!$A$2:$A$1946=endirim!B781) * (pivot!$D$2:$D$1946 = _xlfn.MAXIFS(pivot!$D$2:$D$1946, pivot!$A$2:$A$1946, endirim!B781)),
    pivot!$B$2:$B$1946)</f>
        <v>NonUSTravel</v>
      </c>
      <c r="F781" s="22">
        <f>_xlfn.MAXIFS(pivot!$D$2:$D$1946, pivot!$A$2:$A$1946, endirim!B781)</f>
        <v>66</v>
      </c>
      <c r="G781" s="3" t="str">
        <f t="shared" si="12"/>
        <v>NonUSTravel Kompaniyasını 20% endirimlə təklif et</v>
      </c>
    </row>
    <row r="782" spans="2:7" x14ac:dyDescent="0.3">
      <c r="B782" t="s">
        <v>836</v>
      </c>
      <c r="C782" s="3" t="str" cm="1">
        <f t="array" ref="C782">_xlfn.XLOOKUP(1,(pivot!$A$2:$A$1946=Table3[[#This Row],[Müştəri adı]])*(pivot!$C$2:$C$1946=_xlfn.MAXIFS(pivot!$C$2:$C$1946,pivot!$A$2:$A$1946,Table3[[#This Row],[Müştəri adı]])),pivot!$B$2:$B$1946)</f>
        <v>HandsetWebCapable</v>
      </c>
      <c r="D782" s="22" cm="1">
        <f t="array" ref="D782">_xlfn.XLOOKUP(1,
  (pivot!$A$2:$A$1946=endirim!B782) * (pivot!$C$2:$C$1946 = _xlfn.MAXIFS(pivot!$C$2:$C$1946, pivot!$A$2:$A$1946, endirim!B782)),
  pivot!$D$2:$D$1946)</f>
        <v>62</v>
      </c>
      <c r="E782" s="3" t="str" cm="1">
        <f t="array" ref="E782">_xlfn.XLOOKUP(1,
    (pivot!$A$2:$A$1946=endirim!B782) * (pivot!$D$2:$D$1946 = _xlfn.MAXIFS(pivot!$D$2:$D$1946, pivot!$A$2:$A$1946, endirim!B782)),
    pivot!$B$2:$B$1946)</f>
        <v>HandsetWebCapable</v>
      </c>
      <c r="F782" s="22">
        <f>_xlfn.MAXIFS(pivot!$D$2:$D$1946, pivot!$A$2:$A$1946, endirim!B782)</f>
        <v>62</v>
      </c>
      <c r="G782" s="3" t="str">
        <f t="shared" si="12"/>
        <v>Təklif yoxdur</v>
      </c>
    </row>
    <row r="783" spans="2:7" x14ac:dyDescent="0.3">
      <c r="B783" t="s">
        <v>837</v>
      </c>
      <c r="C783" s="3" t="str" cm="1">
        <f t="array" ref="C783">_xlfn.XLOOKUP(1,(pivot!$A$2:$A$1946=Table3[[#This Row],[Müştəri adı]])*(pivot!$C$2:$C$1946=_xlfn.MAXIFS(pivot!$C$2:$C$1946,pivot!$A$2:$A$1946,Table3[[#This Row],[Müştəri adı]])),pivot!$B$2:$B$1946)</f>
        <v>BuysViaMailOrder</v>
      </c>
      <c r="D783" s="22" cm="1">
        <f t="array" ref="D783">_xlfn.XLOOKUP(1,
  (pivot!$A$2:$A$1946=endirim!B783) * (pivot!$C$2:$C$1946 = _xlfn.MAXIFS(pivot!$C$2:$C$1946, pivot!$A$2:$A$1946, endirim!B783)),
  pivot!$D$2:$D$1946)</f>
        <v>25</v>
      </c>
      <c r="E783" s="3" t="str" cm="1">
        <f t="array" ref="E783">_xlfn.XLOOKUP(1,
    (pivot!$A$2:$A$1946=endirim!B783) * (pivot!$D$2:$D$1946 = _xlfn.MAXIFS(pivot!$D$2:$D$1946, pivot!$A$2:$A$1946, endirim!B783)),
    pivot!$B$2:$B$1946)</f>
        <v>OptOutMailings</v>
      </c>
      <c r="F783" s="22">
        <f>_xlfn.MAXIFS(pivot!$D$2:$D$1946, pivot!$A$2:$A$1946, endirim!B783)</f>
        <v>75</v>
      </c>
      <c r="G783" s="3" t="str">
        <f t="shared" si="12"/>
        <v>OptOutMailings Kompaniyasını 20% endirimlə təklif et</v>
      </c>
    </row>
    <row r="784" spans="2:7" x14ac:dyDescent="0.3">
      <c r="B784" t="s">
        <v>838</v>
      </c>
      <c r="C784" s="3" t="str" cm="1">
        <f t="array" ref="C784">_xlfn.XLOOKUP(1,(pivot!$A$2:$A$1946=Table3[[#This Row],[Müştəri adı]])*(pivot!$C$2:$C$1946=_xlfn.MAXIFS(pivot!$C$2:$C$1946,pivot!$A$2:$A$1946,Table3[[#This Row],[Müştəri adı]])),pivot!$B$2:$B$1946)</f>
        <v>HandsetRefurbished</v>
      </c>
      <c r="D784" s="22" cm="1">
        <f t="array" ref="D784">_xlfn.XLOOKUP(1,
  (pivot!$A$2:$A$1946=endirim!B784) * (pivot!$C$2:$C$1946 = _xlfn.MAXIFS(pivot!$C$2:$C$1946, pivot!$A$2:$A$1946, endirim!B784)),
  pivot!$D$2:$D$1946)</f>
        <v>26</v>
      </c>
      <c r="E784" s="3" t="str" cm="1">
        <f t="array" ref="E784">_xlfn.XLOOKUP(1,
    (pivot!$A$2:$A$1946=endirim!B784) * (pivot!$D$2:$D$1946 = _xlfn.MAXIFS(pivot!$D$2:$D$1946, pivot!$A$2:$A$1946, endirim!B784)),
    pivot!$B$2:$B$1946)</f>
        <v>OwnsComputer</v>
      </c>
      <c r="F784" s="22">
        <f>_xlfn.MAXIFS(pivot!$D$2:$D$1946, pivot!$A$2:$A$1946, endirim!B784)</f>
        <v>62</v>
      </c>
      <c r="G784" s="3" t="str">
        <f t="shared" si="12"/>
        <v>OwnsComputer Kompaniyasını 20% endirimlə təklif et</v>
      </c>
    </row>
    <row r="785" spans="2:7" x14ac:dyDescent="0.3">
      <c r="B785" t="s">
        <v>839</v>
      </c>
      <c r="C785" s="3" t="str" cm="1">
        <f t="array" ref="C785">_xlfn.XLOOKUP(1,(pivot!$A$2:$A$1946=Table3[[#This Row],[Müştəri adı]])*(pivot!$C$2:$C$1946=_xlfn.MAXIFS(pivot!$C$2:$C$1946,pivot!$A$2:$A$1946,Table3[[#This Row],[Müştəri adı]])),pivot!$B$2:$B$1946)</f>
        <v>BuysViaMailOrder</v>
      </c>
      <c r="D785" s="22" cm="1">
        <f t="array" ref="D785">_xlfn.XLOOKUP(1,
  (pivot!$A$2:$A$1946=endirim!B785) * (pivot!$C$2:$C$1946 = _xlfn.MAXIFS(pivot!$C$2:$C$1946, pivot!$A$2:$A$1946, endirim!B785)),
  pivot!$D$2:$D$1946)</f>
        <v>25</v>
      </c>
      <c r="E785" s="3" t="str" cm="1">
        <f t="array" ref="E785">_xlfn.XLOOKUP(1,
    (pivot!$A$2:$A$1946=endirim!B785) * (pivot!$D$2:$D$1946 = _xlfn.MAXIFS(pivot!$D$2:$D$1946, pivot!$A$2:$A$1946, endirim!B785)),
    pivot!$B$2:$B$1946)</f>
        <v>NotNewCellphoneUser</v>
      </c>
      <c r="F785" s="22">
        <f>_xlfn.MAXIFS(pivot!$D$2:$D$1946, pivot!$A$2:$A$1946, endirim!B785)</f>
        <v>28</v>
      </c>
      <c r="G785" s="3" t="str">
        <f t="shared" si="12"/>
        <v>NotNewCellphoneUser Kompaniyasını 20% endirimlə təklif et</v>
      </c>
    </row>
    <row r="786" spans="2:7" x14ac:dyDescent="0.3">
      <c r="B786" t="s">
        <v>840</v>
      </c>
      <c r="C786" s="3" t="str" cm="1">
        <f t="array" ref="C786">_xlfn.XLOOKUP(1,(pivot!$A$2:$A$1946=Table3[[#This Row],[Müştəri adı]])*(pivot!$C$2:$C$1946=_xlfn.MAXIFS(pivot!$C$2:$C$1946,pivot!$A$2:$A$1946,Table3[[#This Row],[Müştəri adı]])),pivot!$B$2:$B$1946)</f>
        <v>MaritalStatus</v>
      </c>
      <c r="D786" s="22" cm="1">
        <f t="array" ref="D786">_xlfn.XLOOKUP(1,
  (pivot!$A$2:$A$1946=endirim!B786) * (pivot!$C$2:$C$1946 = _xlfn.MAXIFS(pivot!$C$2:$C$1946, pivot!$A$2:$A$1946, endirim!B786)),
  pivot!$D$2:$D$1946)</f>
        <v>29</v>
      </c>
      <c r="E786" s="3" t="str" cm="1">
        <f t="array" ref="E786">_xlfn.XLOOKUP(1,
    (pivot!$A$2:$A$1946=endirim!B786) * (pivot!$D$2:$D$1946 = _xlfn.MAXIFS(pivot!$D$2:$D$1946, pivot!$A$2:$A$1946, endirim!B786)),
    pivot!$B$2:$B$1946)</f>
        <v>MaritalStatus</v>
      </c>
      <c r="F786" s="22">
        <f>_xlfn.MAXIFS(pivot!$D$2:$D$1946, pivot!$A$2:$A$1946, endirim!B786)</f>
        <v>29</v>
      </c>
      <c r="G786" s="3" t="str">
        <f t="shared" si="12"/>
        <v>Təklif yoxdur</v>
      </c>
    </row>
    <row r="787" spans="2:7" x14ac:dyDescent="0.3">
      <c r="B787" t="s">
        <v>841</v>
      </c>
      <c r="C787" s="3" t="str" cm="1">
        <f t="array" ref="C787">_xlfn.XLOOKUP(1,(pivot!$A$2:$A$1946=Table3[[#This Row],[Müştəri adı]])*(pivot!$C$2:$C$1946=_xlfn.MAXIFS(pivot!$C$2:$C$1946,pivot!$A$2:$A$1946,Table3[[#This Row],[Müştəri adı]])),pivot!$B$2:$B$1946)</f>
        <v>OwnsComputer</v>
      </c>
      <c r="D787" s="22" cm="1">
        <f t="array" ref="D787">_xlfn.XLOOKUP(1,
  (pivot!$A$2:$A$1946=endirim!B787) * (pivot!$C$2:$C$1946 = _xlfn.MAXIFS(pivot!$C$2:$C$1946, pivot!$A$2:$A$1946, endirim!B787)),
  pivot!$D$2:$D$1946)</f>
        <v>62</v>
      </c>
      <c r="E787" s="3" t="str" cm="1">
        <f t="array" ref="E787">_xlfn.XLOOKUP(1,
    (pivot!$A$2:$A$1946=endirim!B787) * (pivot!$D$2:$D$1946 = _xlfn.MAXIFS(pivot!$D$2:$D$1946, pivot!$A$2:$A$1946, endirim!B787)),
    pivot!$B$2:$B$1946)</f>
        <v>NonUSTravel</v>
      </c>
      <c r="F787" s="22">
        <f>_xlfn.MAXIFS(pivot!$D$2:$D$1946, pivot!$A$2:$A$1946, endirim!B787)</f>
        <v>66</v>
      </c>
      <c r="G787" s="3" t="str">
        <f t="shared" si="12"/>
        <v>NonUSTravel Kompaniyasını 20% endirimlə təklif et</v>
      </c>
    </row>
    <row r="788" spans="2:7" x14ac:dyDescent="0.3">
      <c r="B788" t="s">
        <v>842</v>
      </c>
      <c r="C788" s="3" t="str" cm="1">
        <f t="array" ref="C788">_xlfn.XLOOKUP(1,(pivot!$A$2:$A$1946=Table3[[#This Row],[Müştəri adı]])*(pivot!$C$2:$C$1946=_xlfn.MAXIFS(pivot!$C$2:$C$1946,pivot!$A$2:$A$1946,Table3[[#This Row],[Müştəri adı]])),pivot!$B$2:$B$1946)</f>
        <v>HandsetWebCapable</v>
      </c>
      <c r="D788" s="22" cm="1">
        <f t="array" ref="D788">_xlfn.XLOOKUP(1,
  (pivot!$A$2:$A$1946=endirim!B788) * (pivot!$C$2:$C$1946 = _xlfn.MAXIFS(pivot!$C$2:$C$1946, pivot!$A$2:$A$1946, endirim!B788)),
  pivot!$D$2:$D$1946)</f>
        <v>62</v>
      </c>
      <c r="E788" s="3" t="str" cm="1">
        <f t="array" ref="E788">_xlfn.XLOOKUP(1,
    (pivot!$A$2:$A$1946=endirim!B788) * (pivot!$D$2:$D$1946 = _xlfn.MAXIFS(pivot!$D$2:$D$1946, pivot!$A$2:$A$1946, endirim!B788)),
    pivot!$B$2:$B$1946)</f>
        <v>HandsetWebCapable</v>
      </c>
      <c r="F788" s="22">
        <f>_xlfn.MAXIFS(pivot!$D$2:$D$1946, pivot!$A$2:$A$1946, endirim!B788)</f>
        <v>62</v>
      </c>
      <c r="G788" s="3" t="str">
        <f t="shared" si="12"/>
        <v>Təklif yoxdur</v>
      </c>
    </row>
    <row r="789" spans="2:7" x14ac:dyDescent="0.3">
      <c r="B789" t="s">
        <v>843</v>
      </c>
      <c r="C789" s="3" t="str" cm="1">
        <f t="array" ref="C789">_xlfn.XLOOKUP(1,(pivot!$A$2:$A$1946=Table3[[#This Row],[Müştəri adı]])*(pivot!$C$2:$C$1946=_xlfn.MAXIFS(pivot!$C$2:$C$1946,pivot!$A$2:$A$1946,Table3[[#This Row],[Müştəri adı]])),pivot!$B$2:$B$1946)</f>
        <v>RVOwner</v>
      </c>
      <c r="D789" s="22" cm="1">
        <f t="array" ref="D789">_xlfn.XLOOKUP(1,
  (pivot!$A$2:$A$1946=endirim!B789) * (pivot!$C$2:$C$1946 = _xlfn.MAXIFS(pivot!$C$2:$C$1946, pivot!$A$2:$A$1946, endirim!B789)),
  pivot!$D$2:$D$1946)</f>
        <v>22</v>
      </c>
      <c r="E789" s="3" t="str" cm="1">
        <f t="array" ref="E789">_xlfn.XLOOKUP(1,
    (pivot!$A$2:$A$1946=endirim!B789) * (pivot!$D$2:$D$1946 = _xlfn.MAXIFS(pivot!$D$2:$D$1946, pivot!$A$2:$A$1946, endirim!B789)),
    pivot!$B$2:$B$1946)</f>
        <v>OwnsComputer</v>
      </c>
      <c r="F789" s="22">
        <f>_xlfn.MAXIFS(pivot!$D$2:$D$1946, pivot!$A$2:$A$1946, endirim!B789)</f>
        <v>62</v>
      </c>
      <c r="G789" s="3" t="str">
        <f t="shared" si="12"/>
        <v>OwnsComputer Kompaniyasını 20% endirimlə təklif et</v>
      </c>
    </row>
    <row r="790" spans="2:7" x14ac:dyDescent="0.3">
      <c r="B790" t="s">
        <v>844</v>
      </c>
      <c r="C790" s="3" t="str" cm="1">
        <f t="array" ref="C790">_xlfn.XLOOKUP(1,(pivot!$A$2:$A$1946=Table3[[#This Row],[Müştəri adı]])*(pivot!$C$2:$C$1946=_xlfn.MAXIFS(pivot!$C$2:$C$1946,pivot!$A$2:$A$1946,Table3[[#This Row],[Müştəri adı]])),pivot!$B$2:$B$1946)</f>
        <v>TruckOwner</v>
      </c>
      <c r="D790" s="22" cm="1">
        <f t="array" ref="D790">_xlfn.XLOOKUP(1,
  (pivot!$A$2:$A$1946=endirim!B790) * (pivot!$C$2:$C$1946 = _xlfn.MAXIFS(pivot!$C$2:$C$1946, pivot!$A$2:$A$1946, endirim!B790)),
  pivot!$D$2:$D$1946)</f>
        <v>26</v>
      </c>
      <c r="E790" s="3" t="str" cm="1">
        <f t="array" ref="E790">_xlfn.XLOOKUP(1,
    (pivot!$A$2:$A$1946=endirim!B790) * (pivot!$D$2:$D$1946 = _xlfn.MAXIFS(pivot!$D$2:$D$1946, pivot!$A$2:$A$1946, endirim!B790)),
    pivot!$B$2:$B$1946)</f>
        <v>RespondsToMailOffers</v>
      </c>
      <c r="F790" s="22">
        <f>_xlfn.MAXIFS(pivot!$D$2:$D$1946, pivot!$A$2:$A$1946, endirim!B790)</f>
        <v>27</v>
      </c>
      <c r="G790" s="3" t="str">
        <f t="shared" si="12"/>
        <v>RespondsToMailOffers Kompaniyasını 20% endirimlə təklif et</v>
      </c>
    </row>
    <row r="791" spans="2:7" x14ac:dyDescent="0.3">
      <c r="B791" t="s">
        <v>845</v>
      </c>
      <c r="C791" s="3" t="str" cm="1">
        <f t="array" ref="C791">_xlfn.XLOOKUP(1,(pivot!$A$2:$A$1946=Table3[[#This Row],[Müştəri adı]])*(pivot!$C$2:$C$1946=_xlfn.MAXIFS(pivot!$C$2:$C$1946,pivot!$A$2:$A$1946,Table3[[#This Row],[Müştəri adı]])),pivot!$B$2:$B$1946)</f>
        <v>ChildrenInHH</v>
      </c>
      <c r="D791" s="22" cm="1">
        <f t="array" ref="D791">_xlfn.XLOOKUP(1,
  (pivot!$A$2:$A$1946=endirim!B791) * (pivot!$C$2:$C$1946 = _xlfn.MAXIFS(pivot!$C$2:$C$1946, pivot!$A$2:$A$1946, endirim!B791)),
  pivot!$D$2:$D$1946)</f>
        <v>10</v>
      </c>
      <c r="E791" s="3" t="str" cm="1">
        <f t="array" ref="E791">_xlfn.XLOOKUP(1,
    (pivot!$A$2:$A$1946=endirim!B791) * (pivot!$D$2:$D$1946 = _xlfn.MAXIFS(pivot!$D$2:$D$1946, pivot!$A$2:$A$1946, endirim!B791)),
    pivot!$B$2:$B$1946)</f>
        <v>MaritalStatus</v>
      </c>
      <c r="F791" s="22">
        <f>_xlfn.MAXIFS(pivot!$D$2:$D$1946, pivot!$A$2:$A$1946, endirim!B791)</f>
        <v>29</v>
      </c>
      <c r="G791" s="3" t="str">
        <f t="shared" si="12"/>
        <v>MaritalStatus Kompaniyasını 20% endirimlə təklif et</v>
      </c>
    </row>
    <row r="792" spans="2:7" x14ac:dyDescent="0.3">
      <c r="B792" t="s">
        <v>846</v>
      </c>
      <c r="C792" s="3" t="str" cm="1">
        <f t="array" ref="C792">_xlfn.XLOOKUP(1,(pivot!$A$2:$A$1946=Table3[[#This Row],[Müştəri adı]])*(pivot!$C$2:$C$1946=_xlfn.MAXIFS(pivot!$C$2:$C$1946,pivot!$A$2:$A$1946,Table3[[#This Row],[Müştəri adı]])),pivot!$B$2:$B$1946)</f>
        <v>HasCreditCard</v>
      </c>
      <c r="D792" s="22" cm="1">
        <f t="array" ref="D792">_xlfn.XLOOKUP(1,
  (pivot!$A$2:$A$1946=endirim!B792) * (pivot!$C$2:$C$1946 = _xlfn.MAXIFS(pivot!$C$2:$C$1946, pivot!$A$2:$A$1946, endirim!B792)),
  pivot!$D$2:$D$1946)</f>
        <v>65</v>
      </c>
      <c r="E792" s="3" t="str" cm="1">
        <f t="array" ref="E792">_xlfn.XLOOKUP(1,
    (pivot!$A$2:$A$1946=endirim!B792) * (pivot!$D$2:$D$1946 = _xlfn.MAXIFS(pivot!$D$2:$D$1946, pivot!$A$2:$A$1946, endirim!B792)),
    pivot!$B$2:$B$1946)</f>
        <v>HasCreditCard</v>
      </c>
      <c r="F792" s="22">
        <f>_xlfn.MAXIFS(pivot!$D$2:$D$1946, pivot!$A$2:$A$1946, endirim!B792)</f>
        <v>65</v>
      </c>
      <c r="G792" s="3" t="str">
        <f t="shared" si="12"/>
        <v>Təklif yoxdur</v>
      </c>
    </row>
    <row r="793" spans="2:7" x14ac:dyDescent="0.3">
      <c r="B793" t="s">
        <v>847</v>
      </c>
      <c r="C793" s="3" t="str" cm="1">
        <f t="array" ref="C793">_xlfn.XLOOKUP(1,(pivot!$A$2:$A$1946=Table3[[#This Row],[Müştəri adı]])*(pivot!$C$2:$C$1946=_xlfn.MAXIFS(pivot!$C$2:$C$1946,pivot!$A$2:$A$1946,Table3[[#This Row],[Müştəri adı]])),pivot!$B$2:$B$1946)</f>
        <v>ChildrenInHH</v>
      </c>
      <c r="D793" s="22" cm="1">
        <f t="array" ref="D793">_xlfn.XLOOKUP(1,
  (pivot!$A$2:$A$1946=endirim!B793) * (pivot!$C$2:$C$1946 = _xlfn.MAXIFS(pivot!$C$2:$C$1946, pivot!$A$2:$A$1946, endirim!B793)),
  pivot!$D$2:$D$1946)</f>
        <v>10</v>
      </c>
      <c r="E793" s="3" t="str" cm="1">
        <f t="array" ref="E793">_xlfn.XLOOKUP(1,
    (pivot!$A$2:$A$1946=endirim!B793) * (pivot!$D$2:$D$1946 = _xlfn.MAXIFS(pivot!$D$2:$D$1946, pivot!$A$2:$A$1946, endirim!B793)),
    pivot!$B$2:$B$1946)</f>
        <v>NewCellphoneUser</v>
      </c>
      <c r="F793" s="22">
        <f>_xlfn.MAXIFS(pivot!$D$2:$D$1946, pivot!$A$2:$A$1946, endirim!B793)</f>
        <v>25</v>
      </c>
      <c r="G793" s="3" t="str">
        <f t="shared" si="12"/>
        <v>NewCellphoneUser Kompaniyasını 20% endirimlə təklif et</v>
      </c>
    </row>
    <row r="794" spans="2:7" x14ac:dyDescent="0.3">
      <c r="B794" t="s">
        <v>848</v>
      </c>
      <c r="C794" s="3" t="str" cm="1">
        <f t="array" ref="C794">_xlfn.XLOOKUP(1,(pivot!$A$2:$A$1946=Table3[[#This Row],[Müştəri adı]])*(pivot!$C$2:$C$1946=_xlfn.MAXIFS(pivot!$C$2:$C$1946,pivot!$A$2:$A$1946,Table3[[#This Row],[Müştəri adı]])),pivot!$B$2:$B$1946)</f>
        <v>NotNewCellphoneUser</v>
      </c>
      <c r="D794" s="22" cm="1">
        <f t="array" ref="D794">_xlfn.XLOOKUP(1,
  (pivot!$A$2:$A$1946=endirim!B794) * (pivot!$C$2:$C$1946 = _xlfn.MAXIFS(pivot!$C$2:$C$1946, pivot!$A$2:$A$1946, endirim!B794)),
  pivot!$D$2:$D$1946)</f>
        <v>28</v>
      </c>
      <c r="E794" s="3" t="str" cm="1">
        <f t="array" ref="E794">_xlfn.XLOOKUP(1,
    (pivot!$A$2:$A$1946=endirim!B794) * (pivot!$D$2:$D$1946 = _xlfn.MAXIFS(pivot!$D$2:$D$1946, pivot!$A$2:$A$1946, endirim!B794)),
    pivot!$B$2:$B$1946)</f>
        <v>OwnsComputer</v>
      </c>
      <c r="F794" s="22">
        <f>_xlfn.MAXIFS(pivot!$D$2:$D$1946, pivot!$A$2:$A$1946, endirim!B794)</f>
        <v>62</v>
      </c>
      <c r="G794" s="3" t="str">
        <f t="shared" si="12"/>
        <v>OwnsComputer Kompaniyasını 20% endirimlə təklif et</v>
      </c>
    </row>
    <row r="795" spans="2:7" x14ac:dyDescent="0.3">
      <c r="B795" t="s">
        <v>849</v>
      </c>
      <c r="C795" s="3" t="str" cm="1">
        <f t="array" ref="C795">_xlfn.XLOOKUP(1,(pivot!$A$2:$A$1946=Table3[[#This Row],[Müştəri adı]])*(pivot!$C$2:$C$1946=_xlfn.MAXIFS(pivot!$C$2:$C$1946,pivot!$A$2:$A$1946,Table3[[#This Row],[Müştəri adı]])),pivot!$B$2:$B$1946)</f>
        <v>NotNewCellphoneUser</v>
      </c>
      <c r="D795" s="22" cm="1">
        <f t="array" ref="D795">_xlfn.XLOOKUP(1,
  (pivot!$A$2:$A$1946=endirim!B795) * (pivot!$C$2:$C$1946 = _xlfn.MAXIFS(pivot!$C$2:$C$1946, pivot!$A$2:$A$1946, endirim!B795)),
  pivot!$D$2:$D$1946)</f>
        <v>28</v>
      </c>
      <c r="E795" s="3" t="str" cm="1">
        <f t="array" ref="E795">_xlfn.XLOOKUP(1,
    (pivot!$A$2:$A$1946=endirim!B795) * (pivot!$D$2:$D$1946 = _xlfn.MAXIFS(pivot!$D$2:$D$1946, pivot!$A$2:$A$1946, endirim!B795)),
    pivot!$B$2:$B$1946)</f>
        <v>NotNewCellphoneUser</v>
      </c>
      <c r="F795" s="22">
        <f>_xlfn.MAXIFS(pivot!$D$2:$D$1946, pivot!$A$2:$A$1946, endirim!B795)</f>
        <v>28</v>
      </c>
      <c r="G795" s="3" t="str">
        <f t="shared" si="12"/>
        <v>Təklif yoxdur</v>
      </c>
    </row>
    <row r="796" spans="2:7" x14ac:dyDescent="0.3">
      <c r="B796" t="s">
        <v>850</v>
      </c>
      <c r="C796" s="3" t="str" cm="1">
        <f t="array" ref="C796">_xlfn.XLOOKUP(1,(pivot!$A$2:$A$1946=Table3[[#This Row],[Müştəri adı]])*(pivot!$C$2:$C$1946=_xlfn.MAXIFS(pivot!$C$2:$C$1946,pivot!$A$2:$A$1946,Table3[[#This Row],[Müştəri adı]])),pivot!$B$2:$B$1946)</f>
        <v>MadeCallToRetentionTeam</v>
      </c>
      <c r="D796" s="22" cm="1">
        <f t="array" ref="D796">_xlfn.XLOOKUP(1,
  (pivot!$A$2:$A$1946=endirim!B796) * (pivot!$C$2:$C$1946 = _xlfn.MAXIFS(pivot!$C$2:$C$1946, pivot!$A$2:$A$1946, endirim!B796)),
  pivot!$D$2:$D$1946)</f>
        <v>16</v>
      </c>
      <c r="E796" s="3" t="str" cm="1">
        <f t="array" ref="E796">_xlfn.XLOOKUP(1,
    (pivot!$A$2:$A$1946=endirim!B796) * (pivot!$D$2:$D$1946 = _xlfn.MAXIFS(pivot!$D$2:$D$1946, pivot!$A$2:$A$1946, endirim!B796)),
    pivot!$B$2:$B$1946)</f>
        <v>BuysViaMailOrder</v>
      </c>
      <c r="F796" s="22">
        <f>_xlfn.MAXIFS(pivot!$D$2:$D$1946, pivot!$A$2:$A$1946, endirim!B796)</f>
        <v>25</v>
      </c>
      <c r="G796" s="3" t="str">
        <f t="shared" si="12"/>
        <v>BuysViaMailOrder Kompaniyasını 20% endirimlə təklif et</v>
      </c>
    </row>
    <row r="797" spans="2:7" x14ac:dyDescent="0.3">
      <c r="B797" t="s">
        <v>851</v>
      </c>
      <c r="C797" s="3" t="str" cm="1">
        <f t="array" ref="C797">_xlfn.XLOOKUP(1,(pivot!$A$2:$A$1946=Table3[[#This Row],[Müştəri adı]])*(pivot!$C$2:$C$1946=_xlfn.MAXIFS(pivot!$C$2:$C$1946,pivot!$A$2:$A$1946,Table3[[#This Row],[Müştəri adı]])),pivot!$B$2:$B$1946)</f>
        <v>NewCellphoneUser</v>
      </c>
      <c r="D797" s="22" cm="1">
        <f t="array" ref="D797">_xlfn.XLOOKUP(1,
  (pivot!$A$2:$A$1946=endirim!B797) * (pivot!$C$2:$C$1946 = _xlfn.MAXIFS(pivot!$C$2:$C$1946, pivot!$A$2:$A$1946, endirim!B797)),
  pivot!$D$2:$D$1946)</f>
        <v>25</v>
      </c>
      <c r="E797" s="3" t="str" cm="1">
        <f t="array" ref="E797">_xlfn.XLOOKUP(1,
    (pivot!$A$2:$A$1946=endirim!B797) * (pivot!$D$2:$D$1946 = _xlfn.MAXIFS(pivot!$D$2:$D$1946, pivot!$A$2:$A$1946, endirim!B797)),
    pivot!$B$2:$B$1946)</f>
        <v>NewCellphoneUser</v>
      </c>
      <c r="F797" s="22">
        <f>_xlfn.MAXIFS(pivot!$D$2:$D$1946, pivot!$A$2:$A$1946, endirim!B797)</f>
        <v>25</v>
      </c>
      <c r="G797" s="3" t="str">
        <f t="shared" si="12"/>
        <v>Təklif yoxdur</v>
      </c>
    </row>
    <row r="798" spans="2:7" x14ac:dyDescent="0.3">
      <c r="B798" t="s">
        <v>852</v>
      </c>
      <c r="C798" s="3" t="str" cm="1">
        <f t="array" ref="C798">_xlfn.XLOOKUP(1,(pivot!$A$2:$A$1946=Table3[[#This Row],[Müştəri adı]])*(pivot!$C$2:$C$1946=_xlfn.MAXIFS(pivot!$C$2:$C$1946,pivot!$A$2:$A$1946,Table3[[#This Row],[Müştəri adı]])),pivot!$B$2:$B$1946)</f>
        <v>HandsetWebCapable</v>
      </c>
      <c r="D798" s="22" cm="1">
        <f t="array" ref="D798">_xlfn.XLOOKUP(1,
  (pivot!$A$2:$A$1946=endirim!B798) * (pivot!$C$2:$C$1946 = _xlfn.MAXIFS(pivot!$C$2:$C$1946, pivot!$A$2:$A$1946, endirim!B798)),
  pivot!$D$2:$D$1946)</f>
        <v>62</v>
      </c>
      <c r="E798" s="3" t="str" cm="1">
        <f t="array" ref="E798">_xlfn.XLOOKUP(1,
    (pivot!$A$2:$A$1946=endirim!B798) * (pivot!$D$2:$D$1946 = _xlfn.MAXIFS(pivot!$D$2:$D$1946, pivot!$A$2:$A$1946, endirim!B798)),
    pivot!$B$2:$B$1946)</f>
        <v>HandsetWebCapable</v>
      </c>
      <c r="F798" s="22">
        <f>_xlfn.MAXIFS(pivot!$D$2:$D$1946, pivot!$A$2:$A$1946, endirim!B798)</f>
        <v>62</v>
      </c>
      <c r="G798" s="3" t="str">
        <f t="shared" si="12"/>
        <v>Təklif yoxdur</v>
      </c>
    </row>
    <row r="799" spans="2:7" x14ac:dyDescent="0.3">
      <c r="B799" t="s">
        <v>853</v>
      </c>
      <c r="C799" s="3" t="str" cm="1">
        <f t="array" ref="C799">_xlfn.XLOOKUP(1,(pivot!$A$2:$A$1946=Table3[[#This Row],[Müştəri adı]])*(pivot!$C$2:$C$1946=_xlfn.MAXIFS(pivot!$C$2:$C$1946,pivot!$A$2:$A$1946,Table3[[#This Row],[Müştəri adı]])),pivot!$B$2:$B$1946)</f>
        <v>OptOutMailings</v>
      </c>
      <c r="D799" s="22" cm="1">
        <f t="array" ref="D799">_xlfn.XLOOKUP(1,
  (pivot!$A$2:$A$1946=endirim!B799) * (pivot!$C$2:$C$1946 = _xlfn.MAXIFS(pivot!$C$2:$C$1946, pivot!$A$2:$A$1946, endirim!B799)),
  pivot!$D$2:$D$1946)</f>
        <v>75</v>
      </c>
      <c r="E799" s="3" t="str" cm="1">
        <f t="array" ref="E799">_xlfn.XLOOKUP(1,
    (pivot!$A$2:$A$1946=endirim!B799) * (pivot!$D$2:$D$1946 = _xlfn.MAXIFS(pivot!$D$2:$D$1946, pivot!$A$2:$A$1946, endirim!B799)),
    pivot!$B$2:$B$1946)</f>
        <v>OptOutMailings</v>
      </c>
      <c r="F799" s="22">
        <f>_xlfn.MAXIFS(pivot!$D$2:$D$1946, pivot!$A$2:$A$1946, endirim!B799)</f>
        <v>75</v>
      </c>
      <c r="G799" s="3" t="str">
        <f t="shared" si="12"/>
        <v>Təklif yoxdur</v>
      </c>
    </row>
    <row r="800" spans="2:7" x14ac:dyDescent="0.3">
      <c r="B800" t="s">
        <v>854</v>
      </c>
      <c r="C800" s="3" t="str" cm="1">
        <f t="array" ref="C800">_xlfn.XLOOKUP(1,(pivot!$A$2:$A$1946=Table3[[#This Row],[Müştəri adı]])*(pivot!$C$2:$C$1946=_xlfn.MAXIFS(pivot!$C$2:$C$1946,pivot!$A$2:$A$1946,Table3[[#This Row],[Müştəri adı]])),pivot!$B$2:$B$1946)</f>
        <v>TruckOwner</v>
      </c>
      <c r="D800" s="22" cm="1">
        <f t="array" ref="D800">_xlfn.XLOOKUP(1,
  (pivot!$A$2:$A$1946=endirim!B800) * (pivot!$C$2:$C$1946 = _xlfn.MAXIFS(pivot!$C$2:$C$1946, pivot!$A$2:$A$1946, endirim!B800)),
  pivot!$D$2:$D$1946)</f>
        <v>26</v>
      </c>
      <c r="E800" s="3" t="str" cm="1">
        <f t="array" ref="E800">_xlfn.XLOOKUP(1,
    (pivot!$A$2:$A$1946=endirim!B800) * (pivot!$D$2:$D$1946 = _xlfn.MAXIFS(pivot!$D$2:$D$1946, pivot!$A$2:$A$1946, endirim!B800)),
    pivot!$B$2:$B$1946)</f>
        <v>NotNewCellphoneUser</v>
      </c>
      <c r="F800" s="22">
        <f>_xlfn.MAXIFS(pivot!$D$2:$D$1946, pivot!$A$2:$A$1946, endirim!B800)</f>
        <v>28</v>
      </c>
      <c r="G800" s="3" t="str">
        <f t="shared" si="12"/>
        <v>NotNewCellphoneUser Kompaniyasını 20% endirimlə təklif et</v>
      </c>
    </row>
    <row r="801" spans="2:7" x14ac:dyDescent="0.3">
      <c r="B801" t="s">
        <v>855</v>
      </c>
      <c r="C801" s="3" t="str" cm="1">
        <f t="array" ref="C801">_xlfn.XLOOKUP(1,(pivot!$A$2:$A$1946=Table3[[#This Row],[Müştəri adı]])*(pivot!$C$2:$C$1946=_xlfn.MAXIFS(pivot!$C$2:$C$1946,pivot!$A$2:$A$1946,Table3[[#This Row],[Müştəri adı]])),pivot!$B$2:$B$1946)</f>
        <v>OwnsComputer</v>
      </c>
      <c r="D801" s="22" cm="1">
        <f t="array" ref="D801">_xlfn.XLOOKUP(1,
  (pivot!$A$2:$A$1946=endirim!B801) * (pivot!$C$2:$C$1946 = _xlfn.MAXIFS(pivot!$C$2:$C$1946, pivot!$A$2:$A$1946, endirim!B801)),
  pivot!$D$2:$D$1946)</f>
        <v>62</v>
      </c>
      <c r="E801" s="3" t="str" cm="1">
        <f t="array" ref="E801">_xlfn.XLOOKUP(1,
    (pivot!$A$2:$A$1946=endirim!B801) * (pivot!$D$2:$D$1946 = _xlfn.MAXIFS(pivot!$D$2:$D$1946, pivot!$A$2:$A$1946, endirim!B801)),
    pivot!$B$2:$B$1946)</f>
        <v>NonUSTravel</v>
      </c>
      <c r="F801" s="22">
        <f>_xlfn.MAXIFS(pivot!$D$2:$D$1946, pivot!$A$2:$A$1946, endirim!B801)</f>
        <v>66</v>
      </c>
      <c r="G801" s="3" t="str">
        <f t="shared" si="12"/>
        <v>NonUSTravel Kompaniyasını 20% endirimlə təklif et</v>
      </c>
    </row>
    <row r="802" spans="2:7" x14ac:dyDescent="0.3">
      <c r="B802" t="s">
        <v>856</v>
      </c>
      <c r="C802" s="3" t="str" cm="1">
        <f t="array" ref="C802">_xlfn.XLOOKUP(1,(pivot!$A$2:$A$1946=Table3[[#This Row],[Müştəri adı]])*(pivot!$C$2:$C$1946=_xlfn.MAXIFS(pivot!$C$2:$C$1946,pivot!$A$2:$A$1946,Table3[[#This Row],[Müştəri adı]])),pivot!$B$2:$B$1946)</f>
        <v>MadeCallToRetentionTeam</v>
      </c>
      <c r="D802" s="22" cm="1">
        <f t="array" ref="D802">_xlfn.XLOOKUP(1,
  (pivot!$A$2:$A$1946=endirim!B802) * (pivot!$C$2:$C$1946 = _xlfn.MAXIFS(pivot!$C$2:$C$1946, pivot!$A$2:$A$1946, endirim!B802)),
  pivot!$D$2:$D$1946)</f>
        <v>16</v>
      </c>
      <c r="E802" s="3" t="str" cm="1">
        <f t="array" ref="E802">_xlfn.XLOOKUP(1,
    (pivot!$A$2:$A$1946=endirim!B802) * (pivot!$D$2:$D$1946 = _xlfn.MAXIFS(pivot!$D$2:$D$1946, pivot!$A$2:$A$1946, endirim!B802)),
    pivot!$B$2:$B$1946)</f>
        <v>BuysViaMailOrder</v>
      </c>
      <c r="F802" s="22">
        <f>_xlfn.MAXIFS(pivot!$D$2:$D$1946, pivot!$A$2:$A$1946, endirim!B802)</f>
        <v>25</v>
      </c>
      <c r="G802" s="3" t="str">
        <f t="shared" si="12"/>
        <v>BuysViaMailOrder Kompaniyasını 20% endirimlə təklif et</v>
      </c>
    </row>
    <row r="803" spans="2:7" x14ac:dyDescent="0.3">
      <c r="B803" t="s">
        <v>857</v>
      </c>
      <c r="C803" s="3" t="str" cm="1">
        <f t="array" ref="C803">_xlfn.XLOOKUP(1,(pivot!$A$2:$A$1946=Table3[[#This Row],[Müştəri adı]])*(pivot!$C$2:$C$1946=_xlfn.MAXIFS(pivot!$C$2:$C$1946,pivot!$A$2:$A$1946,Table3[[#This Row],[Müştəri adı]])),pivot!$B$2:$B$1946)</f>
        <v>MaritalStatus</v>
      </c>
      <c r="D803" s="22" cm="1">
        <f t="array" ref="D803">_xlfn.XLOOKUP(1,
  (pivot!$A$2:$A$1946=endirim!B803) * (pivot!$C$2:$C$1946 = _xlfn.MAXIFS(pivot!$C$2:$C$1946, pivot!$A$2:$A$1946, endirim!B803)),
  pivot!$D$2:$D$1946)</f>
        <v>29</v>
      </c>
      <c r="E803" s="3" t="str" cm="1">
        <f t="array" ref="E803">_xlfn.XLOOKUP(1,
    (pivot!$A$2:$A$1946=endirim!B803) * (pivot!$D$2:$D$1946 = _xlfn.MAXIFS(pivot!$D$2:$D$1946, pivot!$A$2:$A$1946, endirim!B803)),
    pivot!$B$2:$B$1946)</f>
        <v>HandsetWebCapable</v>
      </c>
      <c r="F803" s="22">
        <f>_xlfn.MAXIFS(pivot!$D$2:$D$1946, pivot!$A$2:$A$1946, endirim!B803)</f>
        <v>62</v>
      </c>
      <c r="G803" s="3" t="str">
        <f t="shared" si="12"/>
        <v>HandsetWebCapable Kompaniyasını 20% endirimlə təklif et</v>
      </c>
    </row>
    <row r="804" spans="2:7" x14ac:dyDescent="0.3">
      <c r="B804" t="s">
        <v>858</v>
      </c>
      <c r="C804" s="3" t="str" cm="1">
        <f t="array" ref="C804">_xlfn.XLOOKUP(1,(pivot!$A$2:$A$1946=Table3[[#This Row],[Müştəri adı]])*(pivot!$C$2:$C$1946=_xlfn.MAXIFS(pivot!$C$2:$C$1946,pivot!$A$2:$A$1946,Table3[[#This Row],[Müştəri adı]])),pivot!$B$2:$B$1946)</f>
        <v>ChildrenInHH</v>
      </c>
      <c r="D804" s="22" cm="1">
        <f t="array" ref="D804">_xlfn.XLOOKUP(1,
  (pivot!$A$2:$A$1946=endirim!B804) * (pivot!$C$2:$C$1946 = _xlfn.MAXIFS(pivot!$C$2:$C$1946, pivot!$A$2:$A$1946, endirim!B804)),
  pivot!$D$2:$D$1946)</f>
        <v>10</v>
      </c>
      <c r="E804" s="3" t="str" cm="1">
        <f t="array" ref="E804">_xlfn.XLOOKUP(1,
    (pivot!$A$2:$A$1946=endirim!B804) * (pivot!$D$2:$D$1946 = _xlfn.MAXIFS(pivot!$D$2:$D$1946, pivot!$A$2:$A$1946, endirim!B804)),
    pivot!$B$2:$B$1946)</f>
        <v>ChildrenInHH</v>
      </c>
      <c r="F804" s="22">
        <f>_xlfn.MAXIFS(pivot!$D$2:$D$1946, pivot!$A$2:$A$1946, endirim!B804)</f>
        <v>10</v>
      </c>
      <c r="G804" s="3" t="str">
        <f t="shared" si="12"/>
        <v>Təklif yoxdur</v>
      </c>
    </row>
    <row r="805" spans="2:7" x14ac:dyDescent="0.3">
      <c r="B805" t="s">
        <v>859</v>
      </c>
      <c r="C805" s="3" t="str" cm="1">
        <f t="array" ref="C805">_xlfn.XLOOKUP(1,(pivot!$A$2:$A$1946=Table3[[#This Row],[Müştəri adı]])*(pivot!$C$2:$C$1946=_xlfn.MAXIFS(pivot!$C$2:$C$1946,pivot!$A$2:$A$1946,Table3[[#This Row],[Müştəri adı]])),pivot!$B$2:$B$1946)</f>
        <v>MaritalStatus</v>
      </c>
      <c r="D805" s="22" cm="1">
        <f t="array" ref="D805">_xlfn.XLOOKUP(1,
  (pivot!$A$2:$A$1946=endirim!B805) * (pivot!$C$2:$C$1946 = _xlfn.MAXIFS(pivot!$C$2:$C$1946, pivot!$A$2:$A$1946, endirim!B805)),
  pivot!$D$2:$D$1946)</f>
        <v>29</v>
      </c>
      <c r="E805" s="3" t="str" cm="1">
        <f t="array" ref="E805">_xlfn.XLOOKUP(1,
    (pivot!$A$2:$A$1946=endirim!B805) * (pivot!$D$2:$D$1946 = _xlfn.MAXIFS(pivot!$D$2:$D$1946, pivot!$A$2:$A$1946, endirim!B805)),
    pivot!$B$2:$B$1946)</f>
        <v>MaritalStatus</v>
      </c>
      <c r="F805" s="22">
        <f>_xlfn.MAXIFS(pivot!$D$2:$D$1946, pivot!$A$2:$A$1946, endirim!B805)</f>
        <v>29</v>
      </c>
      <c r="G805" s="3" t="str">
        <f t="shared" si="12"/>
        <v>Təklif yoxdur</v>
      </c>
    </row>
    <row r="806" spans="2:7" x14ac:dyDescent="0.3">
      <c r="B806" t="s">
        <v>860</v>
      </c>
      <c r="C806" s="3" t="str" cm="1">
        <f t="array" ref="C806">_xlfn.XLOOKUP(1,(pivot!$A$2:$A$1946=Table3[[#This Row],[Müştəri adı]])*(pivot!$C$2:$C$1946=_xlfn.MAXIFS(pivot!$C$2:$C$1946,pivot!$A$2:$A$1946,Table3[[#This Row],[Müştəri adı]])),pivot!$B$2:$B$1946)</f>
        <v>RespondsToMailOffers</v>
      </c>
      <c r="D806" s="22" cm="1">
        <f t="array" ref="D806">_xlfn.XLOOKUP(1,
  (pivot!$A$2:$A$1946=endirim!B806) * (pivot!$C$2:$C$1946 = _xlfn.MAXIFS(pivot!$C$2:$C$1946, pivot!$A$2:$A$1946, endirim!B806)),
  pivot!$D$2:$D$1946)</f>
        <v>27</v>
      </c>
      <c r="E806" s="3" t="str" cm="1">
        <f t="array" ref="E806">_xlfn.XLOOKUP(1,
    (pivot!$A$2:$A$1946=endirim!B806) * (pivot!$D$2:$D$1946 = _xlfn.MAXIFS(pivot!$D$2:$D$1946, pivot!$A$2:$A$1946, endirim!B806)),
    pivot!$B$2:$B$1946)</f>
        <v>OptOutMailings</v>
      </c>
      <c r="F806" s="22">
        <f>_xlfn.MAXIFS(pivot!$D$2:$D$1946, pivot!$A$2:$A$1946, endirim!B806)</f>
        <v>75</v>
      </c>
      <c r="G806" s="3" t="str">
        <f t="shared" si="12"/>
        <v>OptOutMailings Kompaniyasını 20% endirimlə təklif et</v>
      </c>
    </row>
    <row r="807" spans="2:7" x14ac:dyDescent="0.3">
      <c r="B807" t="s">
        <v>861</v>
      </c>
      <c r="C807" s="3" t="str" cm="1">
        <f t="array" ref="C807">_xlfn.XLOOKUP(1,(pivot!$A$2:$A$1946=Table3[[#This Row],[Müştəri adı]])*(pivot!$C$2:$C$1946=_xlfn.MAXIFS(pivot!$C$2:$C$1946,pivot!$A$2:$A$1946,Table3[[#This Row],[Müştəri adı]])),pivot!$B$2:$B$1946)</f>
        <v>ChildrenInHH</v>
      </c>
      <c r="D807" s="22" cm="1">
        <f t="array" ref="D807">_xlfn.XLOOKUP(1,
  (pivot!$A$2:$A$1946=endirim!B807) * (pivot!$C$2:$C$1946 = _xlfn.MAXIFS(pivot!$C$2:$C$1946, pivot!$A$2:$A$1946, endirim!B807)),
  pivot!$D$2:$D$1946)</f>
        <v>10</v>
      </c>
      <c r="E807" s="3" t="str" cm="1">
        <f t="array" ref="E807">_xlfn.XLOOKUP(1,
    (pivot!$A$2:$A$1946=endirim!B807) * (pivot!$D$2:$D$1946 = _xlfn.MAXIFS(pivot!$D$2:$D$1946, pivot!$A$2:$A$1946, endirim!B807)),
    pivot!$B$2:$B$1946)</f>
        <v>RVOwner</v>
      </c>
      <c r="F807" s="22">
        <f>_xlfn.MAXIFS(pivot!$D$2:$D$1946, pivot!$A$2:$A$1946, endirim!B807)</f>
        <v>22</v>
      </c>
      <c r="G807" s="3" t="str">
        <f t="shared" si="12"/>
        <v>RVOwner Kompaniyasını 20% endirimlə təklif et</v>
      </c>
    </row>
    <row r="808" spans="2:7" x14ac:dyDescent="0.3">
      <c r="B808" t="s">
        <v>862</v>
      </c>
      <c r="C808" s="3" t="str" cm="1">
        <f t="array" ref="C808">_xlfn.XLOOKUP(1,(pivot!$A$2:$A$1946=Table3[[#This Row],[Müştəri adı]])*(pivot!$C$2:$C$1946=_xlfn.MAXIFS(pivot!$C$2:$C$1946,pivot!$A$2:$A$1946,Table3[[#This Row],[Müştəri adı]])),pivot!$B$2:$B$1946)</f>
        <v>MadeCallToRetentionTeam</v>
      </c>
      <c r="D808" s="22" cm="1">
        <f t="array" ref="D808">_xlfn.XLOOKUP(1,
  (pivot!$A$2:$A$1946=endirim!B808) * (pivot!$C$2:$C$1946 = _xlfn.MAXIFS(pivot!$C$2:$C$1946, pivot!$A$2:$A$1946, endirim!B808)),
  pivot!$D$2:$D$1946)</f>
        <v>16</v>
      </c>
      <c r="E808" s="3" t="str" cm="1">
        <f t="array" ref="E808">_xlfn.XLOOKUP(1,
    (pivot!$A$2:$A$1946=endirim!B808) * (pivot!$D$2:$D$1946 = _xlfn.MAXIFS(pivot!$D$2:$D$1946, pivot!$A$2:$A$1946, endirim!B808)),
    pivot!$B$2:$B$1946)</f>
        <v>TruckOwner</v>
      </c>
      <c r="F808" s="22">
        <f>_xlfn.MAXIFS(pivot!$D$2:$D$1946, pivot!$A$2:$A$1946, endirim!B808)</f>
        <v>26</v>
      </c>
      <c r="G808" s="3" t="str">
        <f t="shared" si="12"/>
        <v>TruckOwner Kompaniyasını 20% endirimlə təklif et</v>
      </c>
    </row>
    <row r="809" spans="2:7" x14ac:dyDescent="0.3">
      <c r="B809" t="s">
        <v>863</v>
      </c>
      <c r="C809" s="3" t="str" cm="1">
        <f t="array" ref="C809">_xlfn.XLOOKUP(1,(pivot!$A$2:$A$1946=Table3[[#This Row],[Müştəri adı]])*(pivot!$C$2:$C$1946=_xlfn.MAXIFS(pivot!$C$2:$C$1946,pivot!$A$2:$A$1946,Table3[[#This Row],[Müştəri adı]])),pivot!$B$2:$B$1946)</f>
        <v>MaritalStatus</v>
      </c>
      <c r="D809" s="22" cm="1">
        <f t="array" ref="D809">_xlfn.XLOOKUP(1,
  (pivot!$A$2:$A$1946=endirim!B809) * (pivot!$C$2:$C$1946 = _xlfn.MAXIFS(pivot!$C$2:$C$1946, pivot!$A$2:$A$1946, endirim!B809)),
  pivot!$D$2:$D$1946)</f>
        <v>29</v>
      </c>
      <c r="E809" s="3" t="str" cm="1">
        <f t="array" ref="E809">_xlfn.XLOOKUP(1,
    (pivot!$A$2:$A$1946=endirim!B809) * (pivot!$D$2:$D$1946 = _xlfn.MAXIFS(pivot!$D$2:$D$1946, pivot!$A$2:$A$1946, endirim!B809)),
    pivot!$B$2:$B$1946)</f>
        <v>MaritalStatus</v>
      </c>
      <c r="F809" s="22">
        <f>_xlfn.MAXIFS(pivot!$D$2:$D$1946, pivot!$A$2:$A$1946, endirim!B809)</f>
        <v>29</v>
      </c>
      <c r="G809" s="3" t="str">
        <f t="shared" si="12"/>
        <v>Təklif yoxdur</v>
      </c>
    </row>
    <row r="810" spans="2:7" x14ac:dyDescent="0.3">
      <c r="B810" t="s">
        <v>864</v>
      </c>
      <c r="C810" s="3" t="str" cm="1">
        <f t="array" ref="C810">_xlfn.XLOOKUP(1,(pivot!$A$2:$A$1946=Table3[[#This Row],[Müştəri adı]])*(pivot!$C$2:$C$1946=_xlfn.MAXIFS(pivot!$C$2:$C$1946,pivot!$A$2:$A$1946,Table3[[#This Row],[Müştəri adı]])),pivot!$B$2:$B$1946)</f>
        <v>OwnsComputer</v>
      </c>
      <c r="D810" s="22" cm="1">
        <f t="array" ref="D810">_xlfn.XLOOKUP(1,
  (pivot!$A$2:$A$1946=endirim!B810) * (pivot!$C$2:$C$1946 = _xlfn.MAXIFS(pivot!$C$2:$C$1946, pivot!$A$2:$A$1946, endirim!B810)),
  pivot!$D$2:$D$1946)</f>
        <v>62</v>
      </c>
      <c r="E810" s="3" t="str" cm="1">
        <f t="array" ref="E810">_xlfn.XLOOKUP(1,
    (pivot!$A$2:$A$1946=endirim!B810) * (pivot!$D$2:$D$1946 = _xlfn.MAXIFS(pivot!$D$2:$D$1946, pivot!$A$2:$A$1946, endirim!B810)),
    pivot!$B$2:$B$1946)</f>
        <v>OwnsComputer</v>
      </c>
      <c r="F810" s="22">
        <f>_xlfn.MAXIFS(pivot!$D$2:$D$1946, pivot!$A$2:$A$1946, endirim!B810)</f>
        <v>62</v>
      </c>
      <c r="G810" s="3" t="str">
        <f t="shared" si="12"/>
        <v>Təklif yoxdur</v>
      </c>
    </row>
    <row r="811" spans="2:7" x14ac:dyDescent="0.3">
      <c r="B811" t="s">
        <v>865</v>
      </c>
      <c r="C811" s="3" t="str" cm="1">
        <f t="array" ref="C811">_xlfn.XLOOKUP(1,(pivot!$A$2:$A$1946=Table3[[#This Row],[Müştəri adı]])*(pivot!$C$2:$C$1946=_xlfn.MAXIFS(pivot!$C$2:$C$1946,pivot!$A$2:$A$1946,Table3[[#This Row],[Müştəri adı]])),pivot!$B$2:$B$1946)</f>
        <v>OwnsMotorcycle</v>
      </c>
      <c r="D811" s="22" cm="1">
        <f t="array" ref="D811">_xlfn.XLOOKUP(1,
  (pivot!$A$2:$A$1946=endirim!B811) * (pivot!$C$2:$C$1946 = _xlfn.MAXIFS(pivot!$C$2:$C$1946, pivot!$A$2:$A$1946, endirim!B811)),
  pivot!$D$2:$D$1946)</f>
        <v>14</v>
      </c>
      <c r="E811" s="3" t="str" cm="1">
        <f t="array" ref="E811">_xlfn.XLOOKUP(1,
    (pivot!$A$2:$A$1946=endirim!B811) * (pivot!$D$2:$D$1946 = _xlfn.MAXIFS(pivot!$D$2:$D$1946, pivot!$A$2:$A$1946, endirim!B811)),
    pivot!$B$2:$B$1946)</f>
        <v>HasCreditCard</v>
      </c>
      <c r="F811" s="22">
        <f>_xlfn.MAXIFS(pivot!$D$2:$D$1946, pivot!$A$2:$A$1946, endirim!B811)</f>
        <v>65</v>
      </c>
      <c r="G811" s="3" t="str">
        <f t="shared" si="12"/>
        <v>HasCreditCard Kompaniyasını 20% endirimlə təklif et</v>
      </c>
    </row>
    <row r="812" spans="2:7" x14ac:dyDescent="0.3">
      <c r="B812" t="s">
        <v>866</v>
      </c>
      <c r="C812" s="3" t="str" cm="1">
        <f t="array" ref="C812">_xlfn.XLOOKUP(1,(pivot!$A$2:$A$1946=Table3[[#This Row],[Müştəri adı]])*(pivot!$C$2:$C$1946=_xlfn.MAXIFS(pivot!$C$2:$C$1946,pivot!$A$2:$A$1946,Table3[[#This Row],[Müştəri adı]])),pivot!$B$2:$B$1946)</f>
        <v>NonUSTravel</v>
      </c>
      <c r="D812" s="22" cm="1">
        <f t="array" ref="D812">_xlfn.XLOOKUP(1,
  (pivot!$A$2:$A$1946=endirim!B812) * (pivot!$C$2:$C$1946 = _xlfn.MAXIFS(pivot!$C$2:$C$1946, pivot!$A$2:$A$1946, endirim!B812)),
  pivot!$D$2:$D$1946)</f>
        <v>66</v>
      </c>
      <c r="E812" s="3" t="str" cm="1">
        <f t="array" ref="E812">_xlfn.XLOOKUP(1,
    (pivot!$A$2:$A$1946=endirim!B812) * (pivot!$D$2:$D$1946 = _xlfn.MAXIFS(pivot!$D$2:$D$1946, pivot!$A$2:$A$1946, endirim!B812)),
    pivot!$B$2:$B$1946)</f>
        <v>NonUSTravel</v>
      </c>
      <c r="F812" s="22">
        <f>_xlfn.MAXIFS(pivot!$D$2:$D$1946, pivot!$A$2:$A$1946, endirim!B812)</f>
        <v>66</v>
      </c>
      <c r="G812" s="3" t="str">
        <f t="shared" si="12"/>
        <v>Təklif yoxdur</v>
      </c>
    </row>
    <row r="813" spans="2:7" x14ac:dyDescent="0.3">
      <c r="B813" t="s">
        <v>867</v>
      </c>
      <c r="C813" s="3" t="str" cm="1">
        <f t="array" ref="C813">_xlfn.XLOOKUP(1,(pivot!$A$2:$A$1946=Table3[[#This Row],[Müştəri adı]])*(pivot!$C$2:$C$1946=_xlfn.MAXIFS(pivot!$C$2:$C$1946,pivot!$A$2:$A$1946,Table3[[#This Row],[Müştəri adı]])),pivot!$B$2:$B$1946)</f>
        <v>MaritalStatus</v>
      </c>
      <c r="D813" s="22" cm="1">
        <f t="array" ref="D813">_xlfn.XLOOKUP(1,
  (pivot!$A$2:$A$1946=endirim!B813) * (pivot!$C$2:$C$1946 = _xlfn.MAXIFS(pivot!$C$2:$C$1946, pivot!$A$2:$A$1946, endirim!B813)),
  pivot!$D$2:$D$1946)</f>
        <v>29</v>
      </c>
      <c r="E813" s="3" t="str" cm="1">
        <f t="array" ref="E813">_xlfn.XLOOKUP(1,
    (pivot!$A$2:$A$1946=endirim!B813) * (pivot!$D$2:$D$1946 = _xlfn.MAXIFS(pivot!$D$2:$D$1946, pivot!$A$2:$A$1946, endirim!B813)),
    pivot!$B$2:$B$1946)</f>
        <v>NonUSTravel</v>
      </c>
      <c r="F813" s="22">
        <f>_xlfn.MAXIFS(pivot!$D$2:$D$1946, pivot!$A$2:$A$1946, endirim!B813)</f>
        <v>66</v>
      </c>
      <c r="G813" s="3" t="str">
        <f t="shared" si="12"/>
        <v>NonUSTravel Kompaniyasını 20% endirimlə təklif et</v>
      </c>
    </row>
    <row r="814" spans="2:7" x14ac:dyDescent="0.3">
      <c r="B814" t="s">
        <v>868</v>
      </c>
      <c r="C814" s="3" t="str" cm="1">
        <f t="array" ref="C814">_xlfn.XLOOKUP(1,(pivot!$A$2:$A$1946=Table3[[#This Row],[Müştəri adı]])*(pivot!$C$2:$C$1946=_xlfn.MAXIFS(pivot!$C$2:$C$1946,pivot!$A$2:$A$1946,Table3[[#This Row],[Müştəri adı]])),pivot!$B$2:$B$1946)</f>
        <v>MaritalStatus</v>
      </c>
      <c r="D814" s="22" cm="1">
        <f t="array" ref="D814">_xlfn.XLOOKUP(1,
  (pivot!$A$2:$A$1946=endirim!B814) * (pivot!$C$2:$C$1946 = _xlfn.MAXIFS(pivot!$C$2:$C$1946, pivot!$A$2:$A$1946, endirim!B814)),
  pivot!$D$2:$D$1946)</f>
        <v>29</v>
      </c>
      <c r="E814" s="3" t="str" cm="1">
        <f t="array" ref="E814">_xlfn.XLOOKUP(1,
    (pivot!$A$2:$A$1946=endirim!B814) * (pivot!$D$2:$D$1946 = _xlfn.MAXIFS(pivot!$D$2:$D$1946, pivot!$A$2:$A$1946, endirim!B814)),
    pivot!$B$2:$B$1946)</f>
        <v>MaritalStatus</v>
      </c>
      <c r="F814" s="22">
        <f>_xlfn.MAXIFS(pivot!$D$2:$D$1946, pivot!$A$2:$A$1946, endirim!B814)</f>
        <v>29</v>
      </c>
      <c r="G814" s="3" t="str">
        <f t="shared" si="12"/>
        <v>Təklif yoxdur</v>
      </c>
    </row>
    <row r="815" spans="2:7" x14ac:dyDescent="0.3">
      <c r="B815" t="s">
        <v>869</v>
      </c>
      <c r="C815" s="3" t="str" cm="1">
        <f t="array" ref="C815">_xlfn.XLOOKUP(1,(pivot!$A$2:$A$1946=Table3[[#This Row],[Müştəri adı]])*(pivot!$C$2:$C$1946=_xlfn.MAXIFS(pivot!$C$2:$C$1946,pivot!$A$2:$A$1946,Table3[[#This Row],[Müştəri adı]])),pivot!$B$2:$B$1946)</f>
        <v>OwnsComputer</v>
      </c>
      <c r="D815" s="22" cm="1">
        <f t="array" ref="D815">_xlfn.XLOOKUP(1,
  (pivot!$A$2:$A$1946=endirim!B815) * (pivot!$C$2:$C$1946 = _xlfn.MAXIFS(pivot!$C$2:$C$1946, pivot!$A$2:$A$1946, endirim!B815)),
  pivot!$D$2:$D$1946)</f>
        <v>62</v>
      </c>
      <c r="E815" s="3" t="str" cm="1">
        <f t="array" ref="E815">_xlfn.XLOOKUP(1,
    (pivot!$A$2:$A$1946=endirim!B815) * (pivot!$D$2:$D$1946 = _xlfn.MAXIFS(pivot!$D$2:$D$1946, pivot!$A$2:$A$1946, endirim!B815)),
    pivot!$B$2:$B$1946)</f>
        <v>OwnsComputer</v>
      </c>
      <c r="F815" s="22">
        <f>_xlfn.MAXIFS(pivot!$D$2:$D$1946, pivot!$A$2:$A$1946, endirim!B815)</f>
        <v>62</v>
      </c>
      <c r="G815" s="3" t="str">
        <f t="shared" si="12"/>
        <v>Təklif yoxdur</v>
      </c>
    </row>
    <row r="816" spans="2:7" x14ac:dyDescent="0.3">
      <c r="B816" t="s">
        <v>870</v>
      </c>
      <c r="C816" s="3" t="str" cm="1">
        <f t="array" ref="C816">_xlfn.XLOOKUP(1,(pivot!$A$2:$A$1946=Table3[[#This Row],[Müştəri adı]])*(pivot!$C$2:$C$1946=_xlfn.MAXIFS(pivot!$C$2:$C$1946,pivot!$A$2:$A$1946,Table3[[#This Row],[Müştəri adı]])),pivot!$B$2:$B$1946)</f>
        <v>Homeownership</v>
      </c>
      <c r="D816" s="22" cm="1">
        <f t="array" ref="D816">_xlfn.XLOOKUP(1,
  (pivot!$A$2:$A$1946=endirim!B816) * (pivot!$C$2:$C$1946 = _xlfn.MAXIFS(pivot!$C$2:$C$1946, pivot!$A$2:$A$1946, endirim!B816)),
  pivot!$D$2:$D$1946)</f>
        <v>13</v>
      </c>
      <c r="E816" s="3" t="str" cm="1">
        <f t="array" ref="E816">_xlfn.XLOOKUP(1,
    (pivot!$A$2:$A$1946=endirim!B816) * (pivot!$D$2:$D$1946 = _xlfn.MAXIFS(pivot!$D$2:$D$1946, pivot!$A$2:$A$1946, endirim!B816)),
    pivot!$B$2:$B$1946)</f>
        <v>RespondsToMailOffers</v>
      </c>
      <c r="F816" s="22">
        <f>_xlfn.MAXIFS(pivot!$D$2:$D$1946, pivot!$A$2:$A$1946, endirim!B816)</f>
        <v>27</v>
      </c>
      <c r="G816" s="3" t="str">
        <f t="shared" si="12"/>
        <v>RespondsToMailOffers Kompaniyasını 20% endirimlə təklif et</v>
      </c>
    </row>
    <row r="817" spans="2:7" x14ac:dyDescent="0.3">
      <c r="B817" t="s">
        <v>871</v>
      </c>
      <c r="C817" s="3" t="str" cm="1">
        <f t="array" ref="C817">_xlfn.XLOOKUP(1,(pivot!$A$2:$A$1946=Table3[[#This Row],[Müştəri adı]])*(pivot!$C$2:$C$1946=_xlfn.MAXIFS(pivot!$C$2:$C$1946,pivot!$A$2:$A$1946,Table3[[#This Row],[Müştəri adı]])),pivot!$B$2:$B$1946)</f>
        <v>NewCellphoneUser</v>
      </c>
      <c r="D817" s="22" cm="1">
        <f t="array" ref="D817">_xlfn.XLOOKUP(1,
  (pivot!$A$2:$A$1946=endirim!B817) * (pivot!$C$2:$C$1946 = _xlfn.MAXIFS(pivot!$C$2:$C$1946, pivot!$A$2:$A$1946, endirim!B817)),
  pivot!$D$2:$D$1946)</f>
        <v>25</v>
      </c>
      <c r="E817" s="3" t="str" cm="1">
        <f t="array" ref="E817">_xlfn.XLOOKUP(1,
    (pivot!$A$2:$A$1946=endirim!B817) * (pivot!$D$2:$D$1946 = _xlfn.MAXIFS(pivot!$D$2:$D$1946, pivot!$A$2:$A$1946, endirim!B817)),
    pivot!$B$2:$B$1946)</f>
        <v>HandsetWebCapable</v>
      </c>
      <c r="F817" s="22">
        <f>_xlfn.MAXIFS(pivot!$D$2:$D$1946, pivot!$A$2:$A$1946, endirim!B817)</f>
        <v>62</v>
      </c>
      <c r="G817" s="3" t="str">
        <f t="shared" si="12"/>
        <v>HandsetWebCapable Kompaniyasını 20% endirimlə təklif et</v>
      </c>
    </row>
    <row r="818" spans="2:7" x14ac:dyDescent="0.3">
      <c r="B818" t="s">
        <v>872</v>
      </c>
      <c r="C818" s="3" t="str" cm="1">
        <f t="array" ref="C818">_xlfn.XLOOKUP(1,(pivot!$A$2:$A$1946=Table3[[#This Row],[Müştəri adı]])*(pivot!$C$2:$C$1946=_xlfn.MAXIFS(pivot!$C$2:$C$1946,pivot!$A$2:$A$1946,Table3[[#This Row],[Müştəri adı]])),pivot!$B$2:$B$1946)</f>
        <v>NonUSTravel</v>
      </c>
      <c r="D818" s="22" cm="1">
        <f t="array" ref="D818">_xlfn.XLOOKUP(1,
  (pivot!$A$2:$A$1946=endirim!B818) * (pivot!$C$2:$C$1946 = _xlfn.MAXIFS(pivot!$C$2:$C$1946, pivot!$A$2:$A$1946, endirim!B818)),
  pivot!$D$2:$D$1946)</f>
        <v>66</v>
      </c>
      <c r="E818" s="3" t="str" cm="1">
        <f t="array" ref="E818">_xlfn.XLOOKUP(1,
    (pivot!$A$2:$A$1946=endirim!B818) * (pivot!$D$2:$D$1946 = _xlfn.MAXIFS(pivot!$D$2:$D$1946, pivot!$A$2:$A$1946, endirim!B818)),
    pivot!$B$2:$B$1946)</f>
        <v>NonUSTravel</v>
      </c>
      <c r="F818" s="22">
        <f>_xlfn.MAXIFS(pivot!$D$2:$D$1946, pivot!$A$2:$A$1946, endirim!B818)</f>
        <v>66</v>
      </c>
      <c r="G818" s="3" t="str">
        <f t="shared" si="12"/>
        <v>Təklif yoxdur</v>
      </c>
    </row>
    <row r="819" spans="2:7" x14ac:dyDescent="0.3">
      <c r="B819" t="s">
        <v>873</v>
      </c>
      <c r="C819" s="3" t="str" cm="1">
        <f t="array" ref="C819">_xlfn.XLOOKUP(1,(pivot!$A$2:$A$1946=Table3[[#This Row],[Müştəri adı]])*(pivot!$C$2:$C$1946=_xlfn.MAXIFS(pivot!$C$2:$C$1946,pivot!$A$2:$A$1946,Table3[[#This Row],[Müştəri adı]])),pivot!$B$2:$B$1946)</f>
        <v>MadeCallToRetentionTeam</v>
      </c>
      <c r="D819" s="22" cm="1">
        <f t="array" ref="D819">_xlfn.XLOOKUP(1,
  (pivot!$A$2:$A$1946=endirim!B819) * (pivot!$C$2:$C$1946 = _xlfn.MAXIFS(pivot!$C$2:$C$1946, pivot!$A$2:$A$1946, endirim!B819)),
  pivot!$D$2:$D$1946)</f>
        <v>16</v>
      </c>
      <c r="E819" s="3" t="str" cm="1">
        <f t="array" ref="E819">_xlfn.XLOOKUP(1,
    (pivot!$A$2:$A$1946=endirim!B819) * (pivot!$D$2:$D$1946 = _xlfn.MAXIFS(pivot!$D$2:$D$1946, pivot!$A$2:$A$1946, endirim!B819)),
    pivot!$B$2:$B$1946)</f>
        <v>OwnsComputer</v>
      </c>
      <c r="F819" s="22">
        <f>_xlfn.MAXIFS(pivot!$D$2:$D$1946, pivot!$A$2:$A$1946, endirim!B819)</f>
        <v>62</v>
      </c>
      <c r="G819" s="3" t="str">
        <f t="shared" si="12"/>
        <v>OwnsComputer Kompaniyasını 20% endirimlə təklif et</v>
      </c>
    </row>
    <row r="820" spans="2:7" x14ac:dyDescent="0.3">
      <c r="B820" t="s">
        <v>874</v>
      </c>
      <c r="C820" s="3" t="str" cm="1">
        <f t="array" ref="C820">_xlfn.XLOOKUP(1,(pivot!$A$2:$A$1946=Table3[[#This Row],[Müştəri adı]])*(pivot!$C$2:$C$1946=_xlfn.MAXIFS(pivot!$C$2:$C$1946,pivot!$A$2:$A$1946,Table3[[#This Row],[Müştəri adı]])),pivot!$B$2:$B$1946)</f>
        <v>MadeCallToRetentionTeam</v>
      </c>
      <c r="D820" s="22" cm="1">
        <f t="array" ref="D820">_xlfn.XLOOKUP(1,
  (pivot!$A$2:$A$1946=endirim!B820) * (pivot!$C$2:$C$1946 = _xlfn.MAXIFS(pivot!$C$2:$C$1946, pivot!$A$2:$A$1946, endirim!B820)),
  pivot!$D$2:$D$1946)</f>
        <v>16</v>
      </c>
      <c r="E820" s="3" t="str" cm="1">
        <f t="array" ref="E820">_xlfn.XLOOKUP(1,
    (pivot!$A$2:$A$1946=endirim!B820) * (pivot!$D$2:$D$1946 = _xlfn.MAXIFS(pivot!$D$2:$D$1946, pivot!$A$2:$A$1946, endirim!B820)),
    pivot!$B$2:$B$1946)</f>
        <v>MadeCallToRetentionTeam</v>
      </c>
      <c r="F820" s="22">
        <f>_xlfn.MAXIFS(pivot!$D$2:$D$1946, pivot!$A$2:$A$1946, endirim!B820)</f>
        <v>16</v>
      </c>
      <c r="G820" s="3" t="str">
        <f t="shared" si="12"/>
        <v>Təklif yoxdur</v>
      </c>
    </row>
    <row r="821" spans="2:7" x14ac:dyDescent="0.3">
      <c r="B821" t="s">
        <v>875</v>
      </c>
      <c r="C821" s="3" t="str" cm="1">
        <f t="array" ref="C821">_xlfn.XLOOKUP(1,(pivot!$A$2:$A$1946=Table3[[#This Row],[Müştəri adı]])*(pivot!$C$2:$C$1946=_xlfn.MAXIFS(pivot!$C$2:$C$1946,pivot!$A$2:$A$1946,Table3[[#This Row],[Müştəri adı]])),pivot!$B$2:$B$1946)</f>
        <v>NewCellphoneUser</v>
      </c>
      <c r="D821" s="22" cm="1">
        <f t="array" ref="D821">_xlfn.XLOOKUP(1,
  (pivot!$A$2:$A$1946=endirim!B821) * (pivot!$C$2:$C$1946 = _xlfn.MAXIFS(pivot!$C$2:$C$1946, pivot!$A$2:$A$1946, endirim!B821)),
  pivot!$D$2:$D$1946)</f>
        <v>25</v>
      </c>
      <c r="E821" s="3" t="str" cm="1">
        <f t="array" ref="E821">_xlfn.XLOOKUP(1,
    (pivot!$A$2:$A$1946=endirim!B821) * (pivot!$D$2:$D$1946 = _xlfn.MAXIFS(pivot!$D$2:$D$1946, pivot!$A$2:$A$1946, endirim!B821)),
    pivot!$B$2:$B$1946)</f>
        <v>TruckOwner</v>
      </c>
      <c r="F821" s="22">
        <f>_xlfn.MAXIFS(pivot!$D$2:$D$1946, pivot!$A$2:$A$1946, endirim!B821)</f>
        <v>26</v>
      </c>
      <c r="G821" s="3" t="str">
        <f t="shared" si="12"/>
        <v>TruckOwner Kompaniyasını 20% endirimlə təklif et</v>
      </c>
    </row>
    <row r="822" spans="2:7" x14ac:dyDescent="0.3">
      <c r="B822" t="s">
        <v>876</v>
      </c>
      <c r="C822" s="3" t="str" cm="1">
        <f t="array" ref="C822">_xlfn.XLOOKUP(1,(pivot!$A$2:$A$1946=Table3[[#This Row],[Müştəri adı]])*(pivot!$C$2:$C$1946=_xlfn.MAXIFS(pivot!$C$2:$C$1946,pivot!$A$2:$A$1946,Table3[[#This Row],[Müştəri adı]])),pivot!$B$2:$B$1946)</f>
        <v>RespondsToMailOffers</v>
      </c>
      <c r="D822" s="22" cm="1">
        <f t="array" ref="D822">_xlfn.XLOOKUP(1,
  (pivot!$A$2:$A$1946=endirim!B822) * (pivot!$C$2:$C$1946 = _xlfn.MAXIFS(pivot!$C$2:$C$1946, pivot!$A$2:$A$1946, endirim!B822)),
  pivot!$D$2:$D$1946)</f>
        <v>27</v>
      </c>
      <c r="E822" s="3" t="str" cm="1">
        <f t="array" ref="E822">_xlfn.XLOOKUP(1,
    (pivot!$A$2:$A$1946=endirim!B822) * (pivot!$D$2:$D$1946 = _xlfn.MAXIFS(pivot!$D$2:$D$1946, pivot!$A$2:$A$1946, endirim!B822)),
    pivot!$B$2:$B$1946)</f>
        <v>RespondsToMailOffers</v>
      </c>
      <c r="F822" s="22">
        <f>_xlfn.MAXIFS(pivot!$D$2:$D$1946, pivot!$A$2:$A$1946, endirim!B822)</f>
        <v>27</v>
      </c>
      <c r="G822" s="3" t="str">
        <f t="shared" si="12"/>
        <v>Təklif yoxdur</v>
      </c>
    </row>
    <row r="823" spans="2:7" x14ac:dyDescent="0.3">
      <c r="B823" t="s">
        <v>877</v>
      </c>
      <c r="C823" s="3" t="str" cm="1">
        <f t="array" ref="C823">_xlfn.XLOOKUP(1,(pivot!$A$2:$A$1946=Table3[[#This Row],[Müştəri adı]])*(pivot!$C$2:$C$1946=_xlfn.MAXIFS(pivot!$C$2:$C$1946,pivot!$A$2:$A$1946,Table3[[#This Row],[Müştəri adı]])),pivot!$B$2:$B$1946)</f>
        <v>HandsetWebCapable</v>
      </c>
      <c r="D823" s="22" cm="1">
        <f t="array" ref="D823">_xlfn.XLOOKUP(1,
  (pivot!$A$2:$A$1946=endirim!B823) * (pivot!$C$2:$C$1946 = _xlfn.MAXIFS(pivot!$C$2:$C$1946, pivot!$A$2:$A$1946, endirim!B823)),
  pivot!$D$2:$D$1946)</f>
        <v>62</v>
      </c>
      <c r="E823" s="3" t="str" cm="1">
        <f t="array" ref="E823">_xlfn.XLOOKUP(1,
    (pivot!$A$2:$A$1946=endirim!B823) * (pivot!$D$2:$D$1946 = _xlfn.MAXIFS(pivot!$D$2:$D$1946, pivot!$A$2:$A$1946, endirim!B823)),
    pivot!$B$2:$B$1946)</f>
        <v>HandsetWebCapable</v>
      </c>
      <c r="F823" s="22">
        <f>_xlfn.MAXIFS(pivot!$D$2:$D$1946, pivot!$A$2:$A$1946, endirim!B823)</f>
        <v>62</v>
      </c>
      <c r="G823" s="3" t="str">
        <f t="shared" si="12"/>
        <v>Təklif yoxdur</v>
      </c>
    </row>
    <row r="824" spans="2:7" x14ac:dyDescent="0.3">
      <c r="B824" t="s">
        <v>878</v>
      </c>
      <c r="C824" s="3" t="str" cm="1">
        <f t="array" ref="C824">_xlfn.XLOOKUP(1,(pivot!$A$2:$A$1946=Table3[[#This Row],[Müştəri adı]])*(pivot!$C$2:$C$1946=_xlfn.MAXIFS(pivot!$C$2:$C$1946,pivot!$A$2:$A$1946,Table3[[#This Row],[Müştəri adı]])),pivot!$B$2:$B$1946)</f>
        <v>OptOutMailings</v>
      </c>
      <c r="D824" s="22" cm="1">
        <f t="array" ref="D824">_xlfn.XLOOKUP(1,
  (pivot!$A$2:$A$1946=endirim!B824) * (pivot!$C$2:$C$1946 = _xlfn.MAXIFS(pivot!$C$2:$C$1946, pivot!$A$2:$A$1946, endirim!B824)),
  pivot!$D$2:$D$1946)</f>
        <v>75</v>
      </c>
      <c r="E824" s="3" t="str" cm="1">
        <f t="array" ref="E824">_xlfn.XLOOKUP(1,
    (pivot!$A$2:$A$1946=endirim!B824) * (pivot!$D$2:$D$1946 = _xlfn.MAXIFS(pivot!$D$2:$D$1946, pivot!$A$2:$A$1946, endirim!B824)),
    pivot!$B$2:$B$1946)</f>
        <v>OptOutMailings</v>
      </c>
      <c r="F824" s="22">
        <f>_xlfn.MAXIFS(pivot!$D$2:$D$1946, pivot!$A$2:$A$1946, endirim!B824)</f>
        <v>75</v>
      </c>
      <c r="G824" s="3" t="str">
        <f t="shared" si="12"/>
        <v>Təklif yoxdur</v>
      </c>
    </row>
    <row r="825" spans="2:7" x14ac:dyDescent="0.3">
      <c r="B825" t="s">
        <v>879</v>
      </c>
      <c r="C825" s="3" t="str" cm="1">
        <f t="array" ref="C825">_xlfn.XLOOKUP(1,(pivot!$A$2:$A$1946=Table3[[#This Row],[Müştəri adı]])*(pivot!$C$2:$C$1946=_xlfn.MAXIFS(pivot!$C$2:$C$1946,pivot!$A$2:$A$1946,Table3[[#This Row],[Müştəri adı]])),pivot!$B$2:$B$1946)</f>
        <v>HasCreditCard</v>
      </c>
      <c r="D825" s="22" cm="1">
        <f t="array" ref="D825">_xlfn.XLOOKUP(1,
  (pivot!$A$2:$A$1946=endirim!B825) * (pivot!$C$2:$C$1946 = _xlfn.MAXIFS(pivot!$C$2:$C$1946, pivot!$A$2:$A$1946, endirim!B825)),
  pivot!$D$2:$D$1946)</f>
        <v>65</v>
      </c>
      <c r="E825" s="3" t="str" cm="1">
        <f t="array" ref="E825">_xlfn.XLOOKUP(1,
    (pivot!$A$2:$A$1946=endirim!B825) * (pivot!$D$2:$D$1946 = _xlfn.MAXIFS(pivot!$D$2:$D$1946, pivot!$A$2:$A$1946, endirim!B825)),
    pivot!$B$2:$B$1946)</f>
        <v>HasCreditCard</v>
      </c>
      <c r="F825" s="22">
        <f>_xlfn.MAXIFS(pivot!$D$2:$D$1946, pivot!$A$2:$A$1946, endirim!B825)</f>
        <v>65</v>
      </c>
      <c r="G825" s="3" t="str">
        <f t="shared" si="12"/>
        <v>Təklif yoxdur</v>
      </c>
    </row>
    <row r="826" spans="2:7" x14ac:dyDescent="0.3">
      <c r="B826" t="s">
        <v>880</v>
      </c>
      <c r="C826" s="3" t="str" cm="1">
        <f t="array" ref="C826">_xlfn.XLOOKUP(1,(pivot!$A$2:$A$1946=Table3[[#This Row],[Müştəri adı]])*(pivot!$C$2:$C$1946=_xlfn.MAXIFS(pivot!$C$2:$C$1946,pivot!$A$2:$A$1946,Table3[[#This Row],[Müştəri adı]])),pivot!$B$2:$B$1946)</f>
        <v>BuysViaMailOrder</v>
      </c>
      <c r="D826" s="22" cm="1">
        <f t="array" ref="D826">_xlfn.XLOOKUP(1,
  (pivot!$A$2:$A$1946=endirim!B826) * (pivot!$C$2:$C$1946 = _xlfn.MAXIFS(pivot!$C$2:$C$1946, pivot!$A$2:$A$1946, endirim!B826)),
  pivot!$D$2:$D$1946)</f>
        <v>25</v>
      </c>
      <c r="E826" s="3" t="str" cm="1">
        <f t="array" ref="E826">_xlfn.XLOOKUP(1,
    (pivot!$A$2:$A$1946=endirim!B826) * (pivot!$D$2:$D$1946 = _xlfn.MAXIFS(pivot!$D$2:$D$1946, pivot!$A$2:$A$1946, endirim!B826)),
    pivot!$B$2:$B$1946)</f>
        <v>HandsetWebCapable</v>
      </c>
      <c r="F826" s="22">
        <f>_xlfn.MAXIFS(pivot!$D$2:$D$1946, pivot!$A$2:$A$1946, endirim!B826)</f>
        <v>62</v>
      </c>
      <c r="G826" s="3" t="str">
        <f t="shared" si="12"/>
        <v>HandsetWebCapable Kompaniyasını 20% endirimlə təklif et</v>
      </c>
    </row>
    <row r="827" spans="2:7" x14ac:dyDescent="0.3">
      <c r="B827" t="s">
        <v>881</v>
      </c>
      <c r="C827" s="3" t="str" cm="1">
        <f t="array" ref="C827">_xlfn.XLOOKUP(1,(pivot!$A$2:$A$1946=Table3[[#This Row],[Müştəri adı]])*(pivot!$C$2:$C$1946=_xlfn.MAXIFS(pivot!$C$2:$C$1946,pivot!$A$2:$A$1946,Table3[[#This Row],[Müştəri adı]])),pivot!$B$2:$B$1946)</f>
        <v>HasCreditCard</v>
      </c>
      <c r="D827" s="22" cm="1">
        <f t="array" ref="D827">_xlfn.XLOOKUP(1,
  (pivot!$A$2:$A$1946=endirim!B827) * (pivot!$C$2:$C$1946 = _xlfn.MAXIFS(pivot!$C$2:$C$1946, pivot!$A$2:$A$1946, endirim!B827)),
  pivot!$D$2:$D$1946)</f>
        <v>65</v>
      </c>
      <c r="E827" s="3" t="str" cm="1">
        <f t="array" ref="E827">_xlfn.XLOOKUP(1,
    (pivot!$A$2:$A$1946=endirim!B827) * (pivot!$D$2:$D$1946 = _xlfn.MAXIFS(pivot!$D$2:$D$1946, pivot!$A$2:$A$1946, endirim!B827)),
    pivot!$B$2:$B$1946)</f>
        <v>OptOutMailings</v>
      </c>
      <c r="F827" s="22">
        <f>_xlfn.MAXIFS(pivot!$D$2:$D$1946, pivot!$A$2:$A$1946, endirim!B827)</f>
        <v>75</v>
      </c>
      <c r="G827" s="3" t="str">
        <f t="shared" si="12"/>
        <v>OptOutMailings Kompaniyasını 20% endirimlə təklif et</v>
      </c>
    </row>
    <row r="828" spans="2:7" x14ac:dyDescent="0.3">
      <c r="B828" t="s">
        <v>882</v>
      </c>
      <c r="C828" s="3" t="str" cm="1">
        <f t="array" ref="C828">_xlfn.XLOOKUP(1,(pivot!$A$2:$A$1946=Table3[[#This Row],[Müştəri adı]])*(pivot!$C$2:$C$1946=_xlfn.MAXIFS(pivot!$C$2:$C$1946,pivot!$A$2:$A$1946,Table3[[#This Row],[Müştəri adı]])),pivot!$B$2:$B$1946)</f>
        <v>OwnsComputer</v>
      </c>
      <c r="D828" s="22" cm="1">
        <f t="array" ref="D828">_xlfn.XLOOKUP(1,
  (pivot!$A$2:$A$1946=endirim!B828) * (pivot!$C$2:$C$1946 = _xlfn.MAXIFS(pivot!$C$2:$C$1946, pivot!$A$2:$A$1946, endirim!B828)),
  pivot!$D$2:$D$1946)</f>
        <v>62</v>
      </c>
      <c r="E828" s="3" t="str" cm="1">
        <f t="array" ref="E828">_xlfn.XLOOKUP(1,
    (pivot!$A$2:$A$1946=endirim!B828) * (pivot!$D$2:$D$1946 = _xlfn.MAXIFS(pivot!$D$2:$D$1946, pivot!$A$2:$A$1946, endirim!B828)),
    pivot!$B$2:$B$1946)</f>
        <v>OwnsComputer</v>
      </c>
      <c r="F828" s="22">
        <f>_xlfn.MAXIFS(pivot!$D$2:$D$1946, pivot!$A$2:$A$1946, endirim!B828)</f>
        <v>62</v>
      </c>
      <c r="G828" s="3" t="str">
        <f t="shared" si="12"/>
        <v>Təklif yoxdur</v>
      </c>
    </row>
    <row r="829" spans="2:7" x14ac:dyDescent="0.3">
      <c r="B829" t="s">
        <v>883</v>
      </c>
      <c r="C829" s="3" t="str" cm="1">
        <f t="array" ref="C829">_xlfn.XLOOKUP(1,(pivot!$A$2:$A$1946=Table3[[#This Row],[Müştəri adı]])*(pivot!$C$2:$C$1946=_xlfn.MAXIFS(pivot!$C$2:$C$1946,pivot!$A$2:$A$1946,Table3[[#This Row],[Müştəri adı]])),pivot!$B$2:$B$1946)</f>
        <v>TruckOwner</v>
      </c>
      <c r="D829" s="22" cm="1">
        <f t="array" ref="D829">_xlfn.XLOOKUP(1,
  (pivot!$A$2:$A$1946=endirim!B829) * (pivot!$C$2:$C$1946 = _xlfn.MAXIFS(pivot!$C$2:$C$1946, pivot!$A$2:$A$1946, endirim!B829)),
  pivot!$D$2:$D$1946)</f>
        <v>26</v>
      </c>
      <c r="E829" s="3" t="str" cm="1">
        <f t="array" ref="E829">_xlfn.XLOOKUP(1,
    (pivot!$A$2:$A$1946=endirim!B829) * (pivot!$D$2:$D$1946 = _xlfn.MAXIFS(pivot!$D$2:$D$1946, pivot!$A$2:$A$1946, endirim!B829)),
    pivot!$B$2:$B$1946)</f>
        <v>TruckOwner</v>
      </c>
      <c r="F829" s="22">
        <f>_xlfn.MAXIFS(pivot!$D$2:$D$1946, pivot!$A$2:$A$1946, endirim!B829)</f>
        <v>26</v>
      </c>
      <c r="G829" s="3" t="str">
        <f t="shared" si="12"/>
        <v>Təklif yoxdur</v>
      </c>
    </row>
    <row r="830" spans="2:7" x14ac:dyDescent="0.3">
      <c r="B830" t="s">
        <v>884</v>
      </c>
      <c r="C830" s="3" t="str" cm="1">
        <f t="array" ref="C830">_xlfn.XLOOKUP(1,(pivot!$A$2:$A$1946=Table3[[#This Row],[Müştəri adı]])*(pivot!$C$2:$C$1946=_xlfn.MAXIFS(pivot!$C$2:$C$1946,pivot!$A$2:$A$1946,Table3[[#This Row],[Müştəri adı]])),pivot!$B$2:$B$1946)</f>
        <v>ChildrenInHH</v>
      </c>
      <c r="D830" s="22" cm="1">
        <f t="array" ref="D830">_xlfn.XLOOKUP(1,
  (pivot!$A$2:$A$1946=endirim!B830) * (pivot!$C$2:$C$1946 = _xlfn.MAXIFS(pivot!$C$2:$C$1946, pivot!$A$2:$A$1946, endirim!B830)),
  pivot!$D$2:$D$1946)</f>
        <v>10</v>
      </c>
      <c r="E830" s="3" t="str" cm="1">
        <f t="array" ref="E830">_xlfn.XLOOKUP(1,
    (pivot!$A$2:$A$1946=endirim!B830) * (pivot!$D$2:$D$1946 = _xlfn.MAXIFS(pivot!$D$2:$D$1946, pivot!$A$2:$A$1946, endirim!B830)),
    pivot!$B$2:$B$1946)</f>
        <v>OptOutMailings</v>
      </c>
      <c r="F830" s="22">
        <f>_xlfn.MAXIFS(pivot!$D$2:$D$1946, pivot!$A$2:$A$1946, endirim!B830)</f>
        <v>75</v>
      </c>
      <c r="G830" s="3" t="str">
        <f t="shared" si="12"/>
        <v>OptOutMailings Kompaniyasını 20% endirimlə təklif et</v>
      </c>
    </row>
    <row r="831" spans="2:7" x14ac:dyDescent="0.3">
      <c r="B831" t="s">
        <v>885</v>
      </c>
      <c r="C831" s="3" t="str" cm="1">
        <f t="array" ref="C831">_xlfn.XLOOKUP(1,(pivot!$A$2:$A$1946=Table3[[#This Row],[Müştəri adı]])*(pivot!$C$2:$C$1946=_xlfn.MAXIFS(pivot!$C$2:$C$1946,pivot!$A$2:$A$1946,Table3[[#This Row],[Müştəri adı]])),pivot!$B$2:$B$1946)</f>
        <v>HandsetRefurbished</v>
      </c>
      <c r="D831" s="22" cm="1">
        <f t="array" ref="D831">_xlfn.XLOOKUP(1,
  (pivot!$A$2:$A$1946=endirim!B831) * (pivot!$C$2:$C$1946 = _xlfn.MAXIFS(pivot!$C$2:$C$1946, pivot!$A$2:$A$1946, endirim!B831)),
  pivot!$D$2:$D$1946)</f>
        <v>26</v>
      </c>
      <c r="E831" s="3" t="str" cm="1">
        <f t="array" ref="E831">_xlfn.XLOOKUP(1,
    (pivot!$A$2:$A$1946=endirim!B831) * (pivot!$D$2:$D$1946 = _xlfn.MAXIFS(pivot!$D$2:$D$1946, pivot!$A$2:$A$1946, endirim!B831)),
    pivot!$B$2:$B$1946)</f>
        <v>HandsetRefurbished</v>
      </c>
      <c r="F831" s="22">
        <f>_xlfn.MAXIFS(pivot!$D$2:$D$1946, pivot!$A$2:$A$1946, endirim!B831)</f>
        <v>26</v>
      </c>
      <c r="G831" s="3" t="str">
        <f t="shared" si="12"/>
        <v>Təklif yoxdur</v>
      </c>
    </row>
    <row r="832" spans="2:7" x14ac:dyDescent="0.3">
      <c r="B832" t="s">
        <v>886</v>
      </c>
      <c r="C832" s="3" t="str" cm="1">
        <f t="array" ref="C832">_xlfn.XLOOKUP(1,(pivot!$A$2:$A$1946=Table3[[#This Row],[Müştəri adı]])*(pivot!$C$2:$C$1946=_xlfn.MAXIFS(pivot!$C$2:$C$1946,pivot!$A$2:$A$1946,Table3[[#This Row],[Müştəri adı]])),pivot!$B$2:$B$1946)</f>
        <v>NotNewCellphoneUser</v>
      </c>
      <c r="D832" s="22" cm="1">
        <f t="array" ref="D832">_xlfn.XLOOKUP(1,
  (pivot!$A$2:$A$1946=endirim!B832) * (pivot!$C$2:$C$1946 = _xlfn.MAXIFS(pivot!$C$2:$C$1946, pivot!$A$2:$A$1946, endirim!B832)),
  pivot!$D$2:$D$1946)</f>
        <v>28</v>
      </c>
      <c r="E832" s="3" t="str" cm="1">
        <f t="array" ref="E832">_xlfn.XLOOKUP(1,
    (pivot!$A$2:$A$1946=endirim!B832) * (pivot!$D$2:$D$1946 = _xlfn.MAXIFS(pivot!$D$2:$D$1946, pivot!$A$2:$A$1946, endirim!B832)),
    pivot!$B$2:$B$1946)</f>
        <v>HandsetWebCapable</v>
      </c>
      <c r="F832" s="22">
        <f>_xlfn.MAXIFS(pivot!$D$2:$D$1946, pivot!$A$2:$A$1946, endirim!B832)</f>
        <v>62</v>
      </c>
      <c r="G832" s="3" t="str">
        <f t="shared" si="12"/>
        <v>HandsetWebCapable Kompaniyasını 20% endirimlə təklif et</v>
      </c>
    </row>
    <row r="833" spans="2:7" x14ac:dyDescent="0.3">
      <c r="B833" t="s">
        <v>887</v>
      </c>
      <c r="C833" s="3" t="str" cm="1">
        <f t="array" ref="C833">_xlfn.XLOOKUP(1,(pivot!$A$2:$A$1946=Table3[[#This Row],[Müştəri adı]])*(pivot!$C$2:$C$1946=_xlfn.MAXIFS(pivot!$C$2:$C$1946,pivot!$A$2:$A$1946,Table3[[#This Row],[Müştəri adı]])),pivot!$B$2:$B$1946)</f>
        <v>MaritalStatus</v>
      </c>
      <c r="D833" s="22" cm="1">
        <f t="array" ref="D833">_xlfn.XLOOKUP(1,
  (pivot!$A$2:$A$1946=endirim!B833) * (pivot!$C$2:$C$1946 = _xlfn.MAXIFS(pivot!$C$2:$C$1946, pivot!$A$2:$A$1946, endirim!B833)),
  pivot!$D$2:$D$1946)</f>
        <v>29</v>
      </c>
      <c r="E833" s="3" t="str" cm="1">
        <f t="array" ref="E833">_xlfn.XLOOKUP(1,
    (pivot!$A$2:$A$1946=endirim!B833) * (pivot!$D$2:$D$1946 = _xlfn.MAXIFS(pivot!$D$2:$D$1946, pivot!$A$2:$A$1946, endirim!B833)),
    pivot!$B$2:$B$1946)</f>
        <v>NonUSTravel</v>
      </c>
      <c r="F833" s="22">
        <f>_xlfn.MAXIFS(pivot!$D$2:$D$1946, pivot!$A$2:$A$1946, endirim!B833)</f>
        <v>66</v>
      </c>
      <c r="G833" s="3" t="str">
        <f t="shared" si="12"/>
        <v>NonUSTravel Kompaniyasını 20% endirimlə təklif et</v>
      </c>
    </row>
    <row r="834" spans="2:7" x14ac:dyDescent="0.3">
      <c r="B834" t="s">
        <v>888</v>
      </c>
      <c r="C834" s="3" t="str" cm="1">
        <f t="array" ref="C834">_xlfn.XLOOKUP(1,(pivot!$A$2:$A$1946=Table3[[#This Row],[Müştəri adı]])*(pivot!$C$2:$C$1946=_xlfn.MAXIFS(pivot!$C$2:$C$1946,pivot!$A$2:$A$1946,Table3[[#This Row],[Müştəri adı]])),pivot!$B$2:$B$1946)</f>
        <v>HandsetWebCapable</v>
      </c>
      <c r="D834" s="22" cm="1">
        <f t="array" ref="D834">_xlfn.XLOOKUP(1,
  (pivot!$A$2:$A$1946=endirim!B834) * (pivot!$C$2:$C$1946 = _xlfn.MAXIFS(pivot!$C$2:$C$1946, pivot!$A$2:$A$1946, endirim!B834)),
  pivot!$D$2:$D$1946)</f>
        <v>62</v>
      </c>
      <c r="E834" s="3" t="str" cm="1">
        <f t="array" ref="E834">_xlfn.XLOOKUP(1,
    (pivot!$A$2:$A$1946=endirim!B834) * (pivot!$D$2:$D$1946 = _xlfn.MAXIFS(pivot!$D$2:$D$1946, pivot!$A$2:$A$1946, endirim!B834)),
    pivot!$B$2:$B$1946)</f>
        <v>HandsetWebCapable</v>
      </c>
      <c r="F834" s="22">
        <f>_xlfn.MAXIFS(pivot!$D$2:$D$1946, pivot!$A$2:$A$1946, endirim!B834)</f>
        <v>62</v>
      </c>
      <c r="G834" s="3" t="str">
        <f t="shared" si="12"/>
        <v>Təklif yoxdur</v>
      </c>
    </row>
    <row r="835" spans="2:7" x14ac:dyDescent="0.3">
      <c r="B835" t="s">
        <v>889</v>
      </c>
      <c r="C835" s="3" t="str" cm="1">
        <f t="array" ref="C835">_xlfn.XLOOKUP(1,(pivot!$A$2:$A$1946=Table3[[#This Row],[Müştəri adı]])*(pivot!$C$2:$C$1946=_xlfn.MAXIFS(pivot!$C$2:$C$1946,pivot!$A$2:$A$1946,Table3[[#This Row],[Müştəri adı]])),pivot!$B$2:$B$1946)</f>
        <v>NonUSTravel</v>
      </c>
      <c r="D835" s="22" cm="1">
        <f t="array" ref="D835">_xlfn.XLOOKUP(1,
  (pivot!$A$2:$A$1946=endirim!B835) * (pivot!$C$2:$C$1946 = _xlfn.MAXIFS(pivot!$C$2:$C$1946, pivot!$A$2:$A$1946, endirim!B835)),
  pivot!$D$2:$D$1946)</f>
        <v>66</v>
      </c>
      <c r="E835" s="3" t="str" cm="1">
        <f t="array" ref="E835">_xlfn.XLOOKUP(1,
    (pivot!$A$2:$A$1946=endirim!B835) * (pivot!$D$2:$D$1946 = _xlfn.MAXIFS(pivot!$D$2:$D$1946, pivot!$A$2:$A$1946, endirim!B835)),
    pivot!$B$2:$B$1946)</f>
        <v>NonUSTravel</v>
      </c>
      <c r="F835" s="22">
        <f>_xlfn.MAXIFS(pivot!$D$2:$D$1946, pivot!$A$2:$A$1946, endirim!B835)</f>
        <v>66</v>
      </c>
      <c r="G835" s="3" t="str">
        <f t="shared" si="12"/>
        <v>Təklif yoxdur</v>
      </c>
    </row>
    <row r="836" spans="2:7" x14ac:dyDescent="0.3">
      <c r="B836" t="s">
        <v>890</v>
      </c>
      <c r="C836" s="3" t="str" cm="1">
        <f t="array" ref="C836">_xlfn.XLOOKUP(1,(pivot!$A$2:$A$1946=Table3[[#This Row],[Müştəri adı]])*(pivot!$C$2:$C$1946=_xlfn.MAXIFS(pivot!$C$2:$C$1946,pivot!$A$2:$A$1946,Table3[[#This Row],[Müştəri adı]])),pivot!$B$2:$B$1946)</f>
        <v>OwnsMotorcycle</v>
      </c>
      <c r="D836" s="22" cm="1">
        <f t="array" ref="D836">_xlfn.XLOOKUP(1,
  (pivot!$A$2:$A$1946=endirim!B836) * (pivot!$C$2:$C$1946 = _xlfn.MAXIFS(pivot!$C$2:$C$1946, pivot!$A$2:$A$1946, endirim!B836)),
  pivot!$D$2:$D$1946)</f>
        <v>14</v>
      </c>
      <c r="E836" s="3" t="str" cm="1">
        <f t="array" ref="E836">_xlfn.XLOOKUP(1,
    (pivot!$A$2:$A$1946=endirim!B836) * (pivot!$D$2:$D$1946 = _xlfn.MAXIFS(pivot!$D$2:$D$1946, pivot!$A$2:$A$1946, endirim!B836)),
    pivot!$B$2:$B$1946)</f>
        <v>RVOwner</v>
      </c>
      <c r="F836" s="22">
        <f>_xlfn.MAXIFS(pivot!$D$2:$D$1946, pivot!$A$2:$A$1946, endirim!B836)</f>
        <v>22</v>
      </c>
      <c r="G836" s="3" t="str">
        <f t="shared" ref="G836:G899" si="13">IF(D836=F836, "Təklif yoxdur", E836&amp;" Kompaniyasını 20% endirimlə təklif et")</f>
        <v>RVOwner Kompaniyasını 20% endirimlə təklif et</v>
      </c>
    </row>
    <row r="837" spans="2:7" x14ac:dyDescent="0.3">
      <c r="B837" t="s">
        <v>891</v>
      </c>
      <c r="C837" s="3" t="str" cm="1">
        <f t="array" ref="C837">_xlfn.XLOOKUP(1,(pivot!$A$2:$A$1946=Table3[[#This Row],[Müştəri adı]])*(pivot!$C$2:$C$1946=_xlfn.MAXIFS(pivot!$C$2:$C$1946,pivot!$A$2:$A$1946,Table3[[#This Row],[Müştəri adı]])),pivot!$B$2:$B$1946)</f>
        <v>HasCreditCard</v>
      </c>
      <c r="D837" s="22" cm="1">
        <f t="array" ref="D837">_xlfn.XLOOKUP(1,
  (pivot!$A$2:$A$1946=endirim!B837) * (pivot!$C$2:$C$1946 = _xlfn.MAXIFS(pivot!$C$2:$C$1946, pivot!$A$2:$A$1946, endirim!B837)),
  pivot!$D$2:$D$1946)</f>
        <v>65</v>
      </c>
      <c r="E837" s="3" t="str" cm="1">
        <f t="array" ref="E837">_xlfn.XLOOKUP(1,
    (pivot!$A$2:$A$1946=endirim!B837) * (pivot!$D$2:$D$1946 = _xlfn.MAXIFS(pivot!$D$2:$D$1946, pivot!$A$2:$A$1946, endirim!B837)),
    pivot!$B$2:$B$1946)</f>
        <v>HasCreditCard</v>
      </c>
      <c r="F837" s="22">
        <f>_xlfn.MAXIFS(pivot!$D$2:$D$1946, pivot!$A$2:$A$1946, endirim!B837)</f>
        <v>65</v>
      </c>
      <c r="G837" s="3" t="str">
        <f t="shared" si="13"/>
        <v>Təklif yoxdur</v>
      </c>
    </row>
    <row r="838" spans="2:7" x14ac:dyDescent="0.3">
      <c r="B838" t="s">
        <v>892</v>
      </c>
      <c r="C838" s="3" t="str" cm="1">
        <f t="array" ref="C838">_xlfn.XLOOKUP(1,(pivot!$A$2:$A$1946=Table3[[#This Row],[Müştəri adı]])*(pivot!$C$2:$C$1946=_xlfn.MAXIFS(pivot!$C$2:$C$1946,pivot!$A$2:$A$1946,Table3[[#This Row],[Müştəri adı]])),pivot!$B$2:$B$1946)</f>
        <v>TruckOwner</v>
      </c>
      <c r="D838" s="22" cm="1">
        <f t="array" ref="D838">_xlfn.XLOOKUP(1,
  (pivot!$A$2:$A$1946=endirim!B838) * (pivot!$C$2:$C$1946 = _xlfn.MAXIFS(pivot!$C$2:$C$1946, pivot!$A$2:$A$1946, endirim!B838)),
  pivot!$D$2:$D$1946)</f>
        <v>26</v>
      </c>
      <c r="E838" s="3" t="str" cm="1">
        <f t="array" ref="E838">_xlfn.XLOOKUP(1,
    (pivot!$A$2:$A$1946=endirim!B838) * (pivot!$D$2:$D$1946 = _xlfn.MAXIFS(pivot!$D$2:$D$1946, pivot!$A$2:$A$1946, endirim!B838)),
    pivot!$B$2:$B$1946)</f>
        <v>NonUSTravel</v>
      </c>
      <c r="F838" s="22">
        <f>_xlfn.MAXIFS(pivot!$D$2:$D$1946, pivot!$A$2:$A$1946, endirim!B838)</f>
        <v>66</v>
      </c>
      <c r="G838" s="3" t="str">
        <f t="shared" si="13"/>
        <v>NonUSTravel Kompaniyasını 20% endirimlə təklif et</v>
      </c>
    </row>
    <row r="839" spans="2:7" x14ac:dyDescent="0.3">
      <c r="B839" t="s">
        <v>893</v>
      </c>
      <c r="C839" s="3" t="str" cm="1">
        <f t="array" ref="C839">_xlfn.XLOOKUP(1,(pivot!$A$2:$A$1946=Table3[[#This Row],[Müştəri adı]])*(pivot!$C$2:$C$1946=_xlfn.MAXIFS(pivot!$C$2:$C$1946,pivot!$A$2:$A$1946,Table3[[#This Row],[Müştəri adı]])),pivot!$B$2:$B$1946)</f>
        <v>BuysViaMailOrder</v>
      </c>
      <c r="D839" s="22" cm="1">
        <f t="array" ref="D839">_xlfn.XLOOKUP(1,
  (pivot!$A$2:$A$1946=endirim!B839) * (pivot!$C$2:$C$1946 = _xlfn.MAXIFS(pivot!$C$2:$C$1946, pivot!$A$2:$A$1946, endirim!B839)),
  pivot!$D$2:$D$1946)</f>
        <v>25</v>
      </c>
      <c r="E839" s="3" t="str" cm="1">
        <f t="array" ref="E839">_xlfn.XLOOKUP(1,
    (pivot!$A$2:$A$1946=endirim!B839) * (pivot!$D$2:$D$1946 = _xlfn.MAXIFS(pivot!$D$2:$D$1946, pivot!$A$2:$A$1946, endirim!B839)),
    pivot!$B$2:$B$1946)</f>
        <v>BuysViaMailOrder</v>
      </c>
      <c r="F839" s="22">
        <f>_xlfn.MAXIFS(pivot!$D$2:$D$1946, pivot!$A$2:$A$1946, endirim!B839)</f>
        <v>25</v>
      </c>
      <c r="G839" s="3" t="str">
        <f t="shared" si="13"/>
        <v>Təklif yoxdur</v>
      </c>
    </row>
    <row r="840" spans="2:7" x14ac:dyDescent="0.3">
      <c r="B840" t="s">
        <v>894</v>
      </c>
      <c r="C840" s="3" t="str" cm="1">
        <f t="array" ref="C840">_xlfn.XLOOKUP(1,(pivot!$A$2:$A$1946=Table3[[#This Row],[Müştəri adı]])*(pivot!$C$2:$C$1946=_xlfn.MAXIFS(pivot!$C$2:$C$1946,pivot!$A$2:$A$1946,Table3[[#This Row],[Müştəri adı]])),pivot!$B$2:$B$1946)</f>
        <v>OptOutMailings</v>
      </c>
      <c r="D840" s="22" cm="1">
        <f t="array" ref="D840">_xlfn.XLOOKUP(1,
  (pivot!$A$2:$A$1946=endirim!B840) * (pivot!$C$2:$C$1946 = _xlfn.MAXIFS(pivot!$C$2:$C$1946, pivot!$A$2:$A$1946, endirim!B840)),
  pivot!$D$2:$D$1946)</f>
        <v>75</v>
      </c>
      <c r="E840" s="3" t="str" cm="1">
        <f t="array" ref="E840">_xlfn.XLOOKUP(1,
    (pivot!$A$2:$A$1946=endirim!B840) * (pivot!$D$2:$D$1946 = _xlfn.MAXIFS(pivot!$D$2:$D$1946, pivot!$A$2:$A$1946, endirim!B840)),
    pivot!$B$2:$B$1946)</f>
        <v>OptOutMailings</v>
      </c>
      <c r="F840" s="22">
        <f>_xlfn.MAXIFS(pivot!$D$2:$D$1946, pivot!$A$2:$A$1946, endirim!B840)</f>
        <v>75</v>
      </c>
      <c r="G840" s="3" t="str">
        <f t="shared" si="13"/>
        <v>Təklif yoxdur</v>
      </c>
    </row>
    <row r="841" spans="2:7" x14ac:dyDescent="0.3">
      <c r="B841" t="s">
        <v>895</v>
      </c>
      <c r="C841" s="3" t="str" cm="1">
        <f t="array" ref="C841">_xlfn.XLOOKUP(1,(pivot!$A$2:$A$1946=Table3[[#This Row],[Müştəri adı]])*(pivot!$C$2:$C$1946=_xlfn.MAXIFS(pivot!$C$2:$C$1946,pivot!$A$2:$A$1946,Table3[[#This Row],[Müştəri adı]])),pivot!$B$2:$B$1946)</f>
        <v>HandsetWebCapable</v>
      </c>
      <c r="D841" s="22" cm="1">
        <f t="array" ref="D841">_xlfn.XLOOKUP(1,
  (pivot!$A$2:$A$1946=endirim!B841) * (pivot!$C$2:$C$1946 = _xlfn.MAXIFS(pivot!$C$2:$C$1946, pivot!$A$2:$A$1946, endirim!B841)),
  pivot!$D$2:$D$1946)</f>
        <v>62</v>
      </c>
      <c r="E841" s="3" t="str" cm="1">
        <f t="array" ref="E841">_xlfn.XLOOKUP(1,
    (pivot!$A$2:$A$1946=endirim!B841) * (pivot!$D$2:$D$1946 = _xlfn.MAXIFS(pivot!$D$2:$D$1946, pivot!$A$2:$A$1946, endirim!B841)),
    pivot!$B$2:$B$1946)</f>
        <v>OwnsComputer</v>
      </c>
      <c r="F841" s="22">
        <f>_xlfn.MAXIFS(pivot!$D$2:$D$1946, pivot!$A$2:$A$1946, endirim!B841)</f>
        <v>62</v>
      </c>
      <c r="G841" s="3" t="str">
        <f t="shared" si="13"/>
        <v>Təklif yoxdur</v>
      </c>
    </row>
    <row r="842" spans="2:7" x14ac:dyDescent="0.3">
      <c r="B842" t="s">
        <v>896</v>
      </c>
      <c r="C842" s="3" t="str" cm="1">
        <f t="array" ref="C842">_xlfn.XLOOKUP(1,(pivot!$A$2:$A$1946=Table3[[#This Row],[Müştəri adı]])*(pivot!$C$2:$C$1946=_xlfn.MAXIFS(pivot!$C$2:$C$1946,pivot!$A$2:$A$1946,Table3[[#This Row],[Müştəri adı]])),pivot!$B$2:$B$1946)</f>
        <v>OptOutMailings</v>
      </c>
      <c r="D842" s="22" cm="1">
        <f t="array" ref="D842">_xlfn.XLOOKUP(1,
  (pivot!$A$2:$A$1946=endirim!B842) * (pivot!$C$2:$C$1946 = _xlfn.MAXIFS(pivot!$C$2:$C$1946, pivot!$A$2:$A$1946, endirim!B842)),
  pivot!$D$2:$D$1946)</f>
        <v>75</v>
      </c>
      <c r="E842" s="3" t="str" cm="1">
        <f t="array" ref="E842">_xlfn.XLOOKUP(1,
    (pivot!$A$2:$A$1946=endirim!B842) * (pivot!$D$2:$D$1946 = _xlfn.MAXIFS(pivot!$D$2:$D$1946, pivot!$A$2:$A$1946, endirim!B842)),
    pivot!$B$2:$B$1946)</f>
        <v>OptOutMailings</v>
      </c>
      <c r="F842" s="22">
        <f>_xlfn.MAXIFS(pivot!$D$2:$D$1946, pivot!$A$2:$A$1946, endirim!B842)</f>
        <v>75</v>
      </c>
      <c r="G842" s="3" t="str">
        <f t="shared" si="13"/>
        <v>Təklif yoxdur</v>
      </c>
    </row>
    <row r="843" spans="2:7" x14ac:dyDescent="0.3">
      <c r="B843" t="s">
        <v>897</v>
      </c>
      <c r="C843" s="3" t="str" cm="1">
        <f t="array" ref="C843">_xlfn.XLOOKUP(1,(pivot!$A$2:$A$1946=Table3[[#This Row],[Müştəri adı]])*(pivot!$C$2:$C$1946=_xlfn.MAXIFS(pivot!$C$2:$C$1946,pivot!$A$2:$A$1946,Table3[[#This Row],[Müştəri adı]])),pivot!$B$2:$B$1946)</f>
        <v>BuysViaMailOrder</v>
      </c>
      <c r="D843" s="22" cm="1">
        <f t="array" ref="D843">_xlfn.XLOOKUP(1,
  (pivot!$A$2:$A$1946=endirim!B843) * (pivot!$C$2:$C$1946 = _xlfn.MAXIFS(pivot!$C$2:$C$1946, pivot!$A$2:$A$1946, endirim!B843)),
  pivot!$D$2:$D$1946)</f>
        <v>25</v>
      </c>
      <c r="E843" s="3" t="str" cm="1">
        <f t="array" ref="E843">_xlfn.XLOOKUP(1,
    (pivot!$A$2:$A$1946=endirim!B843) * (pivot!$D$2:$D$1946 = _xlfn.MAXIFS(pivot!$D$2:$D$1946, pivot!$A$2:$A$1946, endirim!B843)),
    pivot!$B$2:$B$1946)</f>
        <v>BuysViaMailOrder</v>
      </c>
      <c r="F843" s="22">
        <f>_xlfn.MAXIFS(pivot!$D$2:$D$1946, pivot!$A$2:$A$1946, endirim!B843)</f>
        <v>25</v>
      </c>
      <c r="G843" s="3" t="str">
        <f t="shared" si="13"/>
        <v>Təklif yoxdur</v>
      </c>
    </row>
    <row r="844" spans="2:7" x14ac:dyDescent="0.3">
      <c r="B844" t="s">
        <v>898</v>
      </c>
      <c r="C844" s="3" t="str" cm="1">
        <f t="array" ref="C844">_xlfn.XLOOKUP(1,(pivot!$A$2:$A$1946=Table3[[#This Row],[Müştəri adı]])*(pivot!$C$2:$C$1946=_xlfn.MAXIFS(pivot!$C$2:$C$1946,pivot!$A$2:$A$1946,Table3[[#This Row],[Müştəri adı]])),pivot!$B$2:$B$1946)</f>
        <v>HandsetWebCapable</v>
      </c>
      <c r="D844" s="22" cm="1">
        <f t="array" ref="D844">_xlfn.XLOOKUP(1,
  (pivot!$A$2:$A$1946=endirim!B844) * (pivot!$C$2:$C$1946 = _xlfn.MAXIFS(pivot!$C$2:$C$1946, pivot!$A$2:$A$1946, endirim!B844)),
  pivot!$D$2:$D$1946)</f>
        <v>62</v>
      </c>
      <c r="E844" s="3" t="str" cm="1">
        <f t="array" ref="E844">_xlfn.XLOOKUP(1,
    (pivot!$A$2:$A$1946=endirim!B844) * (pivot!$D$2:$D$1946 = _xlfn.MAXIFS(pivot!$D$2:$D$1946, pivot!$A$2:$A$1946, endirim!B844)),
    pivot!$B$2:$B$1946)</f>
        <v>HandsetWebCapable</v>
      </c>
      <c r="F844" s="22">
        <f>_xlfn.MAXIFS(pivot!$D$2:$D$1946, pivot!$A$2:$A$1946, endirim!B844)</f>
        <v>62</v>
      </c>
      <c r="G844" s="3" t="str">
        <f t="shared" si="13"/>
        <v>Təklif yoxdur</v>
      </c>
    </row>
    <row r="845" spans="2:7" x14ac:dyDescent="0.3">
      <c r="B845" t="s">
        <v>899</v>
      </c>
      <c r="C845" s="3" t="str" cm="1">
        <f t="array" ref="C845">_xlfn.XLOOKUP(1,(pivot!$A$2:$A$1946=Table3[[#This Row],[Müştəri adı]])*(pivot!$C$2:$C$1946=_xlfn.MAXIFS(pivot!$C$2:$C$1946,pivot!$A$2:$A$1946,Table3[[#This Row],[Müştəri adı]])),pivot!$B$2:$B$1946)</f>
        <v>NonUSTravel</v>
      </c>
      <c r="D845" s="22" cm="1">
        <f t="array" ref="D845">_xlfn.XLOOKUP(1,
  (pivot!$A$2:$A$1946=endirim!B845) * (pivot!$C$2:$C$1946 = _xlfn.MAXIFS(pivot!$C$2:$C$1946, pivot!$A$2:$A$1946, endirim!B845)),
  pivot!$D$2:$D$1946)</f>
        <v>66</v>
      </c>
      <c r="E845" s="3" t="str" cm="1">
        <f t="array" ref="E845">_xlfn.XLOOKUP(1,
    (pivot!$A$2:$A$1946=endirim!B845) * (pivot!$D$2:$D$1946 = _xlfn.MAXIFS(pivot!$D$2:$D$1946, pivot!$A$2:$A$1946, endirim!B845)),
    pivot!$B$2:$B$1946)</f>
        <v>NonUSTravel</v>
      </c>
      <c r="F845" s="22">
        <f>_xlfn.MAXIFS(pivot!$D$2:$D$1946, pivot!$A$2:$A$1946, endirim!B845)</f>
        <v>66</v>
      </c>
      <c r="G845" s="3" t="str">
        <f t="shared" si="13"/>
        <v>Təklif yoxdur</v>
      </c>
    </row>
    <row r="846" spans="2:7" x14ac:dyDescent="0.3">
      <c r="B846" t="s">
        <v>900</v>
      </c>
      <c r="C846" s="3" t="str" cm="1">
        <f t="array" ref="C846">_xlfn.XLOOKUP(1,(pivot!$A$2:$A$1946=Table3[[#This Row],[Müştəri adı]])*(pivot!$C$2:$C$1946=_xlfn.MAXIFS(pivot!$C$2:$C$1946,pivot!$A$2:$A$1946,Table3[[#This Row],[Müştəri adı]])),pivot!$B$2:$B$1946)</f>
        <v>NewCellphoneUser</v>
      </c>
      <c r="D846" s="22" cm="1">
        <f t="array" ref="D846">_xlfn.XLOOKUP(1,
  (pivot!$A$2:$A$1946=endirim!B846) * (pivot!$C$2:$C$1946 = _xlfn.MAXIFS(pivot!$C$2:$C$1946, pivot!$A$2:$A$1946, endirim!B846)),
  pivot!$D$2:$D$1946)</f>
        <v>25</v>
      </c>
      <c r="E846" s="3" t="str" cm="1">
        <f t="array" ref="E846">_xlfn.XLOOKUP(1,
    (pivot!$A$2:$A$1946=endirim!B846) * (pivot!$D$2:$D$1946 = _xlfn.MAXIFS(pivot!$D$2:$D$1946, pivot!$A$2:$A$1946, endirim!B846)),
    pivot!$B$2:$B$1946)</f>
        <v>NewCellphoneUser</v>
      </c>
      <c r="F846" s="22">
        <f>_xlfn.MAXIFS(pivot!$D$2:$D$1946, pivot!$A$2:$A$1946, endirim!B846)</f>
        <v>25</v>
      </c>
      <c r="G846" s="3" t="str">
        <f t="shared" si="13"/>
        <v>Təklif yoxdur</v>
      </c>
    </row>
    <row r="847" spans="2:7" x14ac:dyDescent="0.3">
      <c r="B847" t="s">
        <v>901</v>
      </c>
      <c r="C847" s="3" t="str" cm="1">
        <f t="array" ref="C847">_xlfn.XLOOKUP(1,(pivot!$A$2:$A$1946=Table3[[#This Row],[Müştəri adı]])*(pivot!$C$2:$C$1946=_xlfn.MAXIFS(pivot!$C$2:$C$1946,pivot!$A$2:$A$1946,Table3[[#This Row],[Müştəri adı]])),pivot!$B$2:$B$1946)</f>
        <v>OwnsComputer</v>
      </c>
      <c r="D847" s="22" cm="1">
        <f t="array" ref="D847">_xlfn.XLOOKUP(1,
  (pivot!$A$2:$A$1946=endirim!B847) * (pivot!$C$2:$C$1946 = _xlfn.MAXIFS(pivot!$C$2:$C$1946, pivot!$A$2:$A$1946, endirim!B847)),
  pivot!$D$2:$D$1946)</f>
        <v>62</v>
      </c>
      <c r="E847" s="3" t="str" cm="1">
        <f t="array" ref="E847">_xlfn.XLOOKUP(1,
    (pivot!$A$2:$A$1946=endirim!B847) * (pivot!$D$2:$D$1946 = _xlfn.MAXIFS(pivot!$D$2:$D$1946, pivot!$A$2:$A$1946, endirim!B847)),
    pivot!$B$2:$B$1946)</f>
        <v>OwnsComputer</v>
      </c>
      <c r="F847" s="22">
        <f>_xlfn.MAXIFS(pivot!$D$2:$D$1946, pivot!$A$2:$A$1946, endirim!B847)</f>
        <v>62</v>
      </c>
      <c r="G847" s="3" t="str">
        <f t="shared" si="13"/>
        <v>Təklif yoxdur</v>
      </c>
    </row>
    <row r="848" spans="2:7" x14ac:dyDescent="0.3">
      <c r="B848" t="s">
        <v>902</v>
      </c>
      <c r="C848" s="3" t="str" cm="1">
        <f t="array" ref="C848">_xlfn.XLOOKUP(1,(pivot!$A$2:$A$1946=Table3[[#This Row],[Müştəri adı]])*(pivot!$C$2:$C$1946=_xlfn.MAXIFS(pivot!$C$2:$C$1946,pivot!$A$2:$A$1946,Table3[[#This Row],[Müştəri adı]])),pivot!$B$2:$B$1946)</f>
        <v>NotNewCellphoneUser</v>
      </c>
      <c r="D848" s="22" cm="1">
        <f t="array" ref="D848">_xlfn.XLOOKUP(1,
  (pivot!$A$2:$A$1946=endirim!B848) * (pivot!$C$2:$C$1946 = _xlfn.MAXIFS(pivot!$C$2:$C$1946, pivot!$A$2:$A$1946, endirim!B848)),
  pivot!$D$2:$D$1946)</f>
        <v>28</v>
      </c>
      <c r="E848" s="3" t="str" cm="1">
        <f t="array" ref="E848">_xlfn.XLOOKUP(1,
    (pivot!$A$2:$A$1946=endirim!B848) * (pivot!$D$2:$D$1946 = _xlfn.MAXIFS(pivot!$D$2:$D$1946, pivot!$A$2:$A$1946, endirim!B848)),
    pivot!$B$2:$B$1946)</f>
        <v>NotNewCellphoneUser</v>
      </c>
      <c r="F848" s="22">
        <f>_xlfn.MAXIFS(pivot!$D$2:$D$1946, pivot!$A$2:$A$1946, endirim!B848)</f>
        <v>28</v>
      </c>
      <c r="G848" s="3" t="str">
        <f t="shared" si="13"/>
        <v>Təklif yoxdur</v>
      </c>
    </row>
    <row r="849" spans="2:7" x14ac:dyDescent="0.3">
      <c r="B849" t="s">
        <v>903</v>
      </c>
      <c r="C849" s="3" t="str" cm="1">
        <f t="array" ref="C849">_xlfn.XLOOKUP(1,(pivot!$A$2:$A$1946=Table3[[#This Row],[Müştəri adı]])*(pivot!$C$2:$C$1946=_xlfn.MAXIFS(pivot!$C$2:$C$1946,pivot!$A$2:$A$1946,Table3[[#This Row],[Müştəri adı]])),pivot!$B$2:$B$1946)</f>
        <v>HandsetRefurbished</v>
      </c>
      <c r="D849" s="22" cm="1">
        <f t="array" ref="D849">_xlfn.XLOOKUP(1,
  (pivot!$A$2:$A$1946=endirim!B849) * (pivot!$C$2:$C$1946 = _xlfn.MAXIFS(pivot!$C$2:$C$1946, pivot!$A$2:$A$1946, endirim!B849)),
  pivot!$D$2:$D$1946)</f>
        <v>26</v>
      </c>
      <c r="E849" s="3" t="str" cm="1">
        <f t="array" ref="E849">_xlfn.XLOOKUP(1,
    (pivot!$A$2:$A$1946=endirim!B849) * (pivot!$D$2:$D$1946 = _xlfn.MAXIFS(pivot!$D$2:$D$1946, pivot!$A$2:$A$1946, endirim!B849)),
    pivot!$B$2:$B$1946)</f>
        <v>HandsetRefurbished</v>
      </c>
      <c r="F849" s="22">
        <f>_xlfn.MAXIFS(pivot!$D$2:$D$1946, pivot!$A$2:$A$1946, endirim!B849)</f>
        <v>26</v>
      </c>
      <c r="G849" s="3" t="str">
        <f t="shared" si="13"/>
        <v>Təklif yoxdur</v>
      </c>
    </row>
    <row r="850" spans="2:7" x14ac:dyDescent="0.3">
      <c r="B850" t="s">
        <v>904</v>
      </c>
      <c r="C850" s="3" t="str" cm="1">
        <f t="array" ref="C850">_xlfn.XLOOKUP(1,(pivot!$A$2:$A$1946=Table3[[#This Row],[Müştəri adı]])*(pivot!$C$2:$C$1946=_xlfn.MAXIFS(pivot!$C$2:$C$1946,pivot!$A$2:$A$1946,Table3[[#This Row],[Müştəri adı]])),pivot!$B$2:$B$1946)</f>
        <v>BuysViaMailOrder</v>
      </c>
      <c r="D850" s="22" cm="1">
        <f t="array" ref="D850">_xlfn.XLOOKUP(1,
  (pivot!$A$2:$A$1946=endirim!B850) * (pivot!$C$2:$C$1946 = _xlfn.MAXIFS(pivot!$C$2:$C$1946, pivot!$A$2:$A$1946, endirim!B850)),
  pivot!$D$2:$D$1946)</f>
        <v>25</v>
      </c>
      <c r="E850" s="3" t="str" cm="1">
        <f t="array" ref="E850">_xlfn.XLOOKUP(1,
    (pivot!$A$2:$A$1946=endirim!B850) * (pivot!$D$2:$D$1946 = _xlfn.MAXIFS(pivot!$D$2:$D$1946, pivot!$A$2:$A$1946, endirim!B850)),
    pivot!$B$2:$B$1946)</f>
        <v>BuysViaMailOrder</v>
      </c>
      <c r="F850" s="22">
        <f>_xlfn.MAXIFS(pivot!$D$2:$D$1946, pivot!$A$2:$A$1946, endirim!B850)</f>
        <v>25</v>
      </c>
      <c r="G850" s="3" t="str">
        <f t="shared" si="13"/>
        <v>Təklif yoxdur</v>
      </c>
    </row>
    <row r="851" spans="2:7" x14ac:dyDescent="0.3">
      <c r="B851" t="s">
        <v>905</v>
      </c>
      <c r="C851" s="3" t="str" cm="1">
        <f t="array" ref="C851">_xlfn.XLOOKUP(1,(pivot!$A$2:$A$1946=Table3[[#This Row],[Müştəri adı]])*(pivot!$C$2:$C$1946=_xlfn.MAXIFS(pivot!$C$2:$C$1946,pivot!$A$2:$A$1946,Table3[[#This Row],[Müştəri adı]])),pivot!$B$2:$B$1946)</f>
        <v>OwnsComputer</v>
      </c>
      <c r="D851" s="22" cm="1">
        <f t="array" ref="D851">_xlfn.XLOOKUP(1,
  (pivot!$A$2:$A$1946=endirim!B851) * (pivot!$C$2:$C$1946 = _xlfn.MAXIFS(pivot!$C$2:$C$1946, pivot!$A$2:$A$1946, endirim!B851)),
  pivot!$D$2:$D$1946)</f>
        <v>62</v>
      </c>
      <c r="E851" s="3" t="str" cm="1">
        <f t="array" ref="E851">_xlfn.XLOOKUP(1,
    (pivot!$A$2:$A$1946=endirim!B851) * (pivot!$D$2:$D$1946 = _xlfn.MAXIFS(pivot!$D$2:$D$1946, pivot!$A$2:$A$1946, endirim!B851)),
    pivot!$B$2:$B$1946)</f>
        <v>OwnsComputer</v>
      </c>
      <c r="F851" s="22">
        <f>_xlfn.MAXIFS(pivot!$D$2:$D$1946, pivot!$A$2:$A$1946, endirim!B851)</f>
        <v>62</v>
      </c>
      <c r="G851" s="3" t="str">
        <f t="shared" si="13"/>
        <v>Təklif yoxdur</v>
      </c>
    </row>
    <row r="852" spans="2:7" x14ac:dyDescent="0.3">
      <c r="B852" t="s">
        <v>906</v>
      </c>
      <c r="C852" s="3" t="str" cm="1">
        <f t="array" ref="C852">_xlfn.XLOOKUP(1,(pivot!$A$2:$A$1946=Table3[[#This Row],[Müştəri adı]])*(pivot!$C$2:$C$1946=_xlfn.MAXIFS(pivot!$C$2:$C$1946,pivot!$A$2:$A$1946,Table3[[#This Row],[Müştəri adı]])),pivot!$B$2:$B$1946)</f>
        <v>OwnsMotorcycle</v>
      </c>
      <c r="D852" s="22" cm="1">
        <f t="array" ref="D852">_xlfn.XLOOKUP(1,
  (pivot!$A$2:$A$1946=endirim!B852) * (pivot!$C$2:$C$1946 = _xlfn.MAXIFS(pivot!$C$2:$C$1946, pivot!$A$2:$A$1946, endirim!B852)),
  pivot!$D$2:$D$1946)</f>
        <v>14</v>
      </c>
      <c r="E852" s="3" t="str" cm="1">
        <f t="array" ref="E852">_xlfn.XLOOKUP(1,
    (pivot!$A$2:$A$1946=endirim!B852) * (pivot!$D$2:$D$1946 = _xlfn.MAXIFS(pivot!$D$2:$D$1946, pivot!$A$2:$A$1946, endirim!B852)),
    pivot!$B$2:$B$1946)</f>
        <v>MadeCallToRetentionTeam</v>
      </c>
      <c r="F852" s="22">
        <f>_xlfn.MAXIFS(pivot!$D$2:$D$1946, pivot!$A$2:$A$1946, endirim!B852)</f>
        <v>16</v>
      </c>
      <c r="G852" s="3" t="str">
        <f t="shared" si="13"/>
        <v>MadeCallToRetentionTeam Kompaniyasını 20% endirimlə təklif et</v>
      </c>
    </row>
    <row r="853" spans="2:7" x14ac:dyDescent="0.3">
      <c r="B853" t="s">
        <v>907</v>
      </c>
      <c r="C853" s="3" t="str" cm="1">
        <f t="array" ref="C853">_xlfn.XLOOKUP(1,(pivot!$A$2:$A$1946=Table3[[#This Row],[Müştəri adı]])*(pivot!$C$2:$C$1946=_xlfn.MAXIFS(pivot!$C$2:$C$1946,pivot!$A$2:$A$1946,Table3[[#This Row],[Müştəri adı]])),pivot!$B$2:$B$1946)</f>
        <v>TruckOwner</v>
      </c>
      <c r="D853" s="22" cm="1">
        <f t="array" ref="D853">_xlfn.XLOOKUP(1,
  (pivot!$A$2:$A$1946=endirim!B853) * (pivot!$C$2:$C$1946 = _xlfn.MAXIFS(pivot!$C$2:$C$1946, pivot!$A$2:$A$1946, endirim!B853)),
  pivot!$D$2:$D$1946)</f>
        <v>26</v>
      </c>
      <c r="E853" s="3" t="str" cm="1">
        <f t="array" ref="E853">_xlfn.XLOOKUP(1,
    (pivot!$A$2:$A$1946=endirim!B853) * (pivot!$D$2:$D$1946 = _xlfn.MAXIFS(pivot!$D$2:$D$1946, pivot!$A$2:$A$1946, endirim!B853)),
    pivot!$B$2:$B$1946)</f>
        <v>TruckOwner</v>
      </c>
      <c r="F853" s="22">
        <f>_xlfn.MAXIFS(pivot!$D$2:$D$1946, pivot!$A$2:$A$1946, endirim!B853)</f>
        <v>26</v>
      </c>
      <c r="G853" s="3" t="str">
        <f t="shared" si="13"/>
        <v>Təklif yoxdur</v>
      </c>
    </row>
    <row r="854" spans="2:7" x14ac:dyDescent="0.3">
      <c r="B854" t="s">
        <v>908</v>
      </c>
      <c r="C854" s="3" t="str" cm="1">
        <f t="array" ref="C854">_xlfn.XLOOKUP(1,(pivot!$A$2:$A$1946=Table3[[#This Row],[Müştəri adı]])*(pivot!$C$2:$C$1946=_xlfn.MAXIFS(pivot!$C$2:$C$1946,pivot!$A$2:$A$1946,Table3[[#This Row],[Müştəri adı]])),pivot!$B$2:$B$1946)</f>
        <v>NotNewCellphoneUser</v>
      </c>
      <c r="D854" s="22" cm="1">
        <f t="array" ref="D854">_xlfn.XLOOKUP(1,
  (pivot!$A$2:$A$1946=endirim!B854) * (pivot!$C$2:$C$1946 = _xlfn.MAXIFS(pivot!$C$2:$C$1946, pivot!$A$2:$A$1946, endirim!B854)),
  pivot!$D$2:$D$1946)</f>
        <v>28</v>
      </c>
      <c r="E854" s="3" t="str" cm="1">
        <f t="array" ref="E854">_xlfn.XLOOKUP(1,
    (pivot!$A$2:$A$1946=endirim!B854) * (pivot!$D$2:$D$1946 = _xlfn.MAXIFS(pivot!$D$2:$D$1946, pivot!$A$2:$A$1946, endirim!B854)),
    pivot!$B$2:$B$1946)</f>
        <v>OptOutMailings</v>
      </c>
      <c r="F854" s="22">
        <f>_xlfn.MAXIFS(pivot!$D$2:$D$1946, pivot!$A$2:$A$1946, endirim!B854)</f>
        <v>75</v>
      </c>
      <c r="G854" s="3" t="str">
        <f t="shared" si="13"/>
        <v>OptOutMailings Kompaniyasını 20% endirimlə təklif et</v>
      </c>
    </row>
    <row r="855" spans="2:7" x14ac:dyDescent="0.3">
      <c r="B855" t="s">
        <v>909</v>
      </c>
      <c r="C855" s="3" t="str" cm="1">
        <f t="array" ref="C855">_xlfn.XLOOKUP(1,(pivot!$A$2:$A$1946=Table3[[#This Row],[Müştəri adı]])*(pivot!$C$2:$C$1946=_xlfn.MAXIFS(pivot!$C$2:$C$1946,pivot!$A$2:$A$1946,Table3[[#This Row],[Müştəri adı]])),pivot!$B$2:$B$1946)</f>
        <v>NonUSTravel</v>
      </c>
      <c r="D855" s="22" cm="1">
        <f t="array" ref="D855">_xlfn.XLOOKUP(1,
  (pivot!$A$2:$A$1946=endirim!B855) * (pivot!$C$2:$C$1946 = _xlfn.MAXIFS(pivot!$C$2:$C$1946, pivot!$A$2:$A$1946, endirim!B855)),
  pivot!$D$2:$D$1946)</f>
        <v>66</v>
      </c>
      <c r="E855" s="3" t="str" cm="1">
        <f t="array" ref="E855">_xlfn.XLOOKUP(1,
    (pivot!$A$2:$A$1946=endirim!B855) * (pivot!$D$2:$D$1946 = _xlfn.MAXIFS(pivot!$D$2:$D$1946, pivot!$A$2:$A$1946, endirim!B855)),
    pivot!$B$2:$B$1946)</f>
        <v>NonUSTravel</v>
      </c>
      <c r="F855" s="22">
        <f>_xlfn.MAXIFS(pivot!$D$2:$D$1946, pivot!$A$2:$A$1946, endirim!B855)</f>
        <v>66</v>
      </c>
      <c r="G855" s="3" t="str">
        <f t="shared" si="13"/>
        <v>Təklif yoxdur</v>
      </c>
    </row>
    <row r="856" spans="2:7" x14ac:dyDescent="0.3">
      <c r="B856" t="s">
        <v>910</v>
      </c>
      <c r="C856" s="3" t="str" cm="1">
        <f t="array" ref="C856">_xlfn.XLOOKUP(1,(pivot!$A$2:$A$1946=Table3[[#This Row],[Müştəri adı]])*(pivot!$C$2:$C$1946=_xlfn.MAXIFS(pivot!$C$2:$C$1946,pivot!$A$2:$A$1946,Table3[[#This Row],[Müştəri adı]])),pivot!$B$2:$B$1946)</f>
        <v>BuysViaMailOrder</v>
      </c>
      <c r="D856" s="22" cm="1">
        <f t="array" ref="D856">_xlfn.XLOOKUP(1,
  (pivot!$A$2:$A$1946=endirim!B856) * (pivot!$C$2:$C$1946 = _xlfn.MAXIFS(pivot!$C$2:$C$1946, pivot!$A$2:$A$1946, endirim!B856)),
  pivot!$D$2:$D$1946)</f>
        <v>25</v>
      </c>
      <c r="E856" s="3" t="str" cm="1">
        <f t="array" ref="E856">_xlfn.XLOOKUP(1,
    (pivot!$A$2:$A$1946=endirim!B856) * (pivot!$D$2:$D$1946 = _xlfn.MAXIFS(pivot!$D$2:$D$1946, pivot!$A$2:$A$1946, endirim!B856)),
    pivot!$B$2:$B$1946)</f>
        <v>HandsetWebCapable</v>
      </c>
      <c r="F856" s="22">
        <f>_xlfn.MAXIFS(pivot!$D$2:$D$1946, pivot!$A$2:$A$1946, endirim!B856)</f>
        <v>62</v>
      </c>
      <c r="G856" s="3" t="str">
        <f t="shared" si="13"/>
        <v>HandsetWebCapable Kompaniyasını 20% endirimlə təklif et</v>
      </c>
    </row>
    <row r="857" spans="2:7" x14ac:dyDescent="0.3">
      <c r="B857" t="s">
        <v>911</v>
      </c>
      <c r="C857" s="3" t="str" cm="1">
        <f t="array" ref="C857">_xlfn.XLOOKUP(1,(pivot!$A$2:$A$1946=Table3[[#This Row],[Müştəri adı]])*(pivot!$C$2:$C$1946=_xlfn.MAXIFS(pivot!$C$2:$C$1946,pivot!$A$2:$A$1946,Table3[[#This Row],[Müştəri adı]])),pivot!$B$2:$B$1946)</f>
        <v>MaritalStatus</v>
      </c>
      <c r="D857" s="22" cm="1">
        <f t="array" ref="D857">_xlfn.XLOOKUP(1,
  (pivot!$A$2:$A$1946=endirim!B857) * (pivot!$C$2:$C$1946 = _xlfn.MAXIFS(pivot!$C$2:$C$1946, pivot!$A$2:$A$1946, endirim!B857)),
  pivot!$D$2:$D$1946)</f>
        <v>29</v>
      </c>
      <c r="E857" s="3" t="str" cm="1">
        <f t="array" ref="E857">_xlfn.XLOOKUP(1,
    (pivot!$A$2:$A$1946=endirim!B857) * (pivot!$D$2:$D$1946 = _xlfn.MAXIFS(pivot!$D$2:$D$1946, pivot!$A$2:$A$1946, endirim!B857)),
    pivot!$B$2:$B$1946)</f>
        <v>MaritalStatus</v>
      </c>
      <c r="F857" s="22">
        <f>_xlfn.MAXIFS(pivot!$D$2:$D$1946, pivot!$A$2:$A$1946, endirim!B857)</f>
        <v>29</v>
      </c>
      <c r="G857" s="3" t="str">
        <f t="shared" si="13"/>
        <v>Təklif yoxdur</v>
      </c>
    </row>
    <row r="858" spans="2:7" x14ac:dyDescent="0.3">
      <c r="B858" t="s">
        <v>912</v>
      </c>
      <c r="C858" s="3" t="str" cm="1">
        <f t="array" ref="C858">_xlfn.XLOOKUP(1,(pivot!$A$2:$A$1946=Table3[[#This Row],[Müştəri adı]])*(pivot!$C$2:$C$1946=_xlfn.MAXIFS(pivot!$C$2:$C$1946,pivot!$A$2:$A$1946,Table3[[#This Row],[Müştəri adı]])),pivot!$B$2:$B$1946)</f>
        <v>ChildrenInHH</v>
      </c>
      <c r="D858" s="22" cm="1">
        <f t="array" ref="D858">_xlfn.XLOOKUP(1,
  (pivot!$A$2:$A$1946=endirim!B858) * (pivot!$C$2:$C$1946 = _xlfn.MAXIFS(pivot!$C$2:$C$1946, pivot!$A$2:$A$1946, endirim!B858)),
  pivot!$D$2:$D$1946)</f>
        <v>10</v>
      </c>
      <c r="E858" s="3" t="str" cm="1">
        <f t="array" ref="E858">_xlfn.XLOOKUP(1,
    (pivot!$A$2:$A$1946=endirim!B858) * (pivot!$D$2:$D$1946 = _xlfn.MAXIFS(pivot!$D$2:$D$1946, pivot!$A$2:$A$1946, endirim!B858)),
    pivot!$B$2:$B$1946)</f>
        <v>NonUSTravel</v>
      </c>
      <c r="F858" s="22">
        <f>_xlfn.MAXIFS(pivot!$D$2:$D$1946, pivot!$A$2:$A$1946, endirim!B858)</f>
        <v>66</v>
      </c>
      <c r="G858" s="3" t="str">
        <f t="shared" si="13"/>
        <v>NonUSTravel Kompaniyasını 20% endirimlə təklif et</v>
      </c>
    </row>
    <row r="859" spans="2:7" x14ac:dyDescent="0.3">
      <c r="B859" t="s">
        <v>913</v>
      </c>
      <c r="C859" s="3" t="str" cm="1">
        <f t="array" ref="C859">_xlfn.XLOOKUP(1,(pivot!$A$2:$A$1946=Table3[[#This Row],[Müştəri adı]])*(pivot!$C$2:$C$1946=_xlfn.MAXIFS(pivot!$C$2:$C$1946,pivot!$A$2:$A$1946,Table3[[#This Row],[Müştəri adı]])),pivot!$B$2:$B$1946)</f>
        <v>NotNewCellphoneUser</v>
      </c>
      <c r="D859" s="22" cm="1">
        <f t="array" ref="D859">_xlfn.XLOOKUP(1,
  (pivot!$A$2:$A$1946=endirim!B859) * (pivot!$C$2:$C$1946 = _xlfn.MAXIFS(pivot!$C$2:$C$1946, pivot!$A$2:$A$1946, endirim!B859)),
  pivot!$D$2:$D$1946)</f>
        <v>28</v>
      </c>
      <c r="E859" s="3" t="str" cm="1">
        <f t="array" ref="E859">_xlfn.XLOOKUP(1,
    (pivot!$A$2:$A$1946=endirim!B859) * (pivot!$D$2:$D$1946 = _xlfn.MAXIFS(pivot!$D$2:$D$1946, pivot!$A$2:$A$1946, endirim!B859)),
    pivot!$B$2:$B$1946)</f>
        <v>NotNewCellphoneUser</v>
      </c>
      <c r="F859" s="22">
        <f>_xlfn.MAXIFS(pivot!$D$2:$D$1946, pivot!$A$2:$A$1946, endirim!B859)</f>
        <v>28</v>
      </c>
      <c r="G859" s="3" t="str">
        <f t="shared" si="13"/>
        <v>Təklif yoxdur</v>
      </c>
    </row>
    <row r="860" spans="2:7" x14ac:dyDescent="0.3">
      <c r="B860" t="s">
        <v>914</v>
      </c>
      <c r="C860" s="3" t="str" cm="1">
        <f t="array" ref="C860">_xlfn.XLOOKUP(1,(pivot!$A$2:$A$1946=Table3[[#This Row],[Müştəri adı]])*(pivot!$C$2:$C$1946=_xlfn.MAXIFS(pivot!$C$2:$C$1946,pivot!$A$2:$A$1946,Table3[[#This Row],[Müştəri adı]])),pivot!$B$2:$B$1946)</f>
        <v>HasCreditCard</v>
      </c>
      <c r="D860" s="22" cm="1">
        <f t="array" ref="D860">_xlfn.XLOOKUP(1,
  (pivot!$A$2:$A$1946=endirim!B860) * (pivot!$C$2:$C$1946 = _xlfn.MAXIFS(pivot!$C$2:$C$1946, pivot!$A$2:$A$1946, endirim!B860)),
  pivot!$D$2:$D$1946)</f>
        <v>65</v>
      </c>
      <c r="E860" s="3" t="str" cm="1">
        <f t="array" ref="E860">_xlfn.XLOOKUP(1,
    (pivot!$A$2:$A$1946=endirim!B860) * (pivot!$D$2:$D$1946 = _xlfn.MAXIFS(pivot!$D$2:$D$1946, pivot!$A$2:$A$1946, endirim!B860)),
    pivot!$B$2:$B$1946)</f>
        <v>HasCreditCard</v>
      </c>
      <c r="F860" s="22">
        <f>_xlfn.MAXIFS(pivot!$D$2:$D$1946, pivot!$A$2:$A$1946, endirim!B860)</f>
        <v>65</v>
      </c>
      <c r="G860" s="3" t="str">
        <f t="shared" si="13"/>
        <v>Təklif yoxdur</v>
      </c>
    </row>
    <row r="861" spans="2:7" x14ac:dyDescent="0.3">
      <c r="B861" t="s">
        <v>915</v>
      </c>
      <c r="C861" s="3" t="str" cm="1">
        <f t="array" ref="C861">_xlfn.XLOOKUP(1,(pivot!$A$2:$A$1946=Table3[[#This Row],[Müştəri adı]])*(pivot!$C$2:$C$1946=_xlfn.MAXIFS(pivot!$C$2:$C$1946,pivot!$A$2:$A$1946,Table3[[#This Row],[Müştəri adı]])),pivot!$B$2:$B$1946)</f>
        <v>OwnsComputer</v>
      </c>
      <c r="D861" s="22" cm="1">
        <f t="array" ref="D861">_xlfn.XLOOKUP(1,
  (pivot!$A$2:$A$1946=endirim!B861) * (pivot!$C$2:$C$1946 = _xlfn.MAXIFS(pivot!$C$2:$C$1946, pivot!$A$2:$A$1946, endirim!B861)),
  pivot!$D$2:$D$1946)</f>
        <v>62</v>
      </c>
      <c r="E861" s="3" t="str" cm="1">
        <f t="array" ref="E861">_xlfn.XLOOKUP(1,
    (pivot!$A$2:$A$1946=endirim!B861) * (pivot!$D$2:$D$1946 = _xlfn.MAXIFS(pivot!$D$2:$D$1946, pivot!$A$2:$A$1946, endirim!B861)),
    pivot!$B$2:$B$1946)</f>
        <v>OwnsComputer</v>
      </c>
      <c r="F861" s="22">
        <f>_xlfn.MAXIFS(pivot!$D$2:$D$1946, pivot!$A$2:$A$1946, endirim!B861)</f>
        <v>62</v>
      </c>
      <c r="G861" s="3" t="str">
        <f t="shared" si="13"/>
        <v>Təklif yoxdur</v>
      </c>
    </row>
    <row r="862" spans="2:7" x14ac:dyDescent="0.3">
      <c r="B862" t="s">
        <v>916</v>
      </c>
      <c r="C862" s="3" t="str" cm="1">
        <f t="array" ref="C862">_xlfn.XLOOKUP(1,(pivot!$A$2:$A$1946=Table3[[#This Row],[Müştəri adı]])*(pivot!$C$2:$C$1946=_xlfn.MAXIFS(pivot!$C$2:$C$1946,pivot!$A$2:$A$1946,Table3[[#This Row],[Müştəri adı]])),pivot!$B$2:$B$1946)</f>
        <v>HandsetRefurbished</v>
      </c>
      <c r="D862" s="22" cm="1">
        <f t="array" ref="D862">_xlfn.XLOOKUP(1,
  (pivot!$A$2:$A$1946=endirim!B862) * (pivot!$C$2:$C$1946 = _xlfn.MAXIFS(pivot!$C$2:$C$1946, pivot!$A$2:$A$1946, endirim!B862)),
  pivot!$D$2:$D$1946)</f>
        <v>26</v>
      </c>
      <c r="E862" s="3" t="str" cm="1">
        <f t="array" ref="E862">_xlfn.XLOOKUP(1,
    (pivot!$A$2:$A$1946=endirim!B862) * (pivot!$D$2:$D$1946 = _xlfn.MAXIFS(pivot!$D$2:$D$1946, pivot!$A$2:$A$1946, endirim!B862)),
    pivot!$B$2:$B$1946)</f>
        <v>HandsetWebCapable</v>
      </c>
      <c r="F862" s="22">
        <f>_xlfn.MAXIFS(pivot!$D$2:$D$1946, pivot!$A$2:$A$1946, endirim!B862)</f>
        <v>62</v>
      </c>
      <c r="G862" s="3" t="str">
        <f t="shared" si="13"/>
        <v>HandsetWebCapable Kompaniyasını 20% endirimlə təklif et</v>
      </c>
    </row>
    <row r="863" spans="2:7" x14ac:dyDescent="0.3">
      <c r="B863" t="s">
        <v>917</v>
      </c>
      <c r="C863" s="3" t="str" cm="1">
        <f t="array" ref="C863">_xlfn.XLOOKUP(1,(pivot!$A$2:$A$1946=Table3[[#This Row],[Müştəri adı]])*(pivot!$C$2:$C$1946=_xlfn.MAXIFS(pivot!$C$2:$C$1946,pivot!$A$2:$A$1946,Table3[[#This Row],[Müştəri adı]])),pivot!$B$2:$B$1946)</f>
        <v>HasCreditCard</v>
      </c>
      <c r="D863" s="22" cm="1">
        <f t="array" ref="D863">_xlfn.XLOOKUP(1,
  (pivot!$A$2:$A$1946=endirim!B863) * (pivot!$C$2:$C$1946 = _xlfn.MAXIFS(pivot!$C$2:$C$1946, pivot!$A$2:$A$1946, endirim!B863)),
  pivot!$D$2:$D$1946)</f>
        <v>65</v>
      </c>
      <c r="E863" s="3" t="str" cm="1">
        <f t="array" ref="E863">_xlfn.XLOOKUP(1,
    (pivot!$A$2:$A$1946=endirim!B863) * (pivot!$D$2:$D$1946 = _xlfn.MAXIFS(pivot!$D$2:$D$1946, pivot!$A$2:$A$1946, endirim!B863)),
    pivot!$B$2:$B$1946)</f>
        <v>HasCreditCard</v>
      </c>
      <c r="F863" s="22">
        <f>_xlfn.MAXIFS(pivot!$D$2:$D$1946, pivot!$A$2:$A$1946, endirim!B863)</f>
        <v>65</v>
      </c>
      <c r="G863" s="3" t="str">
        <f t="shared" si="13"/>
        <v>Təklif yoxdur</v>
      </c>
    </row>
    <row r="864" spans="2:7" x14ac:dyDescent="0.3">
      <c r="B864" t="s">
        <v>918</v>
      </c>
      <c r="C864" s="3" t="str" cm="1">
        <f t="array" ref="C864">_xlfn.XLOOKUP(1,(pivot!$A$2:$A$1946=Table3[[#This Row],[Müştəri adı]])*(pivot!$C$2:$C$1946=_xlfn.MAXIFS(pivot!$C$2:$C$1946,pivot!$A$2:$A$1946,Table3[[#This Row],[Müştəri adı]])),pivot!$B$2:$B$1946)</f>
        <v>NewCellphoneUser</v>
      </c>
      <c r="D864" s="22" cm="1">
        <f t="array" ref="D864">_xlfn.XLOOKUP(1,
  (pivot!$A$2:$A$1946=endirim!B864) * (pivot!$C$2:$C$1946 = _xlfn.MAXIFS(pivot!$C$2:$C$1946, pivot!$A$2:$A$1946, endirim!B864)),
  pivot!$D$2:$D$1946)</f>
        <v>25</v>
      </c>
      <c r="E864" s="3" t="str" cm="1">
        <f t="array" ref="E864">_xlfn.XLOOKUP(1,
    (pivot!$A$2:$A$1946=endirim!B864) * (pivot!$D$2:$D$1946 = _xlfn.MAXIFS(pivot!$D$2:$D$1946, pivot!$A$2:$A$1946, endirim!B864)),
    pivot!$B$2:$B$1946)</f>
        <v>NonUSTravel</v>
      </c>
      <c r="F864" s="22">
        <f>_xlfn.MAXIFS(pivot!$D$2:$D$1946, pivot!$A$2:$A$1946, endirim!B864)</f>
        <v>66</v>
      </c>
      <c r="G864" s="3" t="str">
        <f t="shared" si="13"/>
        <v>NonUSTravel Kompaniyasını 20% endirimlə təklif et</v>
      </c>
    </row>
    <row r="865" spans="2:7" x14ac:dyDescent="0.3">
      <c r="B865" t="s">
        <v>919</v>
      </c>
      <c r="C865" s="3" t="str" cm="1">
        <f t="array" ref="C865">_xlfn.XLOOKUP(1,(pivot!$A$2:$A$1946=Table3[[#This Row],[Müştəri adı]])*(pivot!$C$2:$C$1946=_xlfn.MAXIFS(pivot!$C$2:$C$1946,pivot!$A$2:$A$1946,Table3[[#This Row],[Müştəri adı]])),pivot!$B$2:$B$1946)</f>
        <v>Homeownership</v>
      </c>
      <c r="D865" s="22" cm="1">
        <f t="array" ref="D865">_xlfn.XLOOKUP(1,
  (pivot!$A$2:$A$1946=endirim!B865) * (pivot!$C$2:$C$1946 = _xlfn.MAXIFS(pivot!$C$2:$C$1946, pivot!$A$2:$A$1946, endirim!B865)),
  pivot!$D$2:$D$1946)</f>
        <v>13</v>
      </c>
      <c r="E865" s="3" t="str" cm="1">
        <f t="array" ref="E865">_xlfn.XLOOKUP(1,
    (pivot!$A$2:$A$1946=endirim!B865) * (pivot!$D$2:$D$1946 = _xlfn.MAXIFS(pivot!$D$2:$D$1946, pivot!$A$2:$A$1946, endirim!B865)),
    pivot!$B$2:$B$1946)</f>
        <v>MaritalStatus</v>
      </c>
      <c r="F865" s="22">
        <f>_xlfn.MAXIFS(pivot!$D$2:$D$1946, pivot!$A$2:$A$1946, endirim!B865)</f>
        <v>29</v>
      </c>
      <c r="G865" s="3" t="str">
        <f t="shared" si="13"/>
        <v>MaritalStatus Kompaniyasını 20% endirimlə təklif et</v>
      </c>
    </row>
    <row r="866" spans="2:7" x14ac:dyDescent="0.3">
      <c r="B866" t="s">
        <v>920</v>
      </c>
      <c r="C866" s="3" t="str" cm="1">
        <f t="array" ref="C866">_xlfn.XLOOKUP(1,(pivot!$A$2:$A$1946=Table3[[#This Row],[Müştəri adı]])*(pivot!$C$2:$C$1946=_xlfn.MAXIFS(pivot!$C$2:$C$1946,pivot!$A$2:$A$1946,Table3[[#This Row],[Müştəri adı]])),pivot!$B$2:$B$1946)</f>
        <v>RespondsToMailOffers</v>
      </c>
      <c r="D866" s="22" cm="1">
        <f t="array" ref="D866">_xlfn.XLOOKUP(1,
  (pivot!$A$2:$A$1946=endirim!B866) * (pivot!$C$2:$C$1946 = _xlfn.MAXIFS(pivot!$C$2:$C$1946, pivot!$A$2:$A$1946, endirim!B866)),
  pivot!$D$2:$D$1946)</f>
        <v>27</v>
      </c>
      <c r="E866" s="3" t="str" cm="1">
        <f t="array" ref="E866">_xlfn.XLOOKUP(1,
    (pivot!$A$2:$A$1946=endirim!B866) * (pivot!$D$2:$D$1946 = _xlfn.MAXIFS(pivot!$D$2:$D$1946, pivot!$A$2:$A$1946, endirim!B866)),
    pivot!$B$2:$B$1946)</f>
        <v>NonUSTravel</v>
      </c>
      <c r="F866" s="22">
        <f>_xlfn.MAXIFS(pivot!$D$2:$D$1946, pivot!$A$2:$A$1946, endirim!B866)</f>
        <v>66</v>
      </c>
      <c r="G866" s="3" t="str">
        <f t="shared" si="13"/>
        <v>NonUSTravel Kompaniyasını 20% endirimlə təklif et</v>
      </c>
    </row>
    <row r="867" spans="2:7" x14ac:dyDescent="0.3">
      <c r="B867" t="s">
        <v>921</v>
      </c>
      <c r="C867" s="3" t="str" cm="1">
        <f t="array" ref="C867">_xlfn.XLOOKUP(1,(pivot!$A$2:$A$1946=Table3[[#This Row],[Müştəri adı]])*(pivot!$C$2:$C$1946=_xlfn.MAXIFS(pivot!$C$2:$C$1946,pivot!$A$2:$A$1946,Table3[[#This Row],[Müştəri adı]])),pivot!$B$2:$B$1946)</f>
        <v>TruckOwner</v>
      </c>
      <c r="D867" s="22" cm="1">
        <f t="array" ref="D867">_xlfn.XLOOKUP(1,
  (pivot!$A$2:$A$1946=endirim!B867) * (pivot!$C$2:$C$1946 = _xlfn.MAXIFS(pivot!$C$2:$C$1946, pivot!$A$2:$A$1946, endirim!B867)),
  pivot!$D$2:$D$1946)</f>
        <v>26</v>
      </c>
      <c r="E867" s="3" t="str" cm="1">
        <f t="array" ref="E867">_xlfn.XLOOKUP(1,
    (pivot!$A$2:$A$1946=endirim!B867) * (pivot!$D$2:$D$1946 = _xlfn.MAXIFS(pivot!$D$2:$D$1946, pivot!$A$2:$A$1946, endirim!B867)),
    pivot!$B$2:$B$1946)</f>
        <v>OptOutMailings</v>
      </c>
      <c r="F867" s="22">
        <f>_xlfn.MAXIFS(pivot!$D$2:$D$1946, pivot!$A$2:$A$1946, endirim!B867)</f>
        <v>75</v>
      </c>
      <c r="G867" s="3" t="str">
        <f t="shared" si="13"/>
        <v>OptOutMailings Kompaniyasını 20% endirimlə təklif et</v>
      </c>
    </row>
    <row r="868" spans="2:7" x14ac:dyDescent="0.3">
      <c r="B868" t="s">
        <v>922</v>
      </c>
      <c r="C868" s="3" t="str" cm="1">
        <f t="array" ref="C868">_xlfn.XLOOKUP(1,(pivot!$A$2:$A$1946=Table3[[#This Row],[Müştəri adı]])*(pivot!$C$2:$C$1946=_xlfn.MAXIFS(pivot!$C$2:$C$1946,pivot!$A$2:$A$1946,Table3[[#This Row],[Müştəri adı]])),pivot!$B$2:$B$1946)</f>
        <v>ChildrenInHH</v>
      </c>
      <c r="D868" s="22" cm="1">
        <f t="array" ref="D868">_xlfn.XLOOKUP(1,
  (pivot!$A$2:$A$1946=endirim!B868) * (pivot!$C$2:$C$1946 = _xlfn.MAXIFS(pivot!$C$2:$C$1946, pivot!$A$2:$A$1946, endirim!B868)),
  pivot!$D$2:$D$1946)</f>
        <v>10</v>
      </c>
      <c r="E868" s="3" t="str" cm="1">
        <f t="array" ref="E868">_xlfn.XLOOKUP(1,
    (pivot!$A$2:$A$1946=endirim!B868) * (pivot!$D$2:$D$1946 = _xlfn.MAXIFS(pivot!$D$2:$D$1946, pivot!$A$2:$A$1946, endirim!B868)),
    pivot!$B$2:$B$1946)</f>
        <v>OptOutMailings</v>
      </c>
      <c r="F868" s="22">
        <f>_xlfn.MAXIFS(pivot!$D$2:$D$1946, pivot!$A$2:$A$1946, endirim!B868)</f>
        <v>75</v>
      </c>
      <c r="G868" s="3" t="str">
        <f t="shared" si="13"/>
        <v>OptOutMailings Kompaniyasını 20% endirimlə təklif et</v>
      </c>
    </row>
    <row r="869" spans="2:7" x14ac:dyDescent="0.3">
      <c r="B869" t="s">
        <v>923</v>
      </c>
      <c r="C869" s="3" t="str" cm="1">
        <f t="array" ref="C869">_xlfn.XLOOKUP(1,(pivot!$A$2:$A$1946=Table3[[#This Row],[Müştəri adı]])*(pivot!$C$2:$C$1946=_xlfn.MAXIFS(pivot!$C$2:$C$1946,pivot!$A$2:$A$1946,Table3[[#This Row],[Müştəri adı]])),pivot!$B$2:$B$1946)</f>
        <v>HandsetWebCapable</v>
      </c>
      <c r="D869" s="22" cm="1">
        <f t="array" ref="D869">_xlfn.XLOOKUP(1,
  (pivot!$A$2:$A$1946=endirim!B869) * (pivot!$C$2:$C$1946 = _xlfn.MAXIFS(pivot!$C$2:$C$1946, pivot!$A$2:$A$1946, endirim!B869)),
  pivot!$D$2:$D$1946)</f>
        <v>62</v>
      </c>
      <c r="E869" s="3" t="str" cm="1">
        <f t="array" ref="E869">_xlfn.XLOOKUP(1,
    (pivot!$A$2:$A$1946=endirim!B869) * (pivot!$D$2:$D$1946 = _xlfn.MAXIFS(pivot!$D$2:$D$1946, pivot!$A$2:$A$1946, endirim!B869)),
    pivot!$B$2:$B$1946)</f>
        <v>HandsetWebCapable</v>
      </c>
      <c r="F869" s="22">
        <f>_xlfn.MAXIFS(pivot!$D$2:$D$1946, pivot!$A$2:$A$1946, endirim!B869)</f>
        <v>62</v>
      </c>
      <c r="G869" s="3" t="str">
        <f t="shared" si="13"/>
        <v>Təklif yoxdur</v>
      </c>
    </row>
    <row r="870" spans="2:7" x14ac:dyDescent="0.3">
      <c r="B870" t="s">
        <v>924</v>
      </c>
      <c r="C870" s="3" t="str" cm="1">
        <f t="array" ref="C870">_xlfn.XLOOKUP(1,(pivot!$A$2:$A$1946=Table3[[#This Row],[Müştəri adı]])*(pivot!$C$2:$C$1946=_xlfn.MAXIFS(pivot!$C$2:$C$1946,pivot!$A$2:$A$1946,Table3[[#This Row],[Müştəri adı]])),pivot!$B$2:$B$1946)</f>
        <v>HandsetWebCapable</v>
      </c>
      <c r="D870" s="22" cm="1">
        <f t="array" ref="D870">_xlfn.XLOOKUP(1,
  (pivot!$A$2:$A$1946=endirim!B870) * (pivot!$C$2:$C$1946 = _xlfn.MAXIFS(pivot!$C$2:$C$1946, pivot!$A$2:$A$1946, endirim!B870)),
  pivot!$D$2:$D$1946)</f>
        <v>62</v>
      </c>
      <c r="E870" s="3" t="str" cm="1">
        <f t="array" ref="E870">_xlfn.XLOOKUP(1,
    (pivot!$A$2:$A$1946=endirim!B870) * (pivot!$D$2:$D$1946 = _xlfn.MAXIFS(pivot!$D$2:$D$1946, pivot!$A$2:$A$1946, endirim!B870)),
    pivot!$B$2:$B$1946)</f>
        <v>HandsetWebCapable</v>
      </c>
      <c r="F870" s="22">
        <f>_xlfn.MAXIFS(pivot!$D$2:$D$1946, pivot!$A$2:$A$1946, endirim!B870)</f>
        <v>62</v>
      </c>
      <c r="G870" s="3" t="str">
        <f t="shared" si="13"/>
        <v>Təklif yoxdur</v>
      </c>
    </row>
    <row r="871" spans="2:7" x14ac:dyDescent="0.3">
      <c r="B871" t="s">
        <v>925</v>
      </c>
      <c r="C871" s="3" t="str" cm="1">
        <f t="array" ref="C871">_xlfn.XLOOKUP(1,(pivot!$A$2:$A$1946=Table3[[#This Row],[Müştəri adı]])*(pivot!$C$2:$C$1946=_xlfn.MAXIFS(pivot!$C$2:$C$1946,pivot!$A$2:$A$1946,Table3[[#This Row],[Müştəri adı]])),pivot!$B$2:$B$1946)</f>
        <v>HandsetRefurbished</v>
      </c>
      <c r="D871" s="22" cm="1">
        <f t="array" ref="D871">_xlfn.XLOOKUP(1,
  (pivot!$A$2:$A$1946=endirim!B871) * (pivot!$C$2:$C$1946 = _xlfn.MAXIFS(pivot!$C$2:$C$1946, pivot!$A$2:$A$1946, endirim!B871)),
  pivot!$D$2:$D$1946)</f>
        <v>26</v>
      </c>
      <c r="E871" s="3" t="str" cm="1">
        <f t="array" ref="E871">_xlfn.XLOOKUP(1,
    (pivot!$A$2:$A$1946=endirim!B871) * (pivot!$D$2:$D$1946 = _xlfn.MAXIFS(pivot!$D$2:$D$1946, pivot!$A$2:$A$1946, endirim!B871)),
    pivot!$B$2:$B$1946)</f>
        <v>HandsetRefurbished</v>
      </c>
      <c r="F871" s="22">
        <f>_xlfn.MAXIFS(pivot!$D$2:$D$1946, pivot!$A$2:$A$1946, endirim!B871)</f>
        <v>26</v>
      </c>
      <c r="G871" s="3" t="str">
        <f t="shared" si="13"/>
        <v>Təklif yoxdur</v>
      </c>
    </row>
    <row r="872" spans="2:7" x14ac:dyDescent="0.3">
      <c r="B872" t="s">
        <v>926</v>
      </c>
      <c r="C872" s="3" t="str" cm="1">
        <f t="array" ref="C872">_xlfn.XLOOKUP(1,(pivot!$A$2:$A$1946=Table3[[#This Row],[Müştəri adı]])*(pivot!$C$2:$C$1946=_xlfn.MAXIFS(pivot!$C$2:$C$1946,pivot!$A$2:$A$1946,Table3[[#This Row],[Müştəri adı]])),pivot!$B$2:$B$1946)</f>
        <v>HasCreditCard</v>
      </c>
      <c r="D872" s="22" cm="1">
        <f t="array" ref="D872">_xlfn.XLOOKUP(1,
  (pivot!$A$2:$A$1946=endirim!B872) * (pivot!$C$2:$C$1946 = _xlfn.MAXIFS(pivot!$C$2:$C$1946, pivot!$A$2:$A$1946, endirim!B872)),
  pivot!$D$2:$D$1946)</f>
        <v>65</v>
      </c>
      <c r="E872" s="3" t="str" cm="1">
        <f t="array" ref="E872">_xlfn.XLOOKUP(1,
    (pivot!$A$2:$A$1946=endirim!B872) * (pivot!$D$2:$D$1946 = _xlfn.MAXIFS(pivot!$D$2:$D$1946, pivot!$A$2:$A$1946, endirim!B872)),
    pivot!$B$2:$B$1946)</f>
        <v>HasCreditCard</v>
      </c>
      <c r="F872" s="22">
        <f>_xlfn.MAXIFS(pivot!$D$2:$D$1946, pivot!$A$2:$A$1946, endirim!B872)</f>
        <v>65</v>
      </c>
      <c r="G872" s="3" t="str">
        <f t="shared" si="13"/>
        <v>Təklif yoxdur</v>
      </c>
    </row>
    <row r="873" spans="2:7" x14ac:dyDescent="0.3">
      <c r="B873" t="s">
        <v>927</v>
      </c>
      <c r="C873" s="3" t="str" cm="1">
        <f t="array" ref="C873">_xlfn.XLOOKUP(1,(pivot!$A$2:$A$1946=Table3[[#This Row],[Müştəri adı]])*(pivot!$C$2:$C$1946=_xlfn.MAXIFS(pivot!$C$2:$C$1946,pivot!$A$2:$A$1946,Table3[[#This Row],[Müştəri adı]])),pivot!$B$2:$B$1946)</f>
        <v>MaritalStatus</v>
      </c>
      <c r="D873" s="22" cm="1">
        <f t="array" ref="D873">_xlfn.XLOOKUP(1,
  (pivot!$A$2:$A$1946=endirim!B873) * (pivot!$C$2:$C$1946 = _xlfn.MAXIFS(pivot!$C$2:$C$1946, pivot!$A$2:$A$1946, endirim!B873)),
  pivot!$D$2:$D$1946)</f>
        <v>29</v>
      </c>
      <c r="E873" s="3" t="str" cm="1">
        <f t="array" ref="E873">_xlfn.XLOOKUP(1,
    (pivot!$A$2:$A$1946=endirim!B873) * (pivot!$D$2:$D$1946 = _xlfn.MAXIFS(pivot!$D$2:$D$1946, pivot!$A$2:$A$1946, endirim!B873)),
    pivot!$B$2:$B$1946)</f>
        <v>MaritalStatus</v>
      </c>
      <c r="F873" s="22">
        <f>_xlfn.MAXIFS(pivot!$D$2:$D$1946, pivot!$A$2:$A$1946, endirim!B873)</f>
        <v>29</v>
      </c>
      <c r="G873" s="3" t="str">
        <f t="shared" si="13"/>
        <v>Təklif yoxdur</v>
      </c>
    </row>
    <row r="874" spans="2:7" x14ac:dyDescent="0.3">
      <c r="B874" t="s">
        <v>928</v>
      </c>
      <c r="C874" s="3" t="str" cm="1">
        <f t="array" ref="C874">_xlfn.XLOOKUP(1,(pivot!$A$2:$A$1946=Table3[[#This Row],[Müştəri adı]])*(pivot!$C$2:$C$1946=_xlfn.MAXIFS(pivot!$C$2:$C$1946,pivot!$A$2:$A$1946,Table3[[#This Row],[Müştəri adı]])),pivot!$B$2:$B$1946)</f>
        <v>HasCreditCard</v>
      </c>
      <c r="D874" s="22" cm="1">
        <f t="array" ref="D874">_xlfn.XLOOKUP(1,
  (pivot!$A$2:$A$1946=endirim!B874) * (pivot!$C$2:$C$1946 = _xlfn.MAXIFS(pivot!$C$2:$C$1946, pivot!$A$2:$A$1946, endirim!B874)),
  pivot!$D$2:$D$1946)</f>
        <v>65</v>
      </c>
      <c r="E874" s="3" t="str" cm="1">
        <f t="array" ref="E874">_xlfn.XLOOKUP(1,
    (pivot!$A$2:$A$1946=endirim!B874) * (pivot!$D$2:$D$1946 = _xlfn.MAXIFS(pivot!$D$2:$D$1946, pivot!$A$2:$A$1946, endirim!B874)),
    pivot!$B$2:$B$1946)</f>
        <v>HasCreditCard</v>
      </c>
      <c r="F874" s="22">
        <f>_xlfn.MAXIFS(pivot!$D$2:$D$1946, pivot!$A$2:$A$1946, endirim!B874)</f>
        <v>65</v>
      </c>
      <c r="G874" s="3" t="str">
        <f t="shared" si="13"/>
        <v>Təklif yoxdur</v>
      </c>
    </row>
    <row r="875" spans="2:7" x14ac:dyDescent="0.3">
      <c r="B875" t="s">
        <v>929</v>
      </c>
      <c r="C875" s="3" t="str" cm="1">
        <f t="array" ref="C875">_xlfn.XLOOKUP(1,(pivot!$A$2:$A$1946=Table3[[#This Row],[Müştəri adı]])*(pivot!$C$2:$C$1946=_xlfn.MAXIFS(pivot!$C$2:$C$1946,pivot!$A$2:$A$1946,Table3[[#This Row],[Müştəri adı]])),pivot!$B$2:$B$1946)</f>
        <v>RespondsToMailOffers</v>
      </c>
      <c r="D875" s="22" cm="1">
        <f t="array" ref="D875">_xlfn.XLOOKUP(1,
  (pivot!$A$2:$A$1946=endirim!B875) * (pivot!$C$2:$C$1946 = _xlfn.MAXIFS(pivot!$C$2:$C$1946, pivot!$A$2:$A$1946, endirim!B875)),
  pivot!$D$2:$D$1946)</f>
        <v>27</v>
      </c>
      <c r="E875" s="3" t="str" cm="1">
        <f t="array" ref="E875">_xlfn.XLOOKUP(1,
    (pivot!$A$2:$A$1946=endirim!B875) * (pivot!$D$2:$D$1946 = _xlfn.MAXIFS(pivot!$D$2:$D$1946, pivot!$A$2:$A$1946, endirim!B875)),
    pivot!$B$2:$B$1946)</f>
        <v>RespondsToMailOffers</v>
      </c>
      <c r="F875" s="22">
        <f>_xlfn.MAXIFS(pivot!$D$2:$D$1946, pivot!$A$2:$A$1946, endirim!B875)</f>
        <v>27</v>
      </c>
      <c r="G875" s="3" t="str">
        <f t="shared" si="13"/>
        <v>Təklif yoxdur</v>
      </c>
    </row>
    <row r="876" spans="2:7" x14ac:dyDescent="0.3">
      <c r="B876" t="s">
        <v>930</v>
      </c>
      <c r="C876" s="3" t="str" cm="1">
        <f t="array" ref="C876">_xlfn.XLOOKUP(1,(pivot!$A$2:$A$1946=Table3[[#This Row],[Müştəri adı]])*(pivot!$C$2:$C$1946=_xlfn.MAXIFS(pivot!$C$2:$C$1946,pivot!$A$2:$A$1946,Table3[[#This Row],[Müştəri adı]])),pivot!$B$2:$B$1946)</f>
        <v>MaritalStatus</v>
      </c>
      <c r="D876" s="22" cm="1">
        <f t="array" ref="D876">_xlfn.XLOOKUP(1,
  (pivot!$A$2:$A$1946=endirim!B876) * (pivot!$C$2:$C$1946 = _xlfn.MAXIFS(pivot!$C$2:$C$1946, pivot!$A$2:$A$1946, endirim!B876)),
  pivot!$D$2:$D$1946)</f>
        <v>29</v>
      </c>
      <c r="E876" s="3" t="str" cm="1">
        <f t="array" ref="E876">_xlfn.XLOOKUP(1,
    (pivot!$A$2:$A$1946=endirim!B876) * (pivot!$D$2:$D$1946 = _xlfn.MAXIFS(pivot!$D$2:$D$1946, pivot!$A$2:$A$1946, endirim!B876)),
    pivot!$B$2:$B$1946)</f>
        <v>MaritalStatus</v>
      </c>
      <c r="F876" s="22">
        <f>_xlfn.MAXIFS(pivot!$D$2:$D$1946, pivot!$A$2:$A$1946, endirim!B876)</f>
        <v>29</v>
      </c>
      <c r="G876" s="3" t="str">
        <f t="shared" si="13"/>
        <v>Təklif yoxdur</v>
      </c>
    </row>
    <row r="877" spans="2:7" x14ac:dyDescent="0.3">
      <c r="B877" t="s">
        <v>931</v>
      </c>
      <c r="C877" s="3" t="str" cm="1">
        <f t="array" ref="C877">_xlfn.XLOOKUP(1,(pivot!$A$2:$A$1946=Table3[[#This Row],[Müştəri adı]])*(pivot!$C$2:$C$1946=_xlfn.MAXIFS(pivot!$C$2:$C$1946,pivot!$A$2:$A$1946,Table3[[#This Row],[Müştəri adı]])),pivot!$B$2:$B$1946)</f>
        <v>HandsetWebCapable</v>
      </c>
      <c r="D877" s="22" cm="1">
        <f t="array" ref="D877">_xlfn.XLOOKUP(1,
  (pivot!$A$2:$A$1946=endirim!B877) * (pivot!$C$2:$C$1946 = _xlfn.MAXIFS(pivot!$C$2:$C$1946, pivot!$A$2:$A$1946, endirim!B877)),
  pivot!$D$2:$D$1946)</f>
        <v>62</v>
      </c>
      <c r="E877" s="3" t="str" cm="1">
        <f t="array" ref="E877">_xlfn.XLOOKUP(1,
    (pivot!$A$2:$A$1946=endirim!B877) * (pivot!$D$2:$D$1946 = _xlfn.MAXIFS(pivot!$D$2:$D$1946, pivot!$A$2:$A$1946, endirim!B877)),
    pivot!$B$2:$B$1946)</f>
        <v>HandsetWebCapable</v>
      </c>
      <c r="F877" s="22">
        <f>_xlfn.MAXIFS(pivot!$D$2:$D$1946, pivot!$A$2:$A$1946, endirim!B877)</f>
        <v>62</v>
      </c>
      <c r="G877" s="3" t="str">
        <f t="shared" si="13"/>
        <v>Təklif yoxdur</v>
      </c>
    </row>
    <row r="878" spans="2:7" x14ac:dyDescent="0.3">
      <c r="B878" t="s">
        <v>932</v>
      </c>
      <c r="C878" s="3" t="str" cm="1">
        <f t="array" ref="C878">_xlfn.XLOOKUP(1,(pivot!$A$2:$A$1946=Table3[[#This Row],[Müştəri adı]])*(pivot!$C$2:$C$1946=_xlfn.MAXIFS(pivot!$C$2:$C$1946,pivot!$A$2:$A$1946,Table3[[#This Row],[Müştəri adı]])),pivot!$B$2:$B$1946)</f>
        <v>OwnsComputer</v>
      </c>
      <c r="D878" s="22" cm="1">
        <f t="array" ref="D878">_xlfn.XLOOKUP(1,
  (pivot!$A$2:$A$1946=endirim!B878) * (pivot!$C$2:$C$1946 = _xlfn.MAXIFS(pivot!$C$2:$C$1946, pivot!$A$2:$A$1946, endirim!B878)),
  pivot!$D$2:$D$1946)</f>
        <v>62</v>
      </c>
      <c r="E878" s="3" t="str" cm="1">
        <f t="array" ref="E878">_xlfn.XLOOKUP(1,
    (pivot!$A$2:$A$1946=endirim!B878) * (pivot!$D$2:$D$1946 = _xlfn.MAXIFS(pivot!$D$2:$D$1946, pivot!$A$2:$A$1946, endirim!B878)),
    pivot!$B$2:$B$1946)</f>
        <v>OwnsComputer</v>
      </c>
      <c r="F878" s="22">
        <f>_xlfn.MAXIFS(pivot!$D$2:$D$1946, pivot!$A$2:$A$1946, endirim!B878)</f>
        <v>62</v>
      </c>
      <c r="G878" s="3" t="str">
        <f t="shared" si="13"/>
        <v>Təklif yoxdur</v>
      </c>
    </row>
    <row r="879" spans="2:7" x14ac:dyDescent="0.3">
      <c r="B879" t="s">
        <v>933</v>
      </c>
      <c r="C879" s="3" t="str" cm="1">
        <f t="array" ref="C879">_xlfn.XLOOKUP(1,(pivot!$A$2:$A$1946=Table3[[#This Row],[Müştəri adı]])*(pivot!$C$2:$C$1946=_xlfn.MAXIFS(pivot!$C$2:$C$1946,pivot!$A$2:$A$1946,Table3[[#This Row],[Müştəri adı]])),pivot!$B$2:$B$1946)</f>
        <v>HandsetRefurbished</v>
      </c>
      <c r="D879" s="22" cm="1">
        <f t="array" ref="D879">_xlfn.XLOOKUP(1,
  (pivot!$A$2:$A$1946=endirim!B879) * (pivot!$C$2:$C$1946 = _xlfn.MAXIFS(pivot!$C$2:$C$1946, pivot!$A$2:$A$1946, endirim!B879)),
  pivot!$D$2:$D$1946)</f>
        <v>26</v>
      </c>
      <c r="E879" s="3" t="str" cm="1">
        <f t="array" ref="E879">_xlfn.XLOOKUP(1,
    (pivot!$A$2:$A$1946=endirim!B879) * (pivot!$D$2:$D$1946 = _xlfn.MAXIFS(pivot!$D$2:$D$1946, pivot!$A$2:$A$1946, endirim!B879)),
    pivot!$B$2:$B$1946)</f>
        <v>HandsetRefurbished</v>
      </c>
      <c r="F879" s="22">
        <f>_xlfn.MAXIFS(pivot!$D$2:$D$1946, pivot!$A$2:$A$1946, endirim!B879)</f>
        <v>26</v>
      </c>
      <c r="G879" s="3" t="str">
        <f t="shared" si="13"/>
        <v>Təklif yoxdur</v>
      </c>
    </row>
    <row r="880" spans="2:7" x14ac:dyDescent="0.3">
      <c r="B880" t="s">
        <v>934</v>
      </c>
      <c r="C880" s="3" t="str" cm="1">
        <f t="array" ref="C880">_xlfn.XLOOKUP(1,(pivot!$A$2:$A$1946=Table3[[#This Row],[Müştəri adı]])*(pivot!$C$2:$C$1946=_xlfn.MAXIFS(pivot!$C$2:$C$1946,pivot!$A$2:$A$1946,Table3[[#This Row],[Müştəri adı]])),pivot!$B$2:$B$1946)</f>
        <v>HasCreditCard</v>
      </c>
      <c r="D880" s="22" cm="1">
        <f t="array" ref="D880">_xlfn.XLOOKUP(1,
  (pivot!$A$2:$A$1946=endirim!B880) * (pivot!$C$2:$C$1946 = _xlfn.MAXIFS(pivot!$C$2:$C$1946, pivot!$A$2:$A$1946, endirim!B880)),
  pivot!$D$2:$D$1946)</f>
        <v>65</v>
      </c>
      <c r="E880" s="3" t="str" cm="1">
        <f t="array" ref="E880">_xlfn.XLOOKUP(1,
    (pivot!$A$2:$A$1946=endirim!B880) * (pivot!$D$2:$D$1946 = _xlfn.MAXIFS(pivot!$D$2:$D$1946, pivot!$A$2:$A$1946, endirim!B880)),
    pivot!$B$2:$B$1946)</f>
        <v>HasCreditCard</v>
      </c>
      <c r="F880" s="22">
        <f>_xlfn.MAXIFS(pivot!$D$2:$D$1946, pivot!$A$2:$A$1946, endirim!B880)</f>
        <v>65</v>
      </c>
      <c r="G880" s="3" t="str">
        <f t="shared" si="13"/>
        <v>Təklif yoxdur</v>
      </c>
    </row>
    <row r="881" spans="2:7" x14ac:dyDescent="0.3">
      <c r="B881" t="s">
        <v>935</v>
      </c>
      <c r="C881" s="3" t="str" cm="1">
        <f t="array" ref="C881">_xlfn.XLOOKUP(1,(pivot!$A$2:$A$1946=Table3[[#This Row],[Müştəri adı]])*(pivot!$C$2:$C$1946=_xlfn.MAXIFS(pivot!$C$2:$C$1946,pivot!$A$2:$A$1946,Table3[[#This Row],[Müştəri adı]])),pivot!$B$2:$B$1946)</f>
        <v>BuysViaMailOrder</v>
      </c>
      <c r="D881" s="22" cm="1">
        <f t="array" ref="D881">_xlfn.XLOOKUP(1,
  (pivot!$A$2:$A$1946=endirim!B881) * (pivot!$C$2:$C$1946 = _xlfn.MAXIFS(pivot!$C$2:$C$1946, pivot!$A$2:$A$1946, endirim!B881)),
  pivot!$D$2:$D$1946)</f>
        <v>25</v>
      </c>
      <c r="E881" s="3" t="str" cm="1">
        <f t="array" ref="E881">_xlfn.XLOOKUP(1,
    (pivot!$A$2:$A$1946=endirim!B881) * (pivot!$D$2:$D$1946 = _xlfn.MAXIFS(pivot!$D$2:$D$1946, pivot!$A$2:$A$1946, endirim!B881)),
    pivot!$B$2:$B$1946)</f>
        <v>NonUSTravel</v>
      </c>
      <c r="F881" s="22">
        <f>_xlfn.MAXIFS(pivot!$D$2:$D$1946, pivot!$A$2:$A$1946, endirim!B881)</f>
        <v>66</v>
      </c>
      <c r="G881" s="3" t="str">
        <f t="shared" si="13"/>
        <v>NonUSTravel Kompaniyasını 20% endirimlə təklif et</v>
      </c>
    </row>
    <row r="882" spans="2:7" x14ac:dyDescent="0.3">
      <c r="B882" t="s">
        <v>936</v>
      </c>
      <c r="C882" s="3" t="str" cm="1">
        <f t="array" ref="C882">_xlfn.XLOOKUP(1,(pivot!$A$2:$A$1946=Table3[[#This Row],[Müştəri adı]])*(pivot!$C$2:$C$1946=_xlfn.MAXIFS(pivot!$C$2:$C$1946,pivot!$A$2:$A$1946,Table3[[#This Row],[Müştəri adı]])),pivot!$B$2:$B$1946)</f>
        <v>OwnsMotorcycle</v>
      </c>
      <c r="D882" s="22" cm="1">
        <f t="array" ref="D882">_xlfn.XLOOKUP(1,
  (pivot!$A$2:$A$1946=endirim!B882) * (pivot!$C$2:$C$1946 = _xlfn.MAXIFS(pivot!$C$2:$C$1946, pivot!$A$2:$A$1946, endirim!B882)),
  pivot!$D$2:$D$1946)</f>
        <v>14</v>
      </c>
      <c r="E882" s="3" t="str" cm="1">
        <f t="array" ref="E882">_xlfn.XLOOKUP(1,
    (pivot!$A$2:$A$1946=endirim!B882) * (pivot!$D$2:$D$1946 = _xlfn.MAXIFS(pivot!$D$2:$D$1946, pivot!$A$2:$A$1946, endirim!B882)),
    pivot!$B$2:$B$1946)</f>
        <v>HasCreditCard</v>
      </c>
      <c r="F882" s="22">
        <f>_xlfn.MAXIFS(pivot!$D$2:$D$1946, pivot!$A$2:$A$1946, endirim!B882)</f>
        <v>65</v>
      </c>
      <c r="G882" s="3" t="str">
        <f t="shared" si="13"/>
        <v>HasCreditCard Kompaniyasını 20% endirimlə təklif et</v>
      </c>
    </row>
    <row r="883" spans="2:7" x14ac:dyDescent="0.3">
      <c r="B883" t="s">
        <v>937</v>
      </c>
      <c r="C883" s="3" t="str" cm="1">
        <f t="array" ref="C883">_xlfn.XLOOKUP(1,(pivot!$A$2:$A$1946=Table3[[#This Row],[Müştəri adı]])*(pivot!$C$2:$C$1946=_xlfn.MAXIFS(pivot!$C$2:$C$1946,pivot!$A$2:$A$1946,Table3[[#This Row],[Müştəri adı]])),pivot!$B$2:$B$1946)</f>
        <v>ChildrenInHH</v>
      </c>
      <c r="D883" s="22" cm="1">
        <f t="array" ref="D883">_xlfn.XLOOKUP(1,
  (pivot!$A$2:$A$1946=endirim!B883) * (pivot!$C$2:$C$1946 = _xlfn.MAXIFS(pivot!$C$2:$C$1946, pivot!$A$2:$A$1946, endirim!B883)),
  pivot!$D$2:$D$1946)</f>
        <v>10</v>
      </c>
      <c r="E883" s="3" t="str" cm="1">
        <f t="array" ref="E883">_xlfn.XLOOKUP(1,
    (pivot!$A$2:$A$1946=endirim!B883) * (pivot!$D$2:$D$1946 = _xlfn.MAXIFS(pivot!$D$2:$D$1946, pivot!$A$2:$A$1946, endirim!B883)),
    pivot!$B$2:$B$1946)</f>
        <v>HandsetRefurbished</v>
      </c>
      <c r="F883" s="22">
        <f>_xlfn.MAXIFS(pivot!$D$2:$D$1946, pivot!$A$2:$A$1946, endirim!B883)</f>
        <v>26</v>
      </c>
      <c r="G883" s="3" t="str">
        <f t="shared" si="13"/>
        <v>HandsetRefurbished Kompaniyasını 20% endirimlə təklif et</v>
      </c>
    </row>
    <row r="884" spans="2:7" x14ac:dyDescent="0.3">
      <c r="B884" t="s">
        <v>938</v>
      </c>
      <c r="C884" s="3" t="str" cm="1">
        <f t="array" ref="C884">_xlfn.XLOOKUP(1,(pivot!$A$2:$A$1946=Table3[[#This Row],[Müştəri adı]])*(pivot!$C$2:$C$1946=_xlfn.MAXIFS(pivot!$C$2:$C$1946,pivot!$A$2:$A$1946,Table3[[#This Row],[Müştəri adı]])),pivot!$B$2:$B$1946)</f>
        <v>ChildrenInHH</v>
      </c>
      <c r="D884" s="22" cm="1">
        <f t="array" ref="D884">_xlfn.XLOOKUP(1,
  (pivot!$A$2:$A$1946=endirim!B884) * (pivot!$C$2:$C$1946 = _xlfn.MAXIFS(pivot!$C$2:$C$1946, pivot!$A$2:$A$1946, endirim!B884)),
  pivot!$D$2:$D$1946)</f>
        <v>10</v>
      </c>
      <c r="E884" s="3" t="str" cm="1">
        <f t="array" ref="E884">_xlfn.XLOOKUP(1,
    (pivot!$A$2:$A$1946=endirim!B884) * (pivot!$D$2:$D$1946 = _xlfn.MAXIFS(pivot!$D$2:$D$1946, pivot!$A$2:$A$1946, endirim!B884)),
    pivot!$B$2:$B$1946)</f>
        <v>ChildrenInHH</v>
      </c>
      <c r="F884" s="22">
        <f>_xlfn.MAXIFS(pivot!$D$2:$D$1946, pivot!$A$2:$A$1946, endirim!B884)</f>
        <v>10</v>
      </c>
      <c r="G884" s="3" t="str">
        <f t="shared" si="13"/>
        <v>Təklif yoxdur</v>
      </c>
    </row>
    <row r="885" spans="2:7" x14ac:dyDescent="0.3">
      <c r="B885" t="s">
        <v>939</v>
      </c>
      <c r="C885" s="3" t="str" cm="1">
        <f t="array" ref="C885">_xlfn.XLOOKUP(1,(pivot!$A$2:$A$1946=Table3[[#This Row],[Müştəri adı]])*(pivot!$C$2:$C$1946=_xlfn.MAXIFS(pivot!$C$2:$C$1946,pivot!$A$2:$A$1946,Table3[[#This Row],[Müştəri adı]])),pivot!$B$2:$B$1946)</f>
        <v>BuysViaMailOrder</v>
      </c>
      <c r="D885" s="22" cm="1">
        <f t="array" ref="D885">_xlfn.XLOOKUP(1,
  (pivot!$A$2:$A$1946=endirim!B885) * (pivot!$C$2:$C$1946 = _xlfn.MAXIFS(pivot!$C$2:$C$1946, pivot!$A$2:$A$1946, endirim!B885)),
  pivot!$D$2:$D$1946)</f>
        <v>25</v>
      </c>
      <c r="E885" s="3" t="str" cm="1">
        <f t="array" ref="E885">_xlfn.XLOOKUP(1,
    (pivot!$A$2:$A$1946=endirim!B885) * (pivot!$D$2:$D$1946 = _xlfn.MAXIFS(pivot!$D$2:$D$1946, pivot!$A$2:$A$1946, endirim!B885)),
    pivot!$B$2:$B$1946)</f>
        <v>OwnsComputer</v>
      </c>
      <c r="F885" s="22">
        <f>_xlfn.MAXIFS(pivot!$D$2:$D$1946, pivot!$A$2:$A$1946, endirim!B885)</f>
        <v>62</v>
      </c>
      <c r="G885" s="3" t="str">
        <f t="shared" si="13"/>
        <v>OwnsComputer Kompaniyasını 20% endirimlə təklif et</v>
      </c>
    </row>
    <row r="886" spans="2:7" x14ac:dyDescent="0.3">
      <c r="B886" t="s">
        <v>940</v>
      </c>
      <c r="C886" s="3" t="str" cm="1">
        <f t="array" ref="C886">_xlfn.XLOOKUP(1,(pivot!$A$2:$A$1946=Table3[[#This Row],[Müştəri adı]])*(pivot!$C$2:$C$1946=_xlfn.MAXIFS(pivot!$C$2:$C$1946,pivot!$A$2:$A$1946,Table3[[#This Row],[Müştəri adı]])),pivot!$B$2:$B$1946)</f>
        <v>ChildrenInHH</v>
      </c>
      <c r="D886" s="22" cm="1">
        <f t="array" ref="D886">_xlfn.XLOOKUP(1,
  (pivot!$A$2:$A$1946=endirim!B886) * (pivot!$C$2:$C$1946 = _xlfn.MAXIFS(pivot!$C$2:$C$1946, pivot!$A$2:$A$1946, endirim!B886)),
  pivot!$D$2:$D$1946)</f>
        <v>10</v>
      </c>
      <c r="E886" s="3" t="str" cm="1">
        <f t="array" ref="E886">_xlfn.XLOOKUP(1,
    (pivot!$A$2:$A$1946=endirim!B886) * (pivot!$D$2:$D$1946 = _xlfn.MAXIFS(pivot!$D$2:$D$1946, pivot!$A$2:$A$1946, endirim!B886)),
    pivot!$B$2:$B$1946)</f>
        <v>OwnsMotorcycle</v>
      </c>
      <c r="F886" s="22">
        <f>_xlfn.MAXIFS(pivot!$D$2:$D$1946, pivot!$A$2:$A$1946, endirim!B886)</f>
        <v>14</v>
      </c>
      <c r="G886" s="3" t="str">
        <f t="shared" si="13"/>
        <v>OwnsMotorcycle Kompaniyasını 20% endirimlə təklif et</v>
      </c>
    </row>
    <row r="887" spans="2:7" x14ac:dyDescent="0.3">
      <c r="B887" t="s">
        <v>941</v>
      </c>
      <c r="C887" s="3" t="str" cm="1">
        <f t="array" ref="C887">_xlfn.XLOOKUP(1,(pivot!$A$2:$A$1946=Table3[[#This Row],[Müştəri adı]])*(pivot!$C$2:$C$1946=_xlfn.MAXIFS(pivot!$C$2:$C$1946,pivot!$A$2:$A$1946,Table3[[#This Row],[Müştəri adı]])),pivot!$B$2:$B$1946)</f>
        <v>BuysViaMailOrder</v>
      </c>
      <c r="D887" s="22" cm="1">
        <f t="array" ref="D887">_xlfn.XLOOKUP(1,
  (pivot!$A$2:$A$1946=endirim!B887) * (pivot!$C$2:$C$1946 = _xlfn.MAXIFS(pivot!$C$2:$C$1946, pivot!$A$2:$A$1946, endirim!B887)),
  pivot!$D$2:$D$1946)</f>
        <v>25</v>
      </c>
      <c r="E887" s="3" t="str" cm="1">
        <f t="array" ref="E887">_xlfn.XLOOKUP(1,
    (pivot!$A$2:$A$1946=endirim!B887) * (pivot!$D$2:$D$1946 = _xlfn.MAXIFS(pivot!$D$2:$D$1946, pivot!$A$2:$A$1946, endirim!B887)),
    pivot!$B$2:$B$1946)</f>
        <v>TruckOwner</v>
      </c>
      <c r="F887" s="22">
        <f>_xlfn.MAXIFS(pivot!$D$2:$D$1946, pivot!$A$2:$A$1946, endirim!B887)</f>
        <v>26</v>
      </c>
      <c r="G887" s="3" t="str">
        <f t="shared" si="13"/>
        <v>TruckOwner Kompaniyasını 20% endirimlə təklif et</v>
      </c>
    </row>
    <row r="888" spans="2:7" x14ac:dyDescent="0.3">
      <c r="B888" t="s">
        <v>942</v>
      </c>
      <c r="C888" s="3" t="str" cm="1">
        <f t="array" ref="C888">_xlfn.XLOOKUP(1,(pivot!$A$2:$A$1946=Table3[[#This Row],[Müştəri adı]])*(pivot!$C$2:$C$1946=_xlfn.MAXIFS(pivot!$C$2:$C$1946,pivot!$A$2:$A$1946,Table3[[#This Row],[Müştəri adı]])),pivot!$B$2:$B$1946)</f>
        <v>NotNewCellphoneUser</v>
      </c>
      <c r="D888" s="22" cm="1">
        <f t="array" ref="D888">_xlfn.XLOOKUP(1,
  (pivot!$A$2:$A$1946=endirim!B888) * (pivot!$C$2:$C$1946 = _xlfn.MAXIFS(pivot!$C$2:$C$1946, pivot!$A$2:$A$1946, endirim!B888)),
  pivot!$D$2:$D$1946)</f>
        <v>28</v>
      </c>
      <c r="E888" s="3" t="str" cm="1">
        <f t="array" ref="E888">_xlfn.XLOOKUP(1,
    (pivot!$A$2:$A$1946=endirim!B888) * (pivot!$D$2:$D$1946 = _xlfn.MAXIFS(pivot!$D$2:$D$1946, pivot!$A$2:$A$1946, endirim!B888)),
    pivot!$B$2:$B$1946)</f>
        <v>MaritalStatus</v>
      </c>
      <c r="F888" s="22">
        <f>_xlfn.MAXIFS(pivot!$D$2:$D$1946, pivot!$A$2:$A$1946, endirim!B888)</f>
        <v>29</v>
      </c>
      <c r="G888" s="3" t="str">
        <f t="shared" si="13"/>
        <v>MaritalStatus Kompaniyasını 20% endirimlə təklif et</v>
      </c>
    </row>
    <row r="889" spans="2:7" x14ac:dyDescent="0.3">
      <c r="B889" t="s">
        <v>943</v>
      </c>
      <c r="C889" s="3" t="str" cm="1">
        <f t="array" ref="C889">_xlfn.XLOOKUP(1,(pivot!$A$2:$A$1946=Table3[[#This Row],[Müştəri adı]])*(pivot!$C$2:$C$1946=_xlfn.MAXIFS(pivot!$C$2:$C$1946,pivot!$A$2:$A$1946,Table3[[#This Row],[Müştəri adı]])),pivot!$B$2:$B$1946)</f>
        <v>ChildrenInHH</v>
      </c>
      <c r="D889" s="22" cm="1">
        <f t="array" ref="D889">_xlfn.XLOOKUP(1,
  (pivot!$A$2:$A$1946=endirim!B889) * (pivot!$C$2:$C$1946 = _xlfn.MAXIFS(pivot!$C$2:$C$1946, pivot!$A$2:$A$1946, endirim!B889)),
  pivot!$D$2:$D$1946)</f>
        <v>10</v>
      </c>
      <c r="E889" s="3" t="str" cm="1">
        <f t="array" ref="E889">_xlfn.XLOOKUP(1,
    (pivot!$A$2:$A$1946=endirim!B889) * (pivot!$D$2:$D$1946 = _xlfn.MAXIFS(pivot!$D$2:$D$1946, pivot!$A$2:$A$1946, endirim!B889)),
    pivot!$B$2:$B$1946)</f>
        <v>BuysViaMailOrder</v>
      </c>
      <c r="F889" s="22">
        <f>_xlfn.MAXIFS(pivot!$D$2:$D$1946, pivot!$A$2:$A$1946, endirim!B889)</f>
        <v>25</v>
      </c>
      <c r="G889" s="3" t="str">
        <f t="shared" si="13"/>
        <v>BuysViaMailOrder Kompaniyasını 20% endirimlə təklif et</v>
      </c>
    </row>
    <row r="890" spans="2:7" x14ac:dyDescent="0.3">
      <c r="B890" t="s">
        <v>944</v>
      </c>
      <c r="C890" s="3" t="str" cm="1">
        <f t="array" ref="C890">_xlfn.XLOOKUP(1,(pivot!$A$2:$A$1946=Table3[[#This Row],[Müştəri adı]])*(pivot!$C$2:$C$1946=_xlfn.MAXIFS(pivot!$C$2:$C$1946,pivot!$A$2:$A$1946,Table3[[#This Row],[Müştəri adı]])),pivot!$B$2:$B$1946)</f>
        <v>Homeownership</v>
      </c>
      <c r="D890" s="22" cm="1">
        <f t="array" ref="D890">_xlfn.XLOOKUP(1,
  (pivot!$A$2:$A$1946=endirim!B890) * (pivot!$C$2:$C$1946 = _xlfn.MAXIFS(pivot!$C$2:$C$1946, pivot!$A$2:$A$1946, endirim!B890)),
  pivot!$D$2:$D$1946)</f>
        <v>13</v>
      </c>
      <c r="E890" s="3" t="str" cm="1">
        <f t="array" ref="E890">_xlfn.XLOOKUP(1,
    (pivot!$A$2:$A$1946=endirim!B890) * (pivot!$D$2:$D$1946 = _xlfn.MAXIFS(pivot!$D$2:$D$1946, pivot!$A$2:$A$1946, endirim!B890)),
    pivot!$B$2:$B$1946)</f>
        <v>Homeownership</v>
      </c>
      <c r="F890" s="22">
        <f>_xlfn.MAXIFS(pivot!$D$2:$D$1946, pivot!$A$2:$A$1946, endirim!B890)</f>
        <v>13</v>
      </c>
      <c r="G890" s="3" t="str">
        <f t="shared" si="13"/>
        <v>Təklif yoxdur</v>
      </c>
    </row>
    <row r="891" spans="2:7" x14ac:dyDescent="0.3">
      <c r="B891" t="s">
        <v>945</v>
      </c>
      <c r="C891" s="3" t="str" cm="1">
        <f t="array" ref="C891">_xlfn.XLOOKUP(1,(pivot!$A$2:$A$1946=Table3[[#This Row],[Müştəri adı]])*(pivot!$C$2:$C$1946=_xlfn.MAXIFS(pivot!$C$2:$C$1946,pivot!$A$2:$A$1946,Table3[[#This Row],[Müştəri adı]])),pivot!$B$2:$B$1946)</f>
        <v>ChildrenInHH</v>
      </c>
      <c r="D891" s="22" cm="1">
        <f t="array" ref="D891">_xlfn.XLOOKUP(1,
  (pivot!$A$2:$A$1946=endirim!B891) * (pivot!$C$2:$C$1946 = _xlfn.MAXIFS(pivot!$C$2:$C$1946, pivot!$A$2:$A$1946, endirim!B891)),
  pivot!$D$2:$D$1946)</f>
        <v>10</v>
      </c>
      <c r="E891" s="3" t="str" cm="1">
        <f t="array" ref="E891">_xlfn.XLOOKUP(1,
    (pivot!$A$2:$A$1946=endirim!B891) * (pivot!$D$2:$D$1946 = _xlfn.MAXIFS(pivot!$D$2:$D$1946, pivot!$A$2:$A$1946, endirim!B891)),
    pivot!$B$2:$B$1946)</f>
        <v>NonUSTravel</v>
      </c>
      <c r="F891" s="22">
        <f>_xlfn.MAXIFS(pivot!$D$2:$D$1946, pivot!$A$2:$A$1946, endirim!B891)</f>
        <v>66</v>
      </c>
      <c r="G891" s="3" t="str">
        <f t="shared" si="13"/>
        <v>NonUSTravel Kompaniyasını 20% endirimlə təklif et</v>
      </c>
    </row>
    <row r="892" spans="2:7" x14ac:dyDescent="0.3">
      <c r="B892" t="s">
        <v>946</v>
      </c>
      <c r="C892" s="3" t="str" cm="1">
        <f t="array" ref="C892">_xlfn.XLOOKUP(1,(pivot!$A$2:$A$1946=Table3[[#This Row],[Müştəri adı]])*(pivot!$C$2:$C$1946=_xlfn.MAXIFS(pivot!$C$2:$C$1946,pivot!$A$2:$A$1946,Table3[[#This Row],[Müştəri adı]])),pivot!$B$2:$B$1946)</f>
        <v>RVOwner</v>
      </c>
      <c r="D892" s="22" cm="1">
        <f t="array" ref="D892">_xlfn.XLOOKUP(1,
  (pivot!$A$2:$A$1946=endirim!B892) * (pivot!$C$2:$C$1946 = _xlfn.MAXIFS(pivot!$C$2:$C$1946, pivot!$A$2:$A$1946, endirim!B892)),
  pivot!$D$2:$D$1946)</f>
        <v>22</v>
      </c>
      <c r="E892" s="3" t="str" cm="1">
        <f t="array" ref="E892">_xlfn.XLOOKUP(1,
    (pivot!$A$2:$A$1946=endirim!B892) * (pivot!$D$2:$D$1946 = _xlfn.MAXIFS(pivot!$D$2:$D$1946, pivot!$A$2:$A$1946, endirim!B892)),
    pivot!$B$2:$B$1946)</f>
        <v>RVOwner</v>
      </c>
      <c r="F892" s="22">
        <f>_xlfn.MAXIFS(pivot!$D$2:$D$1946, pivot!$A$2:$A$1946, endirim!B892)</f>
        <v>22</v>
      </c>
      <c r="G892" s="3" t="str">
        <f t="shared" si="13"/>
        <v>Təklif yoxdur</v>
      </c>
    </row>
    <row r="893" spans="2:7" x14ac:dyDescent="0.3">
      <c r="B893" t="s">
        <v>947</v>
      </c>
      <c r="C893" s="3" t="str" cm="1">
        <f t="array" ref="C893">_xlfn.XLOOKUP(1,(pivot!$A$2:$A$1946=Table3[[#This Row],[Müştəri adı]])*(pivot!$C$2:$C$1946=_xlfn.MAXIFS(pivot!$C$2:$C$1946,pivot!$A$2:$A$1946,Table3[[#This Row],[Müştəri adı]])),pivot!$B$2:$B$1946)</f>
        <v>NonUSTravel</v>
      </c>
      <c r="D893" s="22" cm="1">
        <f t="array" ref="D893">_xlfn.XLOOKUP(1,
  (pivot!$A$2:$A$1946=endirim!B893) * (pivot!$C$2:$C$1946 = _xlfn.MAXIFS(pivot!$C$2:$C$1946, pivot!$A$2:$A$1946, endirim!B893)),
  pivot!$D$2:$D$1946)</f>
        <v>66</v>
      </c>
      <c r="E893" s="3" t="str" cm="1">
        <f t="array" ref="E893">_xlfn.XLOOKUP(1,
    (pivot!$A$2:$A$1946=endirim!B893) * (pivot!$D$2:$D$1946 = _xlfn.MAXIFS(pivot!$D$2:$D$1946, pivot!$A$2:$A$1946, endirim!B893)),
    pivot!$B$2:$B$1946)</f>
        <v>NonUSTravel</v>
      </c>
      <c r="F893" s="22">
        <f>_xlfn.MAXIFS(pivot!$D$2:$D$1946, pivot!$A$2:$A$1946, endirim!B893)</f>
        <v>66</v>
      </c>
      <c r="G893" s="3" t="str">
        <f t="shared" si="13"/>
        <v>Təklif yoxdur</v>
      </c>
    </row>
    <row r="894" spans="2:7" x14ac:dyDescent="0.3">
      <c r="B894" t="s">
        <v>948</v>
      </c>
      <c r="C894" s="3" t="str" cm="1">
        <f t="array" ref="C894">_xlfn.XLOOKUP(1,(pivot!$A$2:$A$1946=Table3[[#This Row],[Müştəri adı]])*(pivot!$C$2:$C$1946=_xlfn.MAXIFS(pivot!$C$2:$C$1946,pivot!$A$2:$A$1946,Table3[[#This Row],[Müştəri adı]])),pivot!$B$2:$B$1946)</f>
        <v>NonUSTravel</v>
      </c>
      <c r="D894" s="22" cm="1">
        <f t="array" ref="D894">_xlfn.XLOOKUP(1,
  (pivot!$A$2:$A$1946=endirim!B894) * (pivot!$C$2:$C$1946 = _xlfn.MAXIFS(pivot!$C$2:$C$1946, pivot!$A$2:$A$1946, endirim!B894)),
  pivot!$D$2:$D$1946)</f>
        <v>66</v>
      </c>
      <c r="E894" s="3" t="str" cm="1">
        <f t="array" ref="E894">_xlfn.XLOOKUP(1,
    (pivot!$A$2:$A$1946=endirim!B894) * (pivot!$D$2:$D$1946 = _xlfn.MAXIFS(pivot!$D$2:$D$1946, pivot!$A$2:$A$1946, endirim!B894)),
    pivot!$B$2:$B$1946)</f>
        <v>NonUSTravel</v>
      </c>
      <c r="F894" s="22">
        <f>_xlfn.MAXIFS(pivot!$D$2:$D$1946, pivot!$A$2:$A$1946, endirim!B894)</f>
        <v>66</v>
      </c>
      <c r="G894" s="3" t="str">
        <f t="shared" si="13"/>
        <v>Təklif yoxdur</v>
      </c>
    </row>
    <row r="895" spans="2:7" x14ac:dyDescent="0.3">
      <c r="B895" t="s">
        <v>949</v>
      </c>
      <c r="C895" s="3" t="str" cm="1">
        <f t="array" ref="C895">_xlfn.XLOOKUP(1,(pivot!$A$2:$A$1946=Table3[[#This Row],[Müştəri adı]])*(pivot!$C$2:$C$1946=_xlfn.MAXIFS(pivot!$C$2:$C$1946,pivot!$A$2:$A$1946,Table3[[#This Row],[Müştəri adı]])),pivot!$B$2:$B$1946)</f>
        <v>HasCreditCard</v>
      </c>
      <c r="D895" s="22" cm="1">
        <f t="array" ref="D895">_xlfn.XLOOKUP(1,
  (pivot!$A$2:$A$1946=endirim!B895) * (pivot!$C$2:$C$1946 = _xlfn.MAXIFS(pivot!$C$2:$C$1946, pivot!$A$2:$A$1946, endirim!B895)),
  pivot!$D$2:$D$1946)</f>
        <v>65</v>
      </c>
      <c r="E895" s="3" t="str" cm="1">
        <f t="array" ref="E895">_xlfn.XLOOKUP(1,
    (pivot!$A$2:$A$1946=endirim!B895) * (pivot!$D$2:$D$1946 = _xlfn.MAXIFS(pivot!$D$2:$D$1946, pivot!$A$2:$A$1946, endirim!B895)),
    pivot!$B$2:$B$1946)</f>
        <v>HasCreditCard</v>
      </c>
      <c r="F895" s="22">
        <f>_xlfn.MAXIFS(pivot!$D$2:$D$1946, pivot!$A$2:$A$1946, endirim!B895)</f>
        <v>65</v>
      </c>
      <c r="G895" s="3" t="str">
        <f t="shared" si="13"/>
        <v>Təklif yoxdur</v>
      </c>
    </row>
    <row r="896" spans="2:7" x14ac:dyDescent="0.3">
      <c r="B896" t="s">
        <v>950</v>
      </c>
      <c r="C896" s="3" t="str" cm="1">
        <f t="array" ref="C896">_xlfn.XLOOKUP(1,(pivot!$A$2:$A$1946=Table3[[#This Row],[Müştəri adı]])*(pivot!$C$2:$C$1946=_xlfn.MAXIFS(pivot!$C$2:$C$1946,pivot!$A$2:$A$1946,Table3[[#This Row],[Müştəri adı]])),pivot!$B$2:$B$1946)</f>
        <v>MaritalStatus</v>
      </c>
      <c r="D896" s="22" cm="1">
        <f t="array" ref="D896">_xlfn.XLOOKUP(1,
  (pivot!$A$2:$A$1946=endirim!B896) * (pivot!$C$2:$C$1946 = _xlfn.MAXIFS(pivot!$C$2:$C$1946, pivot!$A$2:$A$1946, endirim!B896)),
  pivot!$D$2:$D$1946)</f>
        <v>29</v>
      </c>
      <c r="E896" s="3" t="str" cm="1">
        <f t="array" ref="E896">_xlfn.XLOOKUP(1,
    (pivot!$A$2:$A$1946=endirim!B896) * (pivot!$D$2:$D$1946 = _xlfn.MAXIFS(pivot!$D$2:$D$1946, pivot!$A$2:$A$1946, endirim!B896)),
    pivot!$B$2:$B$1946)</f>
        <v>MaritalStatus</v>
      </c>
      <c r="F896" s="22">
        <f>_xlfn.MAXIFS(pivot!$D$2:$D$1946, pivot!$A$2:$A$1946, endirim!B896)</f>
        <v>29</v>
      </c>
      <c r="G896" s="3" t="str">
        <f t="shared" si="13"/>
        <v>Təklif yoxdur</v>
      </c>
    </row>
    <row r="897" spans="2:7" x14ac:dyDescent="0.3">
      <c r="B897" t="s">
        <v>951</v>
      </c>
      <c r="C897" s="3" t="str" cm="1">
        <f t="array" ref="C897">_xlfn.XLOOKUP(1,(pivot!$A$2:$A$1946=Table3[[#This Row],[Müştəri adı]])*(pivot!$C$2:$C$1946=_xlfn.MAXIFS(pivot!$C$2:$C$1946,pivot!$A$2:$A$1946,Table3[[#This Row],[Müştəri adı]])),pivot!$B$2:$B$1946)</f>
        <v>HasCreditCard</v>
      </c>
      <c r="D897" s="22" cm="1">
        <f t="array" ref="D897">_xlfn.XLOOKUP(1,
  (pivot!$A$2:$A$1946=endirim!B897) * (pivot!$C$2:$C$1946 = _xlfn.MAXIFS(pivot!$C$2:$C$1946, pivot!$A$2:$A$1946, endirim!B897)),
  pivot!$D$2:$D$1946)</f>
        <v>65</v>
      </c>
      <c r="E897" s="3" t="str" cm="1">
        <f t="array" ref="E897">_xlfn.XLOOKUP(1,
    (pivot!$A$2:$A$1946=endirim!B897) * (pivot!$D$2:$D$1946 = _xlfn.MAXIFS(pivot!$D$2:$D$1946, pivot!$A$2:$A$1946, endirim!B897)),
    pivot!$B$2:$B$1946)</f>
        <v>OptOutMailings</v>
      </c>
      <c r="F897" s="22">
        <f>_xlfn.MAXIFS(pivot!$D$2:$D$1946, pivot!$A$2:$A$1946, endirim!B897)</f>
        <v>75</v>
      </c>
      <c r="G897" s="3" t="str">
        <f t="shared" si="13"/>
        <v>OptOutMailings Kompaniyasını 20% endirimlə təklif et</v>
      </c>
    </row>
    <row r="898" spans="2:7" x14ac:dyDescent="0.3">
      <c r="B898" t="s">
        <v>952</v>
      </c>
      <c r="C898" s="3" t="str" cm="1">
        <f t="array" ref="C898">_xlfn.XLOOKUP(1,(pivot!$A$2:$A$1946=Table3[[#This Row],[Müştəri adı]])*(pivot!$C$2:$C$1946=_xlfn.MAXIFS(pivot!$C$2:$C$1946,pivot!$A$2:$A$1946,Table3[[#This Row],[Müştəri adı]])),pivot!$B$2:$B$1946)</f>
        <v>NewCellphoneUser</v>
      </c>
      <c r="D898" s="22" cm="1">
        <f t="array" ref="D898">_xlfn.XLOOKUP(1,
  (pivot!$A$2:$A$1946=endirim!B898) * (pivot!$C$2:$C$1946 = _xlfn.MAXIFS(pivot!$C$2:$C$1946, pivot!$A$2:$A$1946, endirim!B898)),
  pivot!$D$2:$D$1946)</f>
        <v>25</v>
      </c>
      <c r="E898" s="3" t="str" cm="1">
        <f t="array" ref="E898">_xlfn.XLOOKUP(1,
    (pivot!$A$2:$A$1946=endirim!B898) * (pivot!$D$2:$D$1946 = _xlfn.MAXIFS(pivot!$D$2:$D$1946, pivot!$A$2:$A$1946, endirim!B898)),
    pivot!$B$2:$B$1946)</f>
        <v>MaritalStatus</v>
      </c>
      <c r="F898" s="22">
        <f>_xlfn.MAXIFS(pivot!$D$2:$D$1946, pivot!$A$2:$A$1946, endirim!B898)</f>
        <v>29</v>
      </c>
      <c r="G898" s="3" t="str">
        <f t="shared" si="13"/>
        <v>MaritalStatus Kompaniyasını 20% endirimlə təklif et</v>
      </c>
    </row>
    <row r="899" spans="2:7" x14ac:dyDescent="0.3">
      <c r="B899" t="s">
        <v>953</v>
      </c>
      <c r="C899" s="3" t="str" cm="1">
        <f t="array" ref="C899">_xlfn.XLOOKUP(1,(pivot!$A$2:$A$1946=Table3[[#This Row],[Müştəri adı]])*(pivot!$C$2:$C$1946=_xlfn.MAXIFS(pivot!$C$2:$C$1946,pivot!$A$2:$A$1946,Table3[[#This Row],[Müştəri adı]])),pivot!$B$2:$B$1946)</f>
        <v>TruckOwner</v>
      </c>
      <c r="D899" s="22" cm="1">
        <f t="array" ref="D899">_xlfn.XLOOKUP(1,
  (pivot!$A$2:$A$1946=endirim!B899) * (pivot!$C$2:$C$1946 = _xlfn.MAXIFS(pivot!$C$2:$C$1946, pivot!$A$2:$A$1946, endirim!B899)),
  pivot!$D$2:$D$1946)</f>
        <v>26</v>
      </c>
      <c r="E899" s="3" t="str" cm="1">
        <f t="array" ref="E899">_xlfn.XLOOKUP(1,
    (pivot!$A$2:$A$1946=endirim!B899) * (pivot!$D$2:$D$1946 = _xlfn.MAXIFS(pivot!$D$2:$D$1946, pivot!$A$2:$A$1946, endirim!B899)),
    pivot!$B$2:$B$1946)</f>
        <v>TruckOwner</v>
      </c>
      <c r="F899" s="22">
        <f>_xlfn.MAXIFS(pivot!$D$2:$D$1946, pivot!$A$2:$A$1946, endirim!B899)</f>
        <v>26</v>
      </c>
      <c r="G899" s="3" t="str">
        <f t="shared" si="13"/>
        <v>Təklif yoxdur</v>
      </c>
    </row>
    <row r="900" spans="2:7" x14ac:dyDescent="0.3">
      <c r="B900" t="s">
        <v>954</v>
      </c>
      <c r="C900" s="3" t="str" cm="1">
        <f t="array" ref="C900">_xlfn.XLOOKUP(1,(pivot!$A$2:$A$1946=Table3[[#This Row],[Müştəri adı]])*(pivot!$C$2:$C$1946=_xlfn.MAXIFS(pivot!$C$2:$C$1946,pivot!$A$2:$A$1946,Table3[[#This Row],[Müştəri adı]])),pivot!$B$2:$B$1946)</f>
        <v>NotNewCellphoneUser</v>
      </c>
      <c r="D900" s="22" cm="1">
        <f t="array" ref="D900">_xlfn.XLOOKUP(1,
  (pivot!$A$2:$A$1946=endirim!B900) * (pivot!$C$2:$C$1946 = _xlfn.MAXIFS(pivot!$C$2:$C$1946, pivot!$A$2:$A$1946, endirim!B900)),
  pivot!$D$2:$D$1946)</f>
        <v>28</v>
      </c>
      <c r="E900" s="3" t="str" cm="1">
        <f t="array" ref="E900">_xlfn.XLOOKUP(1,
    (pivot!$A$2:$A$1946=endirim!B900) * (pivot!$D$2:$D$1946 = _xlfn.MAXIFS(pivot!$D$2:$D$1946, pivot!$A$2:$A$1946, endirim!B900)),
    pivot!$B$2:$B$1946)</f>
        <v>NonUSTravel</v>
      </c>
      <c r="F900" s="22">
        <f>_xlfn.MAXIFS(pivot!$D$2:$D$1946, pivot!$A$2:$A$1946, endirim!B900)</f>
        <v>66</v>
      </c>
      <c r="G900" s="3" t="str">
        <f t="shared" ref="G900:G963" si="14">IF(D900=F900, "Təklif yoxdur", E900&amp;" Kompaniyasını 20% endirimlə təklif et")</f>
        <v>NonUSTravel Kompaniyasını 20% endirimlə təklif et</v>
      </c>
    </row>
    <row r="901" spans="2:7" x14ac:dyDescent="0.3">
      <c r="B901" t="s">
        <v>955</v>
      </c>
      <c r="C901" s="3" t="str" cm="1">
        <f t="array" ref="C901">_xlfn.XLOOKUP(1,(pivot!$A$2:$A$1946=Table3[[#This Row],[Müştəri adı]])*(pivot!$C$2:$C$1946=_xlfn.MAXIFS(pivot!$C$2:$C$1946,pivot!$A$2:$A$1946,Table3[[#This Row],[Müştəri adı]])),pivot!$B$2:$B$1946)</f>
        <v>RespondsToMailOffers</v>
      </c>
      <c r="D901" s="22" cm="1">
        <f t="array" ref="D901">_xlfn.XLOOKUP(1,
  (pivot!$A$2:$A$1946=endirim!B901) * (pivot!$C$2:$C$1946 = _xlfn.MAXIFS(pivot!$C$2:$C$1946, pivot!$A$2:$A$1946, endirim!B901)),
  pivot!$D$2:$D$1946)</f>
        <v>27</v>
      </c>
      <c r="E901" s="3" t="str" cm="1">
        <f t="array" ref="E901">_xlfn.XLOOKUP(1,
    (pivot!$A$2:$A$1946=endirim!B901) * (pivot!$D$2:$D$1946 = _xlfn.MAXIFS(pivot!$D$2:$D$1946, pivot!$A$2:$A$1946, endirim!B901)),
    pivot!$B$2:$B$1946)</f>
        <v>RespondsToMailOffers</v>
      </c>
      <c r="F901" s="22">
        <f>_xlfn.MAXIFS(pivot!$D$2:$D$1946, pivot!$A$2:$A$1946, endirim!B901)</f>
        <v>27</v>
      </c>
      <c r="G901" s="3" t="str">
        <f t="shared" si="14"/>
        <v>Təklif yoxdur</v>
      </c>
    </row>
    <row r="902" spans="2:7" x14ac:dyDescent="0.3">
      <c r="B902" t="s">
        <v>956</v>
      </c>
      <c r="C902" s="3" t="str" cm="1">
        <f t="array" ref="C902">_xlfn.XLOOKUP(1,(pivot!$A$2:$A$1946=Table3[[#This Row],[Müştəri adı]])*(pivot!$C$2:$C$1946=_xlfn.MAXIFS(pivot!$C$2:$C$1946,pivot!$A$2:$A$1946,Table3[[#This Row],[Müştəri adı]])),pivot!$B$2:$B$1946)</f>
        <v>BuysViaMailOrder</v>
      </c>
      <c r="D902" s="22" cm="1">
        <f t="array" ref="D902">_xlfn.XLOOKUP(1,
  (pivot!$A$2:$A$1946=endirim!B902) * (pivot!$C$2:$C$1946 = _xlfn.MAXIFS(pivot!$C$2:$C$1946, pivot!$A$2:$A$1946, endirim!B902)),
  pivot!$D$2:$D$1946)</f>
        <v>25</v>
      </c>
      <c r="E902" s="3" t="str" cm="1">
        <f t="array" ref="E902">_xlfn.XLOOKUP(1,
    (pivot!$A$2:$A$1946=endirim!B902) * (pivot!$D$2:$D$1946 = _xlfn.MAXIFS(pivot!$D$2:$D$1946, pivot!$A$2:$A$1946, endirim!B902)),
    pivot!$B$2:$B$1946)</f>
        <v>NonUSTravel</v>
      </c>
      <c r="F902" s="22">
        <f>_xlfn.MAXIFS(pivot!$D$2:$D$1946, pivot!$A$2:$A$1946, endirim!B902)</f>
        <v>66</v>
      </c>
      <c r="G902" s="3" t="str">
        <f t="shared" si="14"/>
        <v>NonUSTravel Kompaniyasını 20% endirimlə təklif et</v>
      </c>
    </row>
    <row r="903" spans="2:7" x14ac:dyDescent="0.3">
      <c r="B903" t="s">
        <v>957</v>
      </c>
      <c r="C903" s="3" t="str" cm="1">
        <f t="array" ref="C903">_xlfn.XLOOKUP(1,(pivot!$A$2:$A$1946=Table3[[#This Row],[Müştəri adı]])*(pivot!$C$2:$C$1946=_xlfn.MAXIFS(pivot!$C$2:$C$1946,pivot!$A$2:$A$1946,Table3[[#This Row],[Müştəri adı]])),pivot!$B$2:$B$1946)</f>
        <v>HasCreditCard</v>
      </c>
      <c r="D903" s="22" cm="1">
        <f t="array" ref="D903">_xlfn.XLOOKUP(1,
  (pivot!$A$2:$A$1946=endirim!B903) * (pivot!$C$2:$C$1946 = _xlfn.MAXIFS(pivot!$C$2:$C$1946, pivot!$A$2:$A$1946, endirim!B903)),
  pivot!$D$2:$D$1946)</f>
        <v>65</v>
      </c>
      <c r="E903" s="3" t="str" cm="1">
        <f t="array" ref="E903">_xlfn.XLOOKUP(1,
    (pivot!$A$2:$A$1946=endirim!B903) * (pivot!$D$2:$D$1946 = _xlfn.MAXIFS(pivot!$D$2:$D$1946, pivot!$A$2:$A$1946, endirim!B903)),
    pivot!$B$2:$B$1946)</f>
        <v>HasCreditCard</v>
      </c>
      <c r="F903" s="22">
        <f>_xlfn.MAXIFS(pivot!$D$2:$D$1946, pivot!$A$2:$A$1946, endirim!B903)</f>
        <v>65</v>
      </c>
      <c r="G903" s="3" t="str">
        <f t="shared" si="14"/>
        <v>Təklif yoxdur</v>
      </c>
    </row>
    <row r="904" spans="2:7" x14ac:dyDescent="0.3">
      <c r="B904" t="s">
        <v>958</v>
      </c>
      <c r="C904" s="3" t="str" cm="1">
        <f t="array" ref="C904">_xlfn.XLOOKUP(1,(pivot!$A$2:$A$1946=Table3[[#This Row],[Müştəri adı]])*(pivot!$C$2:$C$1946=_xlfn.MAXIFS(pivot!$C$2:$C$1946,pivot!$A$2:$A$1946,Table3[[#This Row],[Müştəri adı]])),pivot!$B$2:$B$1946)</f>
        <v>BuysViaMailOrder</v>
      </c>
      <c r="D904" s="22" cm="1">
        <f t="array" ref="D904">_xlfn.XLOOKUP(1,
  (pivot!$A$2:$A$1946=endirim!B904) * (pivot!$C$2:$C$1946 = _xlfn.MAXIFS(pivot!$C$2:$C$1946, pivot!$A$2:$A$1946, endirim!B904)),
  pivot!$D$2:$D$1946)</f>
        <v>25</v>
      </c>
      <c r="E904" s="3" t="str" cm="1">
        <f t="array" ref="E904">_xlfn.XLOOKUP(1,
    (pivot!$A$2:$A$1946=endirim!B904) * (pivot!$D$2:$D$1946 = _xlfn.MAXIFS(pivot!$D$2:$D$1946, pivot!$A$2:$A$1946, endirim!B904)),
    pivot!$B$2:$B$1946)</f>
        <v>BuysViaMailOrder</v>
      </c>
      <c r="F904" s="22">
        <f>_xlfn.MAXIFS(pivot!$D$2:$D$1946, pivot!$A$2:$A$1946, endirim!B904)</f>
        <v>25</v>
      </c>
      <c r="G904" s="3" t="str">
        <f t="shared" si="14"/>
        <v>Təklif yoxdur</v>
      </c>
    </row>
    <row r="905" spans="2:7" x14ac:dyDescent="0.3">
      <c r="B905" t="s">
        <v>959</v>
      </c>
      <c r="C905" s="3" t="str" cm="1">
        <f t="array" ref="C905">_xlfn.XLOOKUP(1,(pivot!$A$2:$A$1946=Table3[[#This Row],[Müştəri adı]])*(pivot!$C$2:$C$1946=_xlfn.MAXIFS(pivot!$C$2:$C$1946,pivot!$A$2:$A$1946,Table3[[#This Row],[Müştəri adı]])),pivot!$B$2:$B$1946)</f>
        <v>OwnsComputer</v>
      </c>
      <c r="D905" s="22" cm="1">
        <f t="array" ref="D905">_xlfn.XLOOKUP(1,
  (pivot!$A$2:$A$1946=endirim!B905) * (pivot!$C$2:$C$1946 = _xlfn.MAXIFS(pivot!$C$2:$C$1946, pivot!$A$2:$A$1946, endirim!B905)),
  pivot!$D$2:$D$1946)</f>
        <v>62</v>
      </c>
      <c r="E905" s="3" t="str" cm="1">
        <f t="array" ref="E905">_xlfn.XLOOKUP(1,
    (pivot!$A$2:$A$1946=endirim!B905) * (pivot!$D$2:$D$1946 = _xlfn.MAXIFS(pivot!$D$2:$D$1946, pivot!$A$2:$A$1946, endirim!B905)),
    pivot!$B$2:$B$1946)</f>
        <v>OwnsComputer</v>
      </c>
      <c r="F905" s="22">
        <f>_xlfn.MAXIFS(pivot!$D$2:$D$1946, pivot!$A$2:$A$1946, endirim!B905)</f>
        <v>62</v>
      </c>
      <c r="G905" s="3" t="str">
        <f t="shared" si="14"/>
        <v>Təklif yoxdur</v>
      </c>
    </row>
    <row r="906" spans="2:7" x14ac:dyDescent="0.3">
      <c r="B906" t="s">
        <v>960</v>
      </c>
      <c r="C906" s="3" t="str" cm="1">
        <f t="array" ref="C906">_xlfn.XLOOKUP(1,(pivot!$A$2:$A$1946=Table3[[#This Row],[Müştəri adı]])*(pivot!$C$2:$C$1946=_xlfn.MAXIFS(pivot!$C$2:$C$1946,pivot!$A$2:$A$1946,Table3[[#This Row],[Müştəri adı]])),pivot!$B$2:$B$1946)</f>
        <v>Homeownership</v>
      </c>
      <c r="D906" s="22" cm="1">
        <f t="array" ref="D906">_xlfn.XLOOKUP(1,
  (pivot!$A$2:$A$1946=endirim!B906) * (pivot!$C$2:$C$1946 = _xlfn.MAXIFS(pivot!$C$2:$C$1946, pivot!$A$2:$A$1946, endirim!B906)),
  pivot!$D$2:$D$1946)</f>
        <v>13</v>
      </c>
      <c r="E906" s="3" t="str" cm="1">
        <f t="array" ref="E906">_xlfn.XLOOKUP(1,
    (pivot!$A$2:$A$1946=endirim!B906) * (pivot!$D$2:$D$1946 = _xlfn.MAXIFS(pivot!$D$2:$D$1946, pivot!$A$2:$A$1946, endirim!B906)),
    pivot!$B$2:$B$1946)</f>
        <v>OptOutMailings</v>
      </c>
      <c r="F906" s="22">
        <f>_xlfn.MAXIFS(pivot!$D$2:$D$1946, pivot!$A$2:$A$1946, endirim!B906)</f>
        <v>75</v>
      </c>
      <c r="G906" s="3" t="str">
        <f t="shared" si="14"/>
        <v>OptOutMailings Kompaniyasını 20% endirimlə təklif et</v>
      </c>
    </row>
    <row r="907" spans="2:7" x14ac:dyDescent="0.3">
      <c r="B907" t="s">
        <v>961</v>
      </c>
      <c r="C907" s="3" t="str" cm="1">
        <f t="array" ref="C907">_xlfn.XLOOKUP(1,(pivot!$A$2:$A$1946=Table3[[#This Row],[Müştəri adı]])*(pivot!$C$2:$C$1946=_xlfn.MAXIFS(pivot!$C$2:$C$1946,pivot!$A$2:$A$1946,Table3[[#This Row],[Müştəri adı]])),pivot!$B$2:$B$1946)</f>
        <v>OwnsMotorcycle</v>
      </c>
      <c r="D907" s="22" cm="1">
        <f t="array" ref="D907">_xlfn.XLOOKUP(1,
  (pivot!$A$2:$A$1946=endirim!B907) * (pivot!$C$2:$C$1946 = _xlfn.MAXIFS(pivot!$C$2:$C$1946, pivot!$A$2:$A$1946, endirim!B907)),
  pivot!$D$2:$D$1946)</f>
        <v>14</v>
      </c>
      <c r="E907" s="3" t="str" cm="1">
        <f t="array" ref="E907">_xlfn.XLOOKUP(1,
    (pivot!$A$2:$A$1946=endirim!B907) * (pivot!$D$2:$D$1946 = _xlfn.MAXIFS(pivot!$D$2:$D$1946, pivot!$A$2:$A$1946, endirim!B907)),
    pivot!$B$2:$B$1946)</f>
        <v>OwnsMotorcycle</v>
      </c>
      <c r="F907" s="22">
        <f>_xlfn.MAXIFS(pivot!$D$2:$D$1946, pivot!$A$2:$A$1946, endirim!B907)</f>
        <v>14</v>
      </c>
      <c r="G907" s="3" t="str">
        <f t="shared" si="14"/>
        <v>Təklif yoxdur</v>
      </c>
    </row>
    <row r="908" spans="2:7" x14ac:dyDescent="0.3">
      <c r="B908" t="s">
        <v>962</v>
      </c>
      <c r="C908" s="3" t="str" cm="1">
        <f t="array" ref="C908">_xlfn.XLOOKUP(1,(pivot!$A$2:$A$1946=Table3[[#This Row],[Müştəri adı]])*(pivot!$C$2:$C$1946=_xlfn.MAXIFS(pivot!$C$2:$C$1946,pivot!$A$2:$A$1946,Table3[[#This Row],[Müştəri adı]])),pivot!$B$2:$B$1946)</f>
        <v>RVOwner</v>
      </c>
      <c r="D908" s="22" cm="1">
        <f t="array" ref="D908">_xlfn.XLOOKUP(1,
  (pivot!$A$2:$A$1946=endirim!B908) * (pivot!$C$2:$C$1946 = _xlfn.MAXIFS(pivot!$C$2:$C$1946, pivot!$A$2:$A$1946, endirim!B908)),
  pivot!$D$2:$D$1946)</f>
        <v>22</v>
      </c>
      <c r="E908" s="3" t="str" cm="1">
        <f t="array" ref="E908">_xlfn.XLOOKUP(1,
    (pivot!$A$2:$A$1946=endirim!B908) * (pivot!$D$2:$D$1946 = _xlfn.MAXIFS(pivot!$D$2:$D$1946, pivot!$A$2:$A$1946, endirim!B908)),
    pivot!$B$2:$B$1946)</f>
        <v>NonUSTravel</v>
      </c>
      <c r="F908" s="22">
        <f>_xlfn.MAXIFS(pivot!$D$2:$D$1946, pivot!$A$2:$A$1946, endirim!B908)</f>
        <v>66</v>
      </c>
      <c r="G908" s="3" t="str">
        <f t="shared" si="14"/>
        <v>NonUSTravel Kompaniyasını 20% endirimlə təklif et</v>
      </c>
    </row>
    <row r="909" spans="2:7" x14ac:dyDescent="0.3">
      <c r="B909" t="s">
        <v>963</v>
      </c>
      <c r="C909" s="3" t="str" cm="1">
        <f t="array" ref="C909">_xlfn.XLOOKUP(1,(pivot!$A$2:$A$1946=Table3[[#This Row],[Müştəri adı]])*(pivot!$C$2:$C$1946=_xlfn.MAXIFS(pivot!$C$2:$C$1946,pivot!$A$2:$A$1946,Table3[[#This Row],[Müştəri adı]])),pivot!$B$2:$B$1946)</f>
        <v>MaritalStatus</v>
      </c>
      <c r="D909" s="22" cm="1">
        <f t="array" ref="D909">_xlfn.XLOOKUP(1,
  (pivot!$A$2:$A$1946=endirim!B909) * (pivot!$C$2:$C$1946 = _xlfn.MAXIFS(pivot!$C$2:$C$1946, pivot!$A$2:$A$1946, endirim!B909)),
  pivot!$D$2:$D$1946)</f>
        <v>29</v>
      </c>
      <c r="E909" s="3" t="str" cm="1">
        <f t="array" ref="E909">_xlfn.XLOOKUP(1,
    (pivot!$A$2:$A$1946=endirim!B909) * (pivot!$D$2:$D$1946 = _xlfn.MAXIFS(pivot!$D$2:$D$1946, pivot!$A$2:$A$1946, endirim!B909)),
    pivot!$B$2:$B$1946)</f>
        <v>MaritalStatus</v>
      </c>
      <c r="F909" s="22">
        <f>_xlfn.MAXIFS(pivot!$D$2:$D$1946, pivot!$A$2:$A$1946, endirim!B909)</f>
        <v>29</v>
      </c>
      <c r="G909" s="3" t="str">
        <f t="shared" si="14"/>
        <v>Təklif yoxdur</v>
      </c>
    </row>
    <row r="910" spans="2:7" x14ac:dyDescent="0.3">
      <c r="B910" t="s">
        <v>964</v>
      </c>
      <c r="C910" s="3" t="str" cm="1">
        <f t="array" ref="C910">_xlfn.XLOOKUP(1,(pivot!$A$2:$A$1946=Table3[[#This Row],[Müştəri adı]])*(pivot!$C$2:$C$1946=_xlfn.MAXIFS(pivot!$C$2:$C$1946,pivot!$A$2:$A$1946,Table3[[#This Row],[Müştəri adı]])),pivot!$B$2:$B$1946)</f>
        <v>ChildrenInHH</v>
      </c>
      <c r="D910" s="22" cm="1">
        <f t="array" ref="D910">_xlfn.XLOOKUP(1,
  (pivot!$A$2:$A$1946=endirim!B910) * (pivot!$C$2:$C$1946 = _xlfn.MAXIFS(pivot!$C$2:$C$1946, pivot!$A$2:$A$1946, endirim!B910)),
  pivot!$D$2:$D$1946)</f>
        <v>10</v>
      </c>
      <c r="E910" s="3" t="str" cm="1">
        <f t="array" ref="E910">_xlfn.XLOOKUP(1,
    (pivot!$A$2:$A$1946=endirim!B910) * (pivot!$D$2:$D$1946 = _xlfn.MAXIFS(pivot!$D$2:$D$1946, pivot!$A$2:$A$1946, endirim!B910)),
    pivot!$B$2:$B$1946)</f>
        <v>TruckOwner</v>
      </c>
      <c r="F910" s="22">
        <f>_xlfn.MAXIFS(pivot!$D$2:$D$1946, pivot!$A$2:$A$1946, endirim!B910)</f>
        <v>26</v>
      </c>
      <c r="G910" s="3" t="str">
        <f t="shared" si="14"/>
        <v>TruckOwner Kompaniyasını 20% endirimlə təklif et</v>
      </c>
    </row>
    <row r="911" spans="2:7" x14ac:dyDescent="0.3">
      <c r="B911" t="s">
        <v>965</v>
      </c>
      <c r="C911" s="3" t="str" cm="1">
        <f t="array" ref="C911">_xlfn.XLOOKUP(1,(pivot!$A$2:$A$1946=Table3[[#This Row],[Müştəri adı]])*(pivot!$C$2:$C$1946=_xlfn.MAXIFS(pivot!$C$2:$C$1946,pivot!$A$2:$A$1946,Table3[[#This Row],[Müştəri adı]])),pivot!$B$2:$B$1946)</f>
        <v>RespondsToMailOffers</v>
      </c>
      <c r="D911" s="22" cm="1">
        <f t="array" ref="D911">_xlfn.XLOOKUP(1,
  (pivot!$A$2:$A$1946=endirim!B911) * (pivot!$C$2:$C$1946 = _xlfn.MAXIFS(pivot!$C$2:$C$1946, pivot!$A$2:$A$1946, endirim!B911)),
  pivot!$D$2:$D$1946)</f>
        <v>27</v>
      </c>
      <c r="E911" s="3" t="str" cm="1">
        <f t="array" ref="E911">_xlfn.XLOOKUP(1,
    (pivot!$A$2:$A$1946=endirim!B911) * (pivot!$D$2:$D$1946 = _xlfn.MAXIFS(pivot!$D$2:$D$1946, pivot!$A$2:$A$1946, endirim!B911)),
    pivot!$B$2:$B$1946)</f>
        <v>NonUSTravel</v>
      </c>
      <c r="F911" s="22">
        <f>_xlfn.MAXIFS(pivot!$D$2:$D$1946, pivot!$A$2:$A$1946, endirim!B911)</f>
        <v>66</v>
      </c>
      <c r="G911" s="3" t="str">
        <f t="shared" si="14"/>
        <v>NonUSTravel Kompaniyasını 20% endirimlə təklif et</v>
      </c>
    </row>
    <row r="912" spans="2:7" x14ac:dyDescent="0.3">
      <c r="B912" t="s">
        <v>966</v>
      </c>
      <c r="C912" s="3" t="str" cm="1">
        <f t="array" ref="C912">_xlfn.XLOOKUP(1,(pivot!$A$2:$A$1946=Table3[[#This Row],[Müştəri adı]])*(pivot!$C$2:$C$1946=_xlfn.MAXIFS(pivot!$C$2:$C$1946,pivot!$A$2:$A$1946,Table3[[#This Row],[Müştəri adı]])),pivot!$B$2:$B$1946)</f>
        <v>Homeownership</v>
      </c>
      <c r="D912" s="22" cm="1">
        <f t="array" ref="D912">_xlfn.XLOOKUP(1,
  (pivot!$A$2:$A$1946=endirim!B912) * (pivot!$C$2:$C$1946 = _xlfn.MAXIFS(pivot!$C$2:$C$1946, pivot!$A$2:$A$1946, endirim!B912)),
  pivot!$D$2:$D$1946)</f>
        <v>13</v>
      </c>
      <c r="E912" s="3" t="str" cm="1">
        <f t="array" ref="E912">_xlfn.XLOOKUP(1,
    (pivot!$A$2:$A$1946=endirim!B912) * (pivot!$D$2:$D$1946 = _xlfn.MAXIFS(pivot!$D$2:$D$1946, pivot!$A$2:$A$1946, endirim!B912)),
    pivot!$B$2:$B$1946)</f>
        <v>NotNewCellphoneUser</v>
      </c>
      <c r="F912" s="22">
        <f>_xlfn.MAXIFS(pivot!$D$2:$D$1946, pivot!$A$2:$A$1946, endirim!B912)</f>
        <v>28</v>
      </c>
      <c r="G912" s="3" t="str">
        <f t="shared" si="14"/>
        <v>NotNewCellphoneUser Kompaniyasını 20% endirimlə təklif et</v>
      </c>
    </row>
    <row r="913" spans="2:7" x14ac:dyDescent="0.3">
      <c r="B913" t="s">
        <v>967</v>
      </c>
      <c r="C913" s="3" t="str" cm="1">
        <f t="array" ref="C913">_xlfn.XLOOKUP(1,(pivot!$A$2:$A$1946=Table3[[#This Row],[Müştəri adı]])*(pivot!$C$2:$C$1946=_xlfn.MAXIFS(pivot!$C$2:$C$1946,pivot!$A$2:$A$1946,Table3[[#This Row],[Müştəri adı]])),pivot!$B$2:$B$1946)</f>
        <v>OwnsMotorcycle</v>
      </c>
      <c r="D913" s="22" cm="1">
        <f t="array" ref="D913">_xlfn.XLOOKUP(1,
  (pivot!$A$2:$A$1946=endirim!B913) * (pivot!$C$2:$C$1946 = _xlfn.MAXIFS(pivot!$C$2:$C$1946, pivot!$A$2:$A$1946, endirim!B913)),
  pivot!$D$2:$D$1946)</f>
        <v>14</v>
      </c>
      <c r="E913" s="3" t="str" cm="1">
        <f t="array" ref="E913">_xlfn.XLOOKUP(1,
    (pivot!$A$2:$A$1946=endirim!B913) * (pivot!$D$2:$D$1946 = _xlfn.MAXIFS(pivot!$D$2:$D$1946, pivot!$A$2:$A$1946, endirim!B913)),
    pivot!$B$2:$B$1946)</f>
        <v>OwnsComputer</v>
      </c>
      <c r="F913" s="22">
        <f>_xlfn.MAXIFS(pivot!$D$2:$D$1946, pivot!$A$2:$A$1946, endirim!B913)</f>
        <v>62</v>
      </c>
      <c r="G913" s="3" t="str">
        <f t="shared" si="14"/>
        <v>OwnsComputer Kompaniyasını 20% endirimlə təklif et</v>
      </c>
    </row>
    <row r="914" spans="2:7" x14ac:dyDescent="0.3">
      <c r="B914" t="s">
        <v>968</v>
      </c>
      <c r="C914" s="3" t="str" cm="1">
        <f t="array" ref="C914">_xlfn.XLOOKUP(1,(pivot!$A$2:$A$1946=Table3[[#This Row],[Müştəri adı]])*(pivot!$C$2:$C$1946=_xlfn.MAXIFS(pivot!$C$2:$C$1946,pivot!$A$2:$A$1946,Table3[[#This Row],[Müştəri adı]])),pivot!$B$2:$B$1946)</f>
        <v>RVOwner</v>
      </c>
      <c r="D914" s="22" cm="1">
        <f t="array" ref="D914">_xlfn.XLOOKUP(1,
  (pivot!$A$2:$A$1946=endirim!B914) * (pivot!$C$2:$C$1946 = _xlfn.MAXIFS(pivot!$C$2:$C$1946, pivot!$A$2:$A$1946, endirim!B914)),
  pivot!$D$2:$D$1946)</f>
        <v>22</v>
      </c>
      <c r="E914" s="3" t="str" cm="1">
        <f t="array" ref="E914">_xlfn.XLOOKUP(1,
    (pivot!$A$2:$A$1946=endirim!B914) * (pivot!$D$2:$D$1946 = _xlfn.MAXIFS(pivot!$D$2:$D$1946, pivot!$A$2:$A$1946, endirim!B914)),
    pivot!$B$2:$B$1946)</f>
        <v>OwnsComputer</v>
      </c>
      <c r="F914" s="22">
        <f>_xlfn.MAXIFS(pivot!$D$2:$D$1946, pivot!$A$2:$A$1946, endirim!B914)</f>
        <v>62</v>
      </c>
      <c r="G914" s="3" t="str">
        <f t="shared" si="14"/>
        <v>OwnsComputer Kompaniyasını 20% endirimlə təklif et</v>
      </c>
    </row>
    <row r="915" spans="2:7" x14ac:dyDescent="0.3">
      <c r="B915" t="s">
        <v>969</v>
      </c>
      <c r="C915" s="3" t="str" cm="1">
        <f t="array" ref="C915">_xlfn.XLOOKUP(1,(pivot!$A$2:$A$1946=Table3[[#This Row],[Müştəri adı]])*(pivot!$C$2:$C$1946=_xlfn.MAXIFS(pivot!$C$2:$C$1946,pivot!$A$2:$A$1946,Table3[[#This Row],[Müştəri adı]])),pivot!$B$2:$B$1946)</f>
        <v>OptOutMailings</v>
      </c>
      <c r="D915" s="22" cm="1">
        <f t="array" ref="D915">_xlfn.XLOOKUP(1,
  (pivot!$A$2:$A$1946=endirim!B915) * (pivot!$C$2:$C$1946 = _xlfn.MAXIFS(pivot!$C$2:$C$1946, pivot!$A$2:$A$1946, endirim!B915)),
  pivot!$D$2:$D$1946)</f>
        <v>75</v>
      </c>
      <c r="E915" s="3" t="str" cm="1">
        <f t="array" ref="E915">_xlfn.XLOOKUP(1,
    (pivot!$A$2:$A$1946=endirim!B915) * (pivot!$D$2:$D$1946 = _xlfn.MAXIFS(pivot!$D$2:$D$1946, pivot!$A$2:$A$1946, endirim!B915)),
    pivot!$B$2:$B$1946)</f>
        <v>OptOutMailings</v>
      </c>
      <c r="F915" s="22">
        <f>_xlfn.MAXIFS(pivot!$D$2:$D$1946, pivot!$A$2:$A$1946, endirim!B915)</f>
        <v>75</v>
      </c>
      <c r="G915" s="3" t="str">
        <f t="shared" si="14"/>
        <v>Təklif yoxdur</v>
      </c>
    </row>
    <row r="916" spans="2:7" x14ac:dyDescent="0.3">
      <c r="B916" t="s">
        <v>970</v>
      </c>
      <c r="C916" s="3" t="str" cm="1">
        <f t="array" ref="C916">_xlfn.XLOOKUP(1,(pivot!$A$2:$A$1946=Table3[[#This Row],[Müştəri adı]])*(pivot!$C$2:$C$1946=_xlfn.MAXIFS(pivot!$C$2:$C$1946,pivot!$A$2:$A$1946,Table3[[#This Row],[Müştəri adı]])),pivot!$B$2:$B$1946)</f>
        <v>MaritalStatus</v>
      </c>
      <c r="D916" s="22" cm="1">
        <f t="array" ref="D916">_xlfn.XLOOKUP(1,
  (pivot!$A$2:$A$1946=endirim!B916) * (pivot!$C$2:$C$1946 = _xlfn.MAXIFS(pivot!$C$2:$C$1946, pivot!$A$2:$A$1946, endirim!B916)),
  pivot!$D$2:$D$1946)</f>
        <v>29</v>
      </c>
      <c r="E916" s="3" t="str" cm="1">
        <f t="array" ref="E916">_xlfn.XLOOKUP(1,
    (pivot!$A$2:$A$1946=endirim!B916) * (pivot!$D$2:$D$1946 = _xlfn.MAXIFS(pivot!$D$2:$D$1946, pivot!$A$2:$A$1946, endirim!B916)),
    pivot!$B$2:$B$1946)</f>
        <v>MaritalStatus</v>
      </c>
      <c r="F916" s="22">
        <f>_xlfn.MAXIFS(pivot!$D$2:$D$1946, pivot!$A$2:$A$1946, endirim!B916)</f>
        <v>29</v>
      </c>
      <c r="G916" s="3" t="str">
        <f t="shared" si="14"/>
        <v>Təklif yoxdur</v>
      </c>
    </row>
    <row r="917" spans="2:7" x14ac:dyDescent="0.3">
      <c r="B917" t="s">
        <v>971</v>
      </c>
      <c r="C917" s="3" t="str" cm="1">
        <f t="array" ref="C917">_xlfn.XLOOKUP(1,(pivot!$A$2:$A$1946=Table3[[#This Row],[Müştəri adı]])*(pivot!$C$2:$C$1946=_xlfn.MAXIFS(pivot!$C$2:$C$1946,pivot!$A$2:$A$1946,Table3[[#This Row],[Müştəri adı]])),pivot!$B$2:$B$1946)</f>
        <v>MadeCallToRetentionTeam</v>
      </c>
      <c r="D917" s="22" cm="1">
        <f t="array" ref="D917">_xlfn.XLOOKUP(1,
  (pivot!$A$2:$A$1946=endirim!B917) * (pivot!$C$2:$C$1946 = _xlfn.MAXIFS(pivot!$C$2:$C$1946, pivot!$A$2:$A$1946, endirim!B917)),
  pivot!$D$2:$D$1946)</f>
        <v>16</v>
      </c>
      <c r="E917" s="3" t="str" cm="1">
        <f t="array" ref="E917">_xlfn.XLOOKUP(1,
    (pivot!$A$2:$A$1946=endirim!B917) * (pivot!$D$2:$D$1946 = _xlfn.MAXIFS(pivot!$D$2:$D$1946, pivot!$A$2:$A$1946, endirim!B917)),
    pivot!$B$2:$B$1946)</f>
        <v>HandsetWebCapable</v>
      </c>
      <c r="F917" s="22">
        <f>_xlfn.MAXIFS(pivot!$D$2:$D$1946, pivot!$A$2:$A$1946, endirim!B917)</f>
        <v>62</v>
      </c>
      <c r="G917" s="3" t="str">
        <f t="shared" si="14"/>
        <v>HandsetWebCapable Kompaniyasını 20% endirimlə təklif et</v>
      </c>
    </row>
    <row r="918" spans="2:7" x14ac:dyDescent="0.3">
      <c r="B918" t="s">
        <v>972</v>
      </c>
      <c r="C918" s="3" t="str" cm="1">
        <f t="array" ref="C918">_xlfn.XLOOKUP(1,(pivot!$A$2:$A$1946=Table3[[#This Row],[Müştəri adı]])*(pivot!$C$2:$C$1946=_xlfn.MAXIFS(pivot!$C$2:$C$1946,pivot!$A$2:$A$1946,Table3[[#This Row],[Müştəri adı]])),pivot!$B$2:$B$1946)</f>
        <v>RespondsToMailOffers</v>
      </c>
      <c r="D918" s="22" cm="1">
        <f t="array" ref="D918">_xlfn.XLOOKUP(1,
  (pivot!$A$2:$A$1946=endirim!B918) * (pivot!$C$2:$C$1946 = _xlfn.MAXIFS(pivot!$C$2:$C$1946, pivot!$A$2:$A$1946, endirim!B918)),
  pivot!$D$2:$D$1946)</f>
        <v>27</v>
      </c>
      <c r="E918" s="3" t="str" cm="1">
        <f t="array" ref="E918">_xlfn.XLOOKUP(1,
    (pivot!$A$2:$A$1946=endirim!B918) * (pivot!$D$2:$D$1946 = _xlfn.MAXIFS(pivot!$D$2:$D$1946, pivot!$A$2:$A$1946, endirim!B918)),
    pivot!$B$2:$B$1946)</f>
        <v>RespondsToMailOffers</v>
      </c>
      <c r="F918" s="22">
        <f>_xlfn.MAXIFS(pivot!$D$2:$D$1946, pivot!$A$2:$A$1946, endirim!B918)</f>
        <v>27</v>
      </c>
      <c r="G918" s="3" t="str">
        <f t="shared" si="14"/>
        <v>Təklif yoxdur</v>
      </c>
    </row>
    <row r="919" spans="2:7" x14ac:dyDescent="0.3">
      <c r="B919" t="s">
        <v>973</v>
      </c>
      <c r="C919" s="3" t="str" cm="1">
        <f t="array" ref="C919">_xlfn.XLOOKUP(1,(pivot!$A$2:$A$1946=Table3[[#This Row],[Müştəri adı]])*(pivot!$C$2:$C$1946=_xlfn.MAXIFS(pivot!$C$2:$C$1946,pivot!$A$2:$A$1946,Table3[[#This Row],[Müştəri adı]])),pivot!$B$2:$B$1946)</f>
        <v>MaritalStatus</v>
      </c>
      <c r="D919" s="22" cm="1">
        <f t="array" ref="D919">_xlfn.XLOOKUP(1,
  (pivot!$A$2:$A$1946=endirim!B919) * (pivot!$C$2:$C$1946 = _xlfn.MAXIFS(pivot!$C$2:$C$1946, pivot!$A$2:$A$1946, endirim!B919)),
  pivot!$D$2:$D$1946)</f>
        <v>29</v>
      </c>
      <c r="E919" s="3" t="str" cm="1">
        <f t="array" ref="E919">_xlfn.XLOOKUP(1,
    (pivot!$A$2:$A$1946=endirim!B919) * (pivot!$D$2:$D$1946 = _xlfn.MAXIFS(pivot!$D$2:$D$1946, pivot!$A$2:$A$1946, endirim!B919)),
    pivot!$B$2:$B$1946)</f>
        <v>NonUSTravel</v>
      </c>
      <c r="F919" s="22">
        <f>_xlfn.MAXIFS(pivot!$D$2:$D$1946, pivot!$A$2:$A$1946, endirim!B919)</f>
        <v>66</v>
      </c>
      <c r="G919" s="3" t="str">
        <f t="shared" si="14"/>
        <v>NonUSTravel Kompaniyasını 20% endirimlə təklif et</v>
      </c>
    </row>
    <row r="920" spans="2:7" x14ac:dyDescent="0.3">
      <c r="B920" t="s">
        <v>974</v>
      </c>
      <c r="C920" s="3" t="str" cm="1">
        <f t="array" ref="C920">_xlfn.XLOOKUP(1,(pivot!$A$2:$A$1946=Table3[[#This Row],[Müştəri adı]])*(pivot!$C$2:$C$1946=_xlfn.MAXIFS(pivot!$C$2:$C$1946,pivot!$A$2:$A$1946,Table3[[#This Row],[Müştəri adı]])),pivot!$B$2:$B$1946)</f>
        <v>HandsetRefurbished</v>
      </c>
      <c r="D920" s="22" cm="1">
        <f t="array" ref="D920">_xlfn.XLOOKUP(1,
  (pivot!$A$2:$A$1946=endirim!B920) * (pivot!$C$2:$C$1946 = _xlfn.MAXIFS(pivot!$C$2:$C$1946, pivot!$A$2:$A$1946, endirim!B920)),
  pivot!$D$2:$D$1946)</f>
        <v>26</v>
      </c>
      <c r="E920" s="3" t="str" cm="1">
        <f t="array" ref="E920">_xlfn.XLOOKUP(1,
    (pivot!$A$2:$A$1946=endirim!B920) * (pivot!$D$2:$D$1946 = _xlfn.MAXIFS(pivot!$D$2:$D$1946, pivot!$A$2:$A$1946, endirim!B920)),
    pivot!$B$2:$B$1946)</f>
        <v>HandsetRefurbished</v>
      </c>
      <c r="F920" s="22">
        <f>_xlfn.MAXIFS(pivot!$D$2:$D$1946, pivot!$A$2:$A$1946, endirim!B920)</f>
        <v>26</v>
      </c>
      <c r="G920" s="3" t="str">
        <f t="shared" si="14"/>
        <v>Təklif yoxdur</v>
      </c>
    </row>
    <row r="921" spans="2:7" x14ac:dyDescent="0.3">
      <c r="B921" t="s">
        <v>975</v>
      </c>
      <c r="C921" s="3" t="str" cm="1">
        <f t="array" ref="C921">_xlfn.XLOOKUP(1,(pivot!$A$2:$A$1946=Table3[[#This Row],[Müştəri adı]])*(pivot!$C$2:$C$1946=_xlfn.MAXIFS(pivot!$C$2:$C$1946,pivot!$A$2:$A$1946,Table3[[#This Row],[Müştəri adı]])),pivot!$B$2:$B$1946)</f>
        <v>NotNewCellphoneUser</v>
      </c>
      <c r="D921" s="22" cm="1">
        <f t="array" ref="D921">_xlfn.XLOOKUP(1,
  (pivot!$A$2:$A$1946=endirim!B921) * (pivot!$C$2:$C$1946 = _xlfn.MAXIFS(pivot!$C$2:$C$1946, pivot!$A$2:$A$1946, endirim!B921)),
  pivot!$D$2:$D$1946)</f>
        <v>28</v>
      </c>
      <c r="E921" s="3" t="str" cm="1">
        <f t="array" ref="E921">_xlfn.XLOOKUP(1,
    (pivot!$A$2:$A$1946=endirim!B921) * (pivot!$D$2:$D$1946 = _xlfn.MAXIFS(pivot!$D$2:$D$1946, pivot!$A$2:$A$1946, endirim!B921)),
    pivot!$B$2:$B$1946)</f>
        <v>OwnsComputer</v>
      </c>
      <c r="F921" s="22">
        <f>_xlfn.MAXIFS(pivot!$D$2:$D$1946, pivot!$A$2:$A$1946, endirim!B921)</f>
        <v>62</v>
      </c>
      <c r="G921" s="3" t="str">
        <f t="shared" si="14"/>
        <v>OwnsComputer Kompaniyasını 20% endirimlə təklif et</v>
      </c>
    </row>
    <row r="922" spans="2:7" x14ac:dyDescent="0.3">
      <c r="B922" t="s">
        <v>976</v>
      </c>
      <c r="C922" s="3" t="str" cm="1">
        <f t="array" ref="C922">_xlfn.XLOOKUP(1,(pivot!$A$2:$A$1946=Table3[[#This Row],[Müştəri adı]])*(pivot!$C$2:$C$1946=_xlfn.MAXIFS(pivot!$C$2:$C$1946,pivot!$A$2:$A$1946,Table3[[#This Row],[Müştəri adı]])),pivot!$B$2:$B$1946)</f>
        <v>HasCreditCard</v>
      </c>
      <c r="D922" s="22" cm="1">
        <f t="array" ref="D922">_xlfn.XLOOKUP(1,
  (pivot!$A$2:$A$1946=endirim!B922) * (pivot!$C$2:$C$1946 = _xlfn.MAXIFS(pivot!$C$2:$C$1946, pivot!$A$2:$A$1946, endirim!B922)),
  pivot!$D$2:$D$1946)</f>
        <v>65</v>
      </c>
      <c r="E922" s="3" t="str" cm="1">
        <f t="array" ref="E922">_xlfn.XLOOKUP(1,
    (pivot!$A$2:$A$1946=endirim!B922) * (pivot!$D$2:$D$1946 = _xlfn.MAXIFS(pivot!$D$2:$D$1946, pivot!$A$2:$A$1946, endirim!B922)),
    pivot!$B$2:$B$1946)</f>
        <v>HasCreditCard</v>
      </c>
      <c r="F922" s="22">
        <f>_xlfn.MAXIFS(pivot!$D$2:$D$1946, pivot!$A$2:$A$1946, endirim!B922)</f>
        <v>65</v>
      </c>
      <c r="G922" s="3" t="str">
        <f t="shared" si="14"/>
        <v>Təklif yoxdur</v>
      </c>
    </row>
    <row r="923" spans="2:7" x14ac:dyDescent="0.3">
      <c r="B923" t="s">
        <v>977</v>
      </c>
      <c r="C923" s="3" t="str" cm="1">
        <f t="array" ref="C923">_xlfn.XLOOKUP(1,(pivot!$A$2:$A$1946=Table3[[#This Row],[Müştəri adı]])*(pivot!$C$2:$C$1946=_xlfn.MAXIFS(pivot!$C$2:$C$1946,pivot!$A$2:$A$1946,Table3[[#This Row],[Müştəri adı]])),pivot!$B$2:$B$1946)</f>
        <v>OwnsMotorcycle</v>
      </c>
      <c r="D923" s="22" cm="1">
        <f t="array" ref="D923">_xlfn.XLOOKUP(1,
  (pivot!$A$2:$A$1946=endirim!B923) * (pivot!$C$2:$C$1946 = _xlfn.MAXIFS(pivot!$C$2:$C$1946, pivot!$A$2:$A$1946, endirim!B923)),
  pivot!$D$2:$D$1946)</f>
        <v>14</v>
      </c>
      <c r="E923" s="3" t="str" cm="1">
        <f t="array" ref="E923">_xlfn.XLOOKUP(1,
    (pivot!$A$2:$A$1946=endirim!B923) * (pivot!$D$2:$D$1946 = _xlfn.MAXIFS(pivot!$D$2:$D$1946, pivot!$A$2:$A$1946, endirim!B923)),
    pivot!$B$2:$B$1946)</f>
        <v>MaritalStatus</v>
      </c>
      <c r="F923" s="22">
        <f>_xlfn.MAXIFS(pivot!$D$2:$D$1946, pivot!$A$2:$A$1946, endirim!B923)</f>
        <v>29</v>
      </c>
      <c r="G923" s="3" t="str">
        <f t="shared" si="14"/>
        <v>MaritalStatus Kompaniyasını 20% endirimlə təklif et</v>
      </c>
    </row>
    <row r="924" spans="2:7" x14ac:dyDescent="0.3">
      <c r="B924" t="s">
        <v>978</v>
      </c>
      <c r="C924" s="3" t="str" cm="1">
        <f t="array" ref="C924">_xlfn.XLOOKUP(1,(pivot!$A$2:$A$1946=Table3[[#This Row],[Müştəri adı]])*(pivot!$C$2:$C$1946=_xlfn.MAXIFS(pivot!$C$2:$C$1946,pivot!$A$2:$A$1946,Table3[[#This Row],[Müştəri adı]])),pivot!$B$2:$B$1946)</f>
        <v>TruckOwner</v>
      </c>
      <c r="D924" s="22" cm="1">
        <f t="array" ref="D924">_xlfn.XLOOKUP(1,
  (pivot!$A$2:$A$1946=endirim!B924) * (pivot!$C$2:$C$1946 = _xlfn.MAXIFS(pivot!$C$2:$C$1946, pivot!$A$2:$A$1946, endirim!B924)),
  pivot!$D$2:$D$1946)</f>
        <v>26</v>
      </c>
      <c r="E924" s="3" t="str" cm="1">
        <f t="array" ref="E924">_xlfn.XLOOKUP(1,
    (pivot!$A$2:$A$1946=endirim!B924) * (pivot!$D$2:$D$1946 = _xlfn.MAXIFS(pivot!$D$2:$D$1946, pivot!$A$2:$A$1946, endirim!B924)),
    pivot!$B$2:$B$1946)</f>
        <v>MaritalStatus</v>
      </c>
      <c r="F924" s="22">
        <f>_xlfn.MAXIFS(pivot!$D$2:$D$1946, pivot!$A$2:$A$1946, endirim!B924)</f>
        <v>29</v>
      </c>
      <c r="G924" s="3" t="str">
        <f t="shared" si="14"/>
        <v>MaritalStatus Kompaniyasını 20% endirimlə təklif et</v>
      </c>
    </row>
    <row r="925" spans="2:7" x14ac:dyDescent="0.3">
      <c r="B925" t="s">
        <v>979</v>
      </c>
      <c r="C925" s="3" t="str" cm="1">
        <f t="array" ref="C925">_xlfn.XLOOKUP(1,(pivot!$A$2:$A$1946=Table3[[#This Row],[Müştəri adı]])*(pivot!$C$2:$C$1946=_xlfn.MAXIFS(pivot!$C$2:$C$1946,pivot!$A$2:$A$1946,Table3[[#This Row],[Müştəri adı]])),pivot!$B$2:$B$1946)</f>
        <v>MadeCallToRetentionTeam</v>
      </c>
      <c r="D925" s="22" cm="1">
        <f t="array" ref="D925">_xlfn.XLOOKUP(1,
  (pivot!$A$2:$A$1946=endirim!B925) * (pivot!$C$2:$C$1946 = _xlfn.MAXIFS(pivot!$C$2:$C$1946, pivot!$A$2:$A$1946, endirim!B925)),
  pivot!$D$2:$D$1946)</f>
        <v>16</v>
      </c>
      <c r="E925" s="3" t="str" cm="1">
        <f t="array" ref="E925">_xlfn.XLOOKUP(1,
    (pivot!$A$2:$A$1946=endirim!B925) * (pivot!$D$2:$D$1946 = _xlfn.MAXIFS(pivot!$D$2:$D$1946, pivot!$A$2:$A$1946, endirim!B925)),
    pivot!$B$2:$B$1946)</f>
        <v>NewCellphoneUser</v>
      </c>
      <c r="F925" s="22">
        <f>_xlfn.MAXIFS(pivot!$D$2:$D$1946, pivot!$A$2:$A$1946, endirim!B925)</f>
        <v>25</v>
      </c>
      <c r="G925" s="3" t="str">
        <f t="shared" si="14"/>
        <v>NewCellphoneUser Kompaniyasını 20% endirimlə təklif et</v>
      </c>
    </row>
    <row r="926" spans="2:7" x14ac:dyDescent="0.3">
      <c r="B926" t="s">
        <v>980</v>
      </c>
      <c r="C926" s="3" t="str" cm="1">
        <f t="array" ref="C926">_xlfn.XLOOKUP(1,(pivot!$A$2:$A$1946=Table3[[#This Row],[Müştəri adı]])*(pivot!$C$2:$C$1946=_xlfn.MAXIFS(pivot!$C$2:$C$1946,pivot!$A$2:$A$1946,Table3[[#This Row],[Müştəri adı]])),pivot!$B$2:$B$1946)</f>
        <v>NotNewCellphoneUser</v>
      </c>
      <c r="D926" s="22" cm="1">
        <f t="array" ref="D926">_xlfn.XLOOKUP(1,
  (pivot!$A$2:$A$1946=endirim!B926) * (pivot!$C$2:$C$1946 = _xlfn.MAXIFS(pivot!$C$2:$C$1946, pivot!$A$2:$A$1946, endirim!B926)),
  pivot!$D$2:$D$1946)</f>
        <v>28</v>
      </c>
      <c r="E926" s="3" t="str" cm="1">
        <f t="array" ref="E926">_xlfn.XLOOKUP(1,
    (pivot!$A$2:$A$1946=endirim!B926) * (pivot!$D$2:$D$1946 = _xlfn.MAXIFS(pivot!$D$2:$D$1946, pivot!$A$2:$A$1946, endirim!B926)),
    pivot!$B$2:$B$1946)</f>
        <v>HasCreditCard</v>
      </c>
      <c r="F926" s="22">
        <f>_xlfn.MAXIFS(pivot!$D$2:$D$1946, pivot!$A$2:$A$1946, endirim!B926)</f>
        <v>65</v>
      </c>
      <c r="G926" s="3" t="str">
        <f t="shared" si="14"/>
        <v>HasCreditCard Kompaniyasını 20% endirimlə təklif et</v>
      </c>
    </row>
    <row r="927" spans="2:7" x14ac:dyDescent="0.3">
      <c r="B927" t="s">
        <v>981</v>
      </c>
      <c r="C927" s="3" t="str" cm="1">
        <f t="array" ref="C927">_xlfn.XLOOKUP(1,(pivot!$A$2:$A$1946=Table3[[#This Row],[Müştəri adı]])*(pivot!$C$2:$C$1946=_xlfn.MAXIFS(pivot!$C$2:$C$1946,pivot!$A$2:$A$1946,Table3[[#This Row],[Müştəri adı]])),pivot!$B$2:$B$1946)</f>
        <v>BuysViaMailOrder</v>
      </c>
      <c r="D927" s="22" cm="1">
        <f t="array" ref="D927">_xlfn.XLOOKUP(1,
  (pivot!$A$2:$A$1946=endirim!B927) * (pivot!$C$2:$C$1946 = _xlfn.MAXIFS(pivot!$C$2:$C$1946, pivot!$A$2:$A$1946, endirim!B927)),
  pivot!$D$2:$D$1946)</f>
        <v>25</v>
      </c>
      <c r="E927" s="3" t="str" cm="1">
        <f t="array" ref="E927">_xlfn.XLOOKUP(1,
    (pivot!$A$2:$A$1946=endirim!B927) * (pivot!$D$2:$D$1946 = _xlfn.MAXIFS(pivot!$D$2:$D$1946, pivot!$A$2:$A$1946, endirim!B927)),
    pivot!$B$2:$B$1946)</f>
        <v>BuysViaMailOrder</v>
      </c>
      <c r="F927" s="22">
        <f>_xlfn.MAXIFS(pivot!$D$2:$D$1946, pivot!$A$2:$A$1946, endirim!B927)</f>
        <v>25</v>
      </c>
      <c r="G927" s="3" t="str">
        <f t="shared" si="14"/>
        <v>Təklif yoxdur</v>
      </c>
    </row>
    <row r="928" spans="2:7" x14ac:dyDescent="0.3">
      <c r="B928" t="s">
        <v>982</v>
      </c>
      <c r="C928" s="3" t="str" cm="1">
        <f t="array" ref="C928">_xlfn.XLOOKUP(1,(pivot!$A$2:$A$1946=Table3[[#This Row],[Müştəri adı]])*(pivot!$C$2:$C$1946=_xlfn.MAXIFS(pivot!$C$2:$C$1946,pivot!$A$2:$A$1946,Table3[[#This Row],[Müştəri adı]])),pivot!$B$2:$B$1946)</f>
        <v>NewCellphoneUser</v>
      </c>
      <c r="D928" s="22" cm="1">
        <f t="array" ref="D928">_xlfn.XLOOKUP(1,
  (pivot!$A$2:$A$1946=endirim!B928) * (pivot!$C$2:$C$1946 = _xlfn.MAXIFS(pivot!$C$2:$C$1946, pivot!$A$2:$A$1946, endirim!B928)),
  pivot!$D$2:$D$1946)</f>
        <v>25</v>
      </c>
      <c r="E928" s="3" t="str" cm="1">
        <f t="array" ref="E928">_xlfn.XLOOKUP(1,
    (pivot!$A$2:$A$1946=endirim!B928) * (pivot!$D$2:$D$1946 = _xlfn.MAXIFS(pivot!$D$2:$D$1946, pivot!$A$2:$A$1946, endirim!B928)),
    pivot!$B$2:$B$1946)</f>
        <v>NewCellphoneUser</v>
      </c>
      <c r="F928" s="22">
        <f>_xlfn.MAXIFS(pivot!$D$2:$D$1946, pivot!$A$2:$A$1946, endirim!B928)</f>
        <v>25</v>
      </c>
      <c r="G928" s="3" t="str">
        <f t="shared" si="14"/>
        <v>Təklif yoxdur</v>
      </c>
    </row>
    <row r="929" spans="2:7" x14ac:dyDescent="0.3">
      <c r="B929" t="s">
        <v>983</v>
      </c>
      <c r="C929" s="3" t="str" cm="1">
        <f t="array" ref="C929">_xlfn.XLOOKUP(1,(pivot!$A$2:$A$1946=Table3[[#This Row],[Müştəri adı]])*(pivot!$C$2:$C$1946=_xlfn.MAXIFS(pivot!$C$2:$C$1946,pivot!$A$2:$A$1946,Table3[[#This Row],[Müştəri adı]])),pivot!$B$2:$B$1946)</f>
        <v>OptOutMailings</v>
      </c>
      <c r="D929" s="22" cm="1">
        <f t="array" ref="D929">_xlfn.XLOOKUP(1,
  (pivot!$A$2:$A$1946=endirim!B929) * (pivot!$C$2:$C$1946 = _xlfn.MAXIFS(pivot!$C$2:$C$1946, pivot!$A$2:$A$1946, endirim!B929)),
  pivot!$D$2:$D$1946)</f>
        <v>75</v>
      </c>
      <c r="E929" s="3" t="str" cm="1">
        <f t="array" ref="E929">_xlfn.XLOOKUP(1,
    (pivot!$A$2:$A$1946=endirim!B929) * (pivot!$D$2:$D$1946 = _xlfn.MAXIFS(pivot!$D$2:$D$1946, pivot!$A$2:$A$1946, endirim!B929)),
    pivot!$B$2:$B$1946)</f>
        <v>OptOutMailings</v>
      </c>
      <c r="F929" s="22">
        <f>_xlfn.MAXIFS(pivot!$D$2:$D$1946, pivot!$A$2:$A$1946, endirim!B929)</f>
        <v>75</v>
      </c>
      <c r="G929" s="3" t="str">
        <f t="shared" si="14"/>
        <v>Təklif yoxdur</v>
      </c>
    </row>
    <row r="930" spans="2:7" x14ac:dyDescent="0.3">
      <c r="B930" t="s">
        <v>984</v>
      </c>
      <c r="C930" s="3" t="str" cm="1">
        <f t="array" ref="C930">_xlfn.XLOOKUP(1,(pivot!$A$2:$A$1946=Table3[[#This Row],[Müştəri adı]])*(pivot!$C$2:$C$1946=_xlfn.MAXIFS(pivot!$C$2:$C$1946,pivot!$A$2:$A$1946,Table3[[#This Row],[Müştəri adı]])),pivot!$B$2:$B$1946)</f>
        <v>NotNewCellphoneUser</v>
      </c>
      <c r="D930" s="22" cm="1">
        <f t="array" ref="D930">_xlfn.XLOOKUP(1,
  (pivot!$A$2:$A$1946=endirim!B930) * (pivot!$C$2:$C$1946 = _xlfn.MAXIFS(pivot!$C$2:$C$1946, pivot!$A$2:$A$1946, endirim!B930)),
  pivot!$D$2:$D$1946)</f>
        <v>28</v>
      </c>
      <c r="E930" s="3" t="str" cm="1">
        <f t="array" ref="E930">_xlfn.XLOOKUP(1,
    (pivot!$A$2:$A$1946=endirim!B930) * (pivot!$D$2:$D$1946 = _xlfn.MAXIFS(pivot!$D$2:$D$1946, pivot!$A$2:$A$1946, endirim!B930)),
    pivot!$B$2:$B$1946)</f>
        <v>HandsetWebCapable</v>
      </c>
      <c r="F930" s="22">
        <f>_xlfn.MAXIFS(pivot!$D$2:$D$1946, pivot!$A$2:$A$1946, endirim!B930)</f>
        <v>62</v>
      </c>
      <c r="G930" s="3" t="str">
        <f t="shared" si="14"/>
        <v>HandsetWebCapable Kompaniyasını 20% endirimlə təklif et</v>
      </c>
    </row>
    <row r="931" spans="2:7" x14ac:dyDescent="0.3">
      <c r="B931" t="s">
        <v>985</v>
      </c>
      <c r="C931" s="3" t="str" cm="1">
        <f t="array" ref="C931">_xlfn.XLOOKUP(1,(pivot!$A$2:$A$1946=Table3[[#This Row],[Müştəri adı]])*(pivot!$C$2:$C$1946=_xlfn.MAXIFS(pivot!$C$2:$C$1946,pivot!$A$2:$A$1946,Table3[[#This Row],[Müştəri adı]])),pivot!$B$2:$B$1946)</f>
        <v>BuysViaMailOrder</v>
      </c>
      <c r="D931" s="22" cm="1">
        <f t="array" ref="D931">_xlfn.XLOOKUP(1,
  (pivot!$A$2:$A$1946=endirim!B931) * (pivot!$C$2:$C$1946 = _xlfn.MAXIFS(pivot!$C$2:$C$1946, pivot!$A$2:$A$1946, endirim!B931)),
  pivot!$D$2:$D$1946)</f>
        <v>25</v>
      </c>
      <c r="E931" s="3" t="str" cm="1">
        <f t="array" ref="E931">_xlfn.XLOOKUP(1,
    (pivot!$A$2:$A$1946=endirim!B931) * (pivot!$D$2:$D$1946 = _xlfn.MAXIFS(pivot!$D$2:$D$1946, pivot!$A$2:$A$1946, endirim!B931)),
    pivot!$B$2:$B$1946)</f>
        <v>BuysViaMailOrder</v>
      </c>
      <c r="F931" s="22">
        <f>_xlfn.MAXIFS(pivot!$D$2:$D$1946, pivot!$A$2:$A$1946, endirim!B931)</f>
        <v>25</v>
      </c>
      <c r="G931" s="3" t="str">
        <f t="shared" si="14"/>
        <v>Təklif yoxdur</v>
      </c>
    </row>
    <row r="932" spans="2:7" x14ac:dyDescent="0.3">
      <c r="B932" t="s">
        <v>986</v>
      </c>
      <c r="C932" s="3" t="str" cm="1">
        <f t="array" ref="C932">_xlfn.XLOOKUP(1,(pivot!$A$2:$A$1946=Table3[[#This Row],[Müştəri adı]])*(pivot!$C$2:$C$1946=_xlfn.MAXIFS(pivot!$C$2:$C$1946,pivot!$A$2:$A$1946,Table3[[#This Row],[Müştəri adı]])),pivot!$B$2:$B$1946)</f>
        <v>MadeCallToRetentionTeam</v>
      </c>
      <c r="D932" s="22" cm="1">
        <f t="array" ref="D932">_xlfn.XLOOKUP(1,
  (pivot!$A$2:$A$1946=endirim!B932) * (pivot!$C$2:$C$1946 = _xlfn.MAXIFS(pivot!$C$2:$C$1946, pivot!$A$2:$A$1946, endirim!B932)),
  pivot!$D$2:$D$1946)</f>
        <v>16</v>
      </c>
      <c r="E932" s="3" t="str" cm="1">
        <f t="array" ref="E932">_xlfn.XLOOKUP(1,
    (pivot!$A$2:$A$1946=endirim!B932) * (pivot!$D$2:$D$1946 = _xlfn.MAXIFS(pivot!$D$2:$D$1946, pivot!$A$2:$A$1946, endirim!B932)),
    pivot!$B$2:$B$1946)</f>
        <v>MadeCallToRetentionTeam</v>
      </c>
      <c r="F932" s="22">
        <f>_xlfn.MAXIFS(pivot!$D$2:$D$1946, pivot!$A$2:$A$1946, endirim!B932)</f>
        <v>16</v>
      </c>
      <c r="G932" s="3" t="str">
        <f t="shared" si="14"/>
        <v>Təklif yoxdur</v>
      </c>
    </row>
    <row r="933" spans="2:7" x14ac:dyDescent="0.3">
      <c r="B933" t="s">
        <v>987</v>
      </c>
      <c r="C933" s="3" t="str" cm="1">
        <f t="array" ref="C933">_xlfn.XLOOKUP(1,(pivot!$A$2:$A$1946=Table3[[#This Row],[Müştəri adı]])*(pivot!$C$2:$C$1946=_xlfn.MAXIFS(pivot!$C$2:$C$1946,pivot!$A$2:$A$1946,Table3[[#This Row],[Müştəri adı]])),pivot!$B$2:$B$1946)</f>
        <v>MaritalStatus</v>
      </c>
      <c r="D933" s="22" cm="1">
        <f t="array" ref="D933">_xlfn.XLOOKUP(1,
  (pivot!$A$2:$A$1946=endirim!B933) * (pivot!$C$2:$C$1946 = _xlfn.MAXIFS(pivot!$C$2:$C$1946, pivot!$A$2:$A$1946, endirim!B933)),
  pivot!$D$2:$D$1946)</f>
        <v>29</v>
      </c>
      <c r="E933" s="3" t="str" cm="1">
        <f t="array" ref="E933">_xlfn.XLOOKUP(1,
    (pivot!$A$2:$A$1946=endirim!B933) * (pivot!$D$2:$D$1946 = _xlfn.MAXIFS(pivot!$D$2:$D$1946, pivot!$A$2:$A$1946, endirim!B933)),
    pivot!$B$2:$B$1946)</f>
        <v>HasCreditCard</v>
      </c>
      <c r="F933" s="22">
        <f>_xlfn.MAXIFS(pivot!$D$2:$D$1946, pivot!$A$2:$A$1946, endirim!B933)</f>
        <v>65</v>
      </c>
      <c r="G933" s="3" t="str">
        <f t="shared" si="14"/>
        <v>HasCreditCard Kompaniyasını 20% endirimlə təklif et</v>
      </c>
    </row>
    <row r="934" spans="2:7" x14ac:dyDescent="0.3">
      <c r="B934" t="s">
        <v>988</v>
      </c>
      <c r="C934" s="3" t="str" cm="1">
        <f t="array" ref="C934">_xlfn.XLOOKUP(1,(pivot!$A$2:$A$1946=Table3[[#This Row],[Müştəri adı]])*(pivot!$C$2:$C$1946=_xlfn.MAXIFS(pivot!$C$2:$C$1946,pivot!$A$2:$A$1946,Table3[[#This Row],[Müştəri adı]])),pivot!$B$2:$B$1946)</f>
        <v>NewCellphoneUser</v>
      </c>
      <c r="D934" s="22" cm="1">
        <f t="array" ref="D934">_xlfn.XLOOKUP(1,
  (pivot!$A$2:$A$1946=endirim!B934) * (pivot!$C$2:$C$1946 = _xlfn.MAXIFS(pivot!$C$2:$C$1946, pivot!$A$2:$A$1946, endirim!B934)),
  pivot!$D$2:$D$1946)</f>
        <v>25</v>
      </c>
      <c r="E934" s="3" t="str" cm="1">
        <f t="array" ref="E934">_xlfn.XLOOKUP(1,
    (pivot!$A$2:$A$1946=endirim!B934) * (pivot!$D$2:$D$1946 = _xlfn.MAXIFS(pivot!$D$2:$D$1946, pivot!$A$2:$A$1946, endirim!B934)),
    pivot!$B$2:$B$1946)</f>
        <v>NewCellphoneUser</v>
      </c>
      <c r="F934" s="22">
        <f>_xlfn.MAXIFS(pivot!$D$2:$D$1946, pivot!$A$2:$A$1946, endirim!B934)</f>
        <v>25</v>
      </c>
      <c r="G934" s="3" t="str">
        <f t="shared" si="14"/>
        <v>Təklif yoxdur</v>
      </c>
    </row>
    <row r="935" spans="2:7" x14ac:dyDescent="0.3">
      <c r="B935" t="s">
        <v>989</v>
      </c>
      <c r="C935" s="3" t="str" cm="1">
        <f t="array" ref="C935">_xlfn.XLOOKUP(1,(pivot!$A$2:$A$1946=Table3[[#This Row],[Müştəri adı]])*(pivot!$C$2:$C$1946=_xlfn.MAXIFS(pivot!$C$2:$C$1946,pivot!$A$2:$A$1946,Table3[[#This Row],[Müştəri adı]])),pivot!$B$2:$B$1946)</f>
        <v>ChildrenInHH</v>
      </c>
      <c r="D935" s="22" cm="1">
        <f t="array" ref="D935">_xlfn.XLOOKUP(1,
  (pivot!$A$2:$A$1946=endirim!B935) * (pivot!$C$2:$C$1946 = _xlfn.MAXIFS(pivot!$C$2:$C$1946, pivot!$A$2:$A$1946, endirim!B935)),
  pivot!$D$2:$D$1946)</f>
        <v>10</v>
      </c>
      <c r="E935" s="3" t="str" cm="1">
        <f t="array" ref="E935">_xlfn.XLOOKUP(1,
    (pivot!$A$2:$A$1946=endirim!B935) * (pivot!$D$2:$D$1946 = _xlfn.MAXIFS(pivot!$D$2:$D$1946, pivot!$A$2:$A$1946, endirim!B935)),
    pivot!$B$2:$B$1946)</f>
        <v>ChildrenInHH</v>
      </c>
      <c r="F935" s="22">
        <f>_xlfn.MAXIFS(pivot!$D$2:$D$1946, pivot!$A$2:$A$1946, endirim!B935)</f>
        <v>10</v>
      </c>
      <c r="G935" s="3" t="str">
        <f t="shared" si="14"/>
        <v>Təklif yoxdur</v>
      </c>
    </row>
    <row r="936" spans="2:7" x14ac:dyDescent="0.3">
      <c r="B936" t="s">
        <v>990</v>
      </c>
      <c r="C936" s="3" t="str" cm="1">
        <f t="array" ref="C936">_xlfn.XLOOKUP(1,(pivot!$A$2:$A$1946=Table3[[#This Row],[Müştəri adı]])*(pivot!$C$2:$C$1946=_xlfn.MAXIFS(pivot!$C$2:$C$1946,pivot!$A$2:$A$1946,Table3[[#This Row],[Müştəri adı]])),pivot!$B$2:$B$1946)</f>
        <v>HandsetRefurbished</v>
      </c>
      <c r="D936" s="22" cm="1">
        <f t="array" ref="D936">_xlfn.XLOOKUP(1,
  (pivot!$A$2:$A$1946=endirim!B936) * (pivot!$C$2:$C$1946 = _xlfn.MAXIFS(pivot!$C$2:$C$1946, pivot!$A$2:$A$1946, endirim!B936)),
  pivot!$D$2:$D$1946)</f>
        <v>26</v>
      </c>
      <c r="E936" s="3" t="str" cm="1">
        <f t="array" ref="E936">_xlfn.XLOOKUP(1,
    (pivot!$A$2:$A$1946=endirim!B936) * (pivot!$D$2:$D$1946 = _xlfn.MAXIFS(pivot!$D$2:$D$1946, pivot!$A$2:$A$1946, endirim!B936)),
    pivot!$B$2:$B$1946)</f>
        <v>OptOutMailings</v>
      </c>
      <c r="F936" s="22">
        <f>_xlfn.MAXIFS(pivot!$D$2:$D$1946, pivot!$A$2:$A$1946, endirim!B936)</f>
        <v>75</v>
      </c>
      <c r="G936" s="3" t="str">
        <f t="shared" si="14"/>
        <v>OptOutMailings Kompaniyasını 20% endirimlə təklif et</v>
      </c>
    </row>
    <row r="937" spans="2:7" x14ac:dyDescent="0.3">
      <c r="B937" t="s">
        <v>991</v>
      </c>
      <c r="C937" s="3" t="str" cm="1">
        <f t="array" ref="C937">_xlfn.XLOOKUP(1,(pivot!$A$2:$A$1946=Table3[[#This Row],[Müştəri adı]])*(pivot!$C$2:$C$1946=_xlfn.MAXIFS(pivot!$C$2:$C$1946,pivot!$A$2:$A$1946,Table3[[#This Row],[Müştəri adı]])),pivot!$B$2:$B$1946)</f>
        <v>HandsetWebCapable</v>
      </c>
      <c r="D937" s="22" cm="1">
        <f t="array" ref="D937">_xlfn.XLOOKUP(1,
  (pivot!$A$2:$A$1946=endirim!B937) * (pivot!$C$2:$C$1946 = _xlfn.MAXIFS(pivot!$C$2:$C$1946, pivot!$A$2:$A$1946, endirim!B937)),
  pivot!$D$2:$D$1946)</f>
        <v>62</v>
      </c>
      <c r="E937" s="3" t="str" cm="1">
        <f t="array" ref="E937">_xlfn.XLOOKUP(1,
    (pivot!$A$2:$A$1946=endirim!B937) * (pivot!$D$2:$D$1946 = _xlfn.MAXIFS(pivot!$D$2:$D$1946, pivot!$A$2:$A$1946, endirim!B937)),
    pivot!$B$2:$B$1946)</f>
        <v>HandsetWebCapable</v>
      </c>
      <c r="F937" s="22">
        <f>_xlfn.MAXIFS(pivot!$D$2:$D$1946, pivot!$A$2:$A$1946, endirim!B937)</f>
        <v>62</v>
      </c>
      <c r="G937" s="3" t="str">
        <f t="shared" si="14"/>
        <v>Təklif yoxdur</v>
      </c>
    </row>
    <row r="938" spans="2:7" x14ac:dyDescent="0.3">
      <c r="B938" t="s">
        <v>992</v>
      </c>
      <c r="C938" s="3" t="str" cm="1">
        <f t="array" ref="C938">_xlfn.XLOOKUP(1,(pivot!$A$2:$A$1946=Table3[[#This Row],[Müştəri adı]])*(pivot!$C$2:$C$1946=_xlfn.MAXIFS(pivot!$C$2:$C$1946,pivot!$A$2:$A$1946,Table3[[#This Row],[Müştəri adı]])),pivot!$B$2:$B$1946)</f>
        <v>OwnsMotorcycle</v>
      </c>
      <c r="D938" s="22" cm="1">
        <f t="array" ref="D938">_xlfn.XLOOKUP(1,
  (pivot!$A$2:$A$1946=endirim!B938) * (pivot!$C$2:$C$1946 = _xlfn.MAXIFS(pivot!$C$2:$C$1946, pivot!$A$2:$A$1946, endirim!B938)),
  pivot!$D$2:$D$1946)</f>
        <v>14</v>
      </c>
      <c r="E938" s="3" t="str" cm="1">
        <f t="array" ref="E938">_xlfn.XLOOKUP(1,
    (pivot!$A$2:$A$1946=endirim!B938) * (pivot!$D$2:$D$1946 = _xlfn.MAXIFS(pivot!$D$2:$D$1946, pivot!$A$2:$A$1946, endirim!B938)),
    pivot!$B$2:$B$1946)</f>
        <v>OptOutMailings</v>
      </c>
      <c r="F938" s="22">
        <f>_xlfn.MAXIFS(pivot!$D$2:$D$1946, pivot!$A$2:$A$1946, endirim!B938)</f>
        <v>75</v>
      </c>
      <c r="G938" s="3" t="str">
        <f t="shared" si="14"/>
        <v>OptOutMailings Kompaniyasını 20% endirimlə təklif et</v>
      </c>
    </row>
    <row r="939" spans="2:7" x14ac:dyDescent="0.3">
      <c r="B939" t="s">
        <v>993</v>
      </c>
      <c r="C939" s="3" t="str" cm="1">
        <f t="array" ref="C939">_xlfn.XLOOKUP(1,(pivot!$A$2:$A$1946=Table3[[#This Row],[Müştəri adı]])*(pivot!$C$2:$C$1946=_xlfn.MAXIFS(pivot!$C$2:$C$1946,pivot!$A$2:$A$1946,Table3[[#This Row],[Müştəri adı]])),pivot!$B$2:$B$1946)</f>
        <v>TruckOwner</v>
      </c>
      <c r="D939" s="22" cm="1">
        <f t="array" ref="D939">_xlfn.XLOOKUP(1,
  (pivot!$A$2:$A$1946=endirim!B939) * (pivot!$C$2:$C$1946 = _xlfn.MAXIFS(pivot!$C$2:$C$1946, pivot!$A$2:$A$1946, endirim!B939)),
  pivot!$D$2:$D$1946)</f>
        <v>26</v>
      </c>
      <c r="E939" s="3" t="str" cm="1">
        <f t="array" ref="E939">_xlfn.XLOOKUP(1,
    (pivot!$A$2:$A$1946=endirim!B939) * (pivot!$D$2:$D$1946 = _xlfn.MAXIFS(pivot!$D$2:$D$1946, pivot!$A$2:$A$1946, endirim!B939)),
    pivot!$B$2:$B$1946)</f>
        <v>TruckOwner</v>
      </c>
      <c r="F939" s="22">
        <f>_xlfn.MAXIFS(pivot!$D$2:$D$1946, pivot!$A$2:$A$1946, endirim!B939)</f>
        <v>26</v>
      </c>
      <c r="G939" s="3" t="str">
        <f t="shared" si="14"/>
        <v>Təklif yoxdur</v>
      </c>
    </row>
    <row r="940" spans="2:7" x14ac:dyDescent="0.3">
      <c r="B940" t="s">
        <v>994</v>
      </c>
      <c r="C940" s="3" t="str" cm="1">
        <f t="array" ref="C940">_xlfn.XLOOKUP(1,(pivot!$A$2:$A$1946=Table3[[#This Row],[Müştəri adı]])*(pivot!$C$2:$C$1946=_xlfn.MAXIFS(pivot!$C$2:$C$1946,pivot!$A$2:$A$1946,Table3[[#This Row],[Müştəri adı]])),pivot!$B$2:$B$1946)</f>
        <v>HandsetRefurbished</v>
      </c>
      <c r="D940" s="22" cm="1">
        <f t="array" ref="D940">_xlfn.XLOOKUP(1,
  (pivot!$A$2:$A$1946=endirim!B940) * (pivot!$C$2:$C$1946 = _xlfn.MAXIFS(pivot!$C$2:$C$1946, pivot!$A$2:$A$1946, endirim!B940)),
  pivot!$D$2:$D$1946)</f>
        <v>26</v>
      </c>
      <c r="E940" s="3" t="str" cm="1">
        <f t="array" ref="E940">_xlfn.XLOOKUP(1,
    (pivot!$A$2:$A$1946=endirim!B940) * (pivot!$D$2:$D$1946 = _xlfn.MAXIFS(pivot!$D$2:$D$1946, pivot!$A$2:$A$1946, endirim!B940)),
    pivot!$B$2:$B$1946)</f>
        <v>NotNewCellphoneUser</v>
      </c>
      <c r="F940" s="22">
        <f>_xlfn.MAXIFS(pivot!$D$2:$D$1946, pivot!$A$2:$A$1946, endirim!B940)</f>
        <v>28</v>
      </c>
      <c r="G940" s="3" t="str">
        <f t="shared" si="14"/>
        <v>NotNewCellphoneUser Kompaniyasını 20% endirimlə təklif et</v>
      </c>
    </row>
    <row r="941" spans="2:7" x14ac:dyDescent="0.3">
      <c r="B941" t="s">
        <v>995</v>
      </c>
      <c r="C941" s="3" t="str" cm="1">
        <f t="array" ref="C941">_xlfn.XLOOKUP(1,(pivot!$A$2:$A$1946=Table3[[#This Row],[Müştəri adı]])*(pivot!$C$2:$C$1946=_xlfn.MAXIFS(pivot!$C$2:$C$1946,pivot!$A$2:$A$1946,Table3[[#This Row],[Müştəri adı]])),pivot!$B$2:$B$1946)</f>
        <v>TruckOwner</v>
      </c>
      <c r="D941" s="22" cm="1">
        <f t="array" ref="D941">_xlfn.XLOOKUP(1,
  (pivot!$A$2:$A$1946=endirim!B941) * (pivot!$C$2:$C$1946 = _xlfn.MAXIFS(pivot!$C$2:$C$1946, pivot!$A$2:$A$1946, endirim!B941)),
  pivot!$D$2:$D$1946)</f>
        <v>26</v>
      </c>
      <c r="E941" s="3" t="str" cm="1">
        <f t="array" ref="E941">_xlfn.XLOOKUP(1,
    (pivot!$A$2:$A$1946=endirim!B941) * (pivot!$D$2:$D$1946 = _xlfn.MAXIFS(pivot!$D$2:$D$1946, pivot!$A$2:$A$1946, endirim!B941)),
    pivot!$B$2:$B$1946)</f>
        <v>NonUSTravel</v>
      </c>
      <c r="F941" s="22">
        <f>_xlfn.MAXIFS(pivot!$D$2:$D$1946, pivot!$A$2:$A$1946, endirim!B941)</f>
        <v>66</v>
      </c>
      <c r="G941" s="3" t="str">
        <f t="shared" si="14"/>
        <v>NonUSTravel Kompaniyasını 20% endirimlə təklif et</v>
      </c>
    </row>
    <row r="942" spans="2:7" x14ac:dyDescent="0.3">
      <c r="B942" t="s">
        <v>996</v>
      </c>
      <c r="C942" s="3" t="str" cm="1">
        <f t="array" ref="C942">_xlfn.XLOOKUP(1,(pivot!$A$2:$A$1946=Table3[[#This Row],[Müştəri adı]])*(pivot!$C$2:$C$1946=_xlfn.MAXIFS(pivot!$C$2:$C$1946,pivot!$A$2:$A$1946,Table3[[#This Row],[Müştəri adı]])),pivot!$B$2:$B$1946)</f>
        <v>MaritalStatus</v>
      </c>
      <c r="D942" s="22" cm="1">
        <f t="array" ref="D942">_xlfn.XLOOKUP(1,
  (pivot!$A$2:$A$1946=endirim!B942) * (pivot!$C$2:$C$1946 = _xlfn.MAXIFS(pivot!$C$2:$C$1946, pivot!$A$2:$A$1946, endirim!B942)),
  pivot!$D$2:$D$1946)</f>
        <v>29</v>
      </c>
      <c r="E942" s="3" t="str" cm="1">
        <f t="array" ref="E942">_xlfn.XLOOKUP(1,
    (pivot!$A$2:$A$1946=endirim!B942) * (pivot!$D$2:$D$1946 = _xlfn.MAXIFS(pivot!$D$2:$D$1946, pivot!$A$2:$A$1946, endirim!B942)),
    pivot!$B$2:$B$1946)</f>
        <v>NonUSTravel</v>
      </c>
      <c r="F942" s="22">
        <f>_xlfn.MAXIFS(pivot!$D$2:$D$1946, pivot!$A$2:$A$1946, endirim!B942)</f>
        <v>66</v>
      </c>
      <c r="G942" s="3" t="str">
        <f t="shared" si="14"/>
        <v>NonUSTravel Kompaniyasını 20% endirimlə təklif et</v>
      </c>
    </row>
    <row r="943" spans="2:7" x14ac:dyDescent="0.3">
      <c r="B943" t="s">
        <v>997</v>
      </c>
      <c r="C943" s="3" t="str" cm="1">
        <f t="array" ref="C943">_xlfn.XLOOKUP(1,(pivot!$A$2:$A$1946=Table3[[#This Row],[Müştəri adı]])*(pivot!$C$2:$C$1946=_xlfn.MAXIFS(pivot!$C$2:$C$1946,pivot!$A$2:$A$1946,Table3[[#This Row],[Müştəri adı]])),pivot!$B$2:$B$1946)</f>
        <v>BuysViaMailOrder</v>
      </c>
      <c r="D943" s="22" cm="1">
        <f t="array" ref="D943">_xlfn.XLOOKUP(1,
  (pivot!$A$2:$A$1946=endirim!B943) * (pivot!$C$2:$C$1946 = _xlfn.MAXIFS(pivot!$C$2:$C$1946, pivot!$A$2:$A$1946, endirim!B943)),
  pivot!$D$2:$D$1946)</f>
        <v>25</v>
      </c>
      <c r="E943" s="3" t="str" cm="1">
        <f t="array" ref="E943">_xlfn.XLOOKUP(1,
    (pivot!$A$2:$A$1946=endirim!B943) * (pivot!$D$2:$D$1946 = _xlfn.MAXIFS(pivot!$D$2:$D$1946, pivot!$A$2:$A$1946, endirim!B943)),
    pivot!$B$2:$B$1946)</f>
        <v>BuysViaMailOrder</v>
      </c>
      <c r="F943" s="22">
        <f>_xlfn.MAXIFS(pivot!$D$2:$D$1946, pivot!$A$2:$A$1946, endirim!B943)</f>
        <v>25</v>
      </c>
      <c r="G943" s="3" t="str">
        <f t="shared" si="14"/>
        <v>Təklif yoxdur</v>
      </c>
    </row>
    <row r="944" spans="2:7" x14ac:dyDescent="0.3">
      <c r="B944" t="s">
        <v>998</v>
      </c>
      <c r="C944" s="3" t="str" cm="1">
        <f t="array" ref="C944">_xlfn.XLOOKUP(1,(pivot!$A$2:$A$1946=Table3[[#This Row],[Müştəri adı]])*(pivot!$C$2:$C$1946=_xlfn.MAXIFS(pivot!$C$2:$C$1946,pivot!$A$2:$A$1946,Table3[[#This Row],[Müştəri adı]])),pivot!$B$2:$B$1946)</f>
        <v>OptOutMailings</v>
      </c>
      <c r="D944" s="22" cm="1">
        <f t="array" ref="D944">_xlfn.XLOOKUP(1,
  (pivot!$A$2:$A$1946=endirim!B944) * (pivot!$C$2:$C$1946 = _xlfn.MAXIFS(pivot!$C$2:$C$1946, pivot!$A$2:$A$1946, endirim!B944)),
  pivot!$D$2:$D$1946)</f>
        <v>75</v>
      </c>
      <c r="E944" s="3" t="str" cm="1">
        <f t="array" ref="E944">_xlfn.XLOOKUP(1,
    (pivot!$A$2:$A$1946=endirim!B944) * (pivot!$D$2:$D$1946 = _xlfn.MAXIFS(pivot!$D$2:$D$1946, pivot!$A$2:$A$1946, endirim!B944)),
    pivot!$B$2:$B$1946)</f>
        <v>OptOutMailings</v>
      </c>
      <c r="F944" s="22">
        <f>_xlfn.MAXIFS(pivot!$D$2:$D$1946, pivot!$A$2:$A$1946, endirim!B944)</f>
        <v>75</v>
      </c>
      <c r="G944" s="3" t="str">
        <f t="shared" si="14"/>
        <v>Təklif yoxdur</v>
      </c>
    </row>
    <row r="945" spans="2:7" x14ac:dyDescent="0.3">
      <c r="B945" t="s">
        <v>999</v>
      </c>
      <c r="C945" s="3" t="str" cm="1">
        <f t="array" ref="C945">_xlfn.XLOOKUP(1,(pivot!$A$2:$A$1946=Table3[[#This Row],[Müştəri adı]])*(pivot!$C$2:$C$1946=_xlfn.MAXIFS(pivot!$C$2:$C$1946,pivot!$A$2:$A$1946,Table3[[#This Row],[Müştəri adı]])),pivot!$B$2:$B$1946)</f>
        <v>OptOutMailings</v>
      </c>
      <c r="D945" s="22" cm="1">
        <f t="array" ref="D945">_xlfn.XLOOKUP(1,
  (pivot!$A$2:$A$1946=endirim!B945) * (pivot!$C$2:$C$1946 = _xlfn.MAXIFS(pivot!$C$2:$C$1946, pivot!$A$2:$A$1946, endirim!B945)),
  pivot!$D$2:$D$1946)</f>
        <v>75</v>
      </c>
      <c r="E945" s="3" t="str" cm="1">
        <f t="array" ref="E945">_xlfn.XLOOKUP(1,
    (pivot!$A$2:$A$1946=endirim!B945) * (pivot!$D$2:$D$1946 = _xlfn.MAXIFS(pivot!$D$2:$D$1946, pivot!$A$2:$A$1946, endirim!B945)),
    pivot!$B$2:$B$1946)</f>
        <v>OptOutMailings</v>
      </c>
      <c r="F945" s="22">
        <f>_xlfn.MAXIFS(pivot!$D$2:$D$1946, pivot!$A$2:$A$1946, endirim!B945)</f>
        <v>75</v>
      </c>
      <c r="G945" s="3" t="str">
        <f t="shared" si="14"/>
        <v>Təklif yoxdur</v>
      </c>
    </row>
    <row r="946" spans="2:7" x14ac:dyDescent="0.3">
      <c r="B946" t="s">
        <v>1000</v>
      </c>
      <c r="C946" s="3" t="str" cm="1">
        <f t="array" ref="C946">_xlfn.XLOOKUP(1,(pivot!$A$2:$A$1946=Table3[[#This Row],[Müştəri adı]])*(pivot!$C$2:$C$1946=_xlfn.MAXIFS(pivot!$C$2:$C$1946,pivot!$A$2:$A$1946,Table3[[#This Row],[Müştəri adı]])),pivot!$B$2:$B$1946)</f>
        <v>NewCellphoneUser</v>
      </c>
      <c r="D946" s="22" cm="1">
        <f t="array" ref="D946">_xlfn.XLOOKUP(1,
  (pivot!$A$2:$A$1946=endirim!B946) * (pivot!$C$2:$C$1946 = _xlfn.MAXIFS(pivot!$C$2:$C$1946, pivot!$A$2:$A$1946, endirim!B946)),
  pivot!$D$2:$D$1946)</f>
        <v>25</v>
      </c>
      <c r="E946" s="3" t="str" cm="1">
        <f t="array" ref="E946">_xlfn.XLOOKUP(1,
    (pivot!$A$2:$A$1946=endirim!B946) * (pivot!$D$2:$D$1946 = _xlfn.MAXIFS(pivot!$D$2:$D$1946, pivot!$A$2:$A$1946, endirim!B946)),
    pivot!$B$2:$B$1946)</f>
        <v>HandsetWebCapable</v>
      </c>
      <c r="F946" s="22">
        <f>_xlfn.MAXIFS(pivot!$D$2:$D$1946, pivot!$A$2:$A$1946, endirim!B946)</f>
        <v>62</v>
      </c>
      <c r="G946" s="3" t="str">
        <f t="shared" si="14"/>
        <v>HandsetWebCapable Kompaniyasını 20% endirimlə təklif et</v>
      </c>
    </row>
    <row r="947" spans="2:7" x14ac:dyDescent="0.3">
      <c r="B947" t="s">
        <v>1001</v>
      </c>
      <c r="C947" s="3" t="str" cm="1">
        <f t="array" ref="C947">_xlfn.XLOOKUP(1,(pivot!$A$2:$A$1946=Table3[[#This Row],[Müştəri adı]])*(pivot!$C$2:$C$1946=_xlfn.MAXIFS(pivot!$C$2:$C$1946,pivot!$A$2:$A$1946,Table3[[#This Row],[Müştəri adı]])),pivot!$B$2:$B$1946)</f>
        <v>NonUSTravel</v>
      </c>
      <c r="D947" s="22" cm="1">
        <f t="array" ref="D947">_xlfn.XLOOKUP(1,
  (pivot!$A$2:$A$1946=endirim!B947) * (pivot!$C$2:$C$1946 = _xlfn.MAXIFS(pivot!$C$2:$C$1946, pivot!$A$2:$A$1946, endirim!B947)),
  pivot!$D$2:$D$1946)</f>
        <v>66</v>
      </c>
      <c r="E947" s="3" t="str" cm="1">
        <f t="array" ref="E947">_xlfn.XLOOKUP(1,
    (pivot!$A$2:$A$1946=endirim!B947) * (pivot!$D$2:$D$1946 = _xlfn.MAXIFS(pivot!$D$2:$D$1946, pivot!$A$2:$A$1946, endirim!B947)),
    pivot!$B$2:$B$1946)</f>
        <v>NonUSTravel</v>
      </c>
      <c r="F947" s="22">
        <f>_xlfn.MAXIFS(pivot!$D$2:$D$1946, pivot!$A$2:$A$1946, endirim!B947)</f>
        <v>66</v>
      </c>
      <c r="G947" s="3" t="str">
        <f t="shared" si="14"/>
        <v>Təklif yoxdur</v>
      </c>
    </row>
    <row r="948" spans="2:7" x14ac:dyDescent="0.3">
      <c r="B948" t="s">
        <v>1002</v>
      </c>
      <c r="C948" s="3" t="str" cm="1">
        <f t="array" ref="C948">_xlfn.XLOOKUP(1,(pivot!$A$2:$A$1946=Table3[[#This Row],[Müştəri adı]])*(pivot!$C$2:$C$1946=_xlfn.MAXIFS(pivot!$C$2:$C$1946,pivot!$A$2:$A$1946,Table3[[#This Row],[Müştəri adı]])),pivot!$B$2:$B$1946)</f>
        <v>Homeownership</v>
      </c>
      <c r="D948" s="22" cm="1">
        <f t="array" ref="D948">_xlfn.XLOOKUP(1,
  (pivot!$A$2:$A$1946=endirim!B948) * (pivot!$C$2:$C$1946 = _xlfn.MAXIFS(pivot!$C$2:$C$1946, pivot!$A$2:$A$1946, endirim!B948)),
  pivot!$D$2:$D$1946)</f>
        <v>13</v>
      </c>
      <c r="E948" s="3" t="str" cm="1">
        <f t="array" ref="E948">_xlfn.XLOOKUP(1,
    (pivot!$A$2:$A$1946=endirim!B948) * (pivot!$D$2:$D$1946 = _xlfn.MAXIFS(pivot!$D$2:$D$1946, pivot!$A$2:$A$1946, endirim!B948)),
    pivot!$B$2:$B$1946)</f>
        <v>Homeownership</v>
      </c>
      <c r="F948" s="22">
        <f>_xlfn.MAXIFS(pivot!$D$2:$D$1946, pivot!$A$2:$A$1946, endirim!B948)</f>
        <v>13</v>
      </c>
      <c r="G948" s="3" t="str">
        <f t="shared" si="14"/>
        <v>Təklif yoxdur</v>
      </c>
    </row>
    <row r="949" spans="2:7" x14ac:dyDescent="0.3">
      <c r="B949" t="s">
        <v>1003</v>
      </c>
      <c r="C949" s="3" t="str" cm="1">
        <f t="array" ref="C949">_xlfn.XLOOKUP(1,(pivot!$A$2:$A$1946=Table3[[#This Row],[Müştəri adı]])*(pivot!$C$2:$C$1946=_xlfn.MAXIFS(pivot!$C$2:$C$1946,pivot!$A$2:$A$1946,Table3[[#This Row],[Müştəri adı]])),pivot!$B$2:$B$1946)</f>
        <v>NewCellphoneUser</v>
      </c>
      <c r="D949" s="22" cm="1">
        <f t="array" ref="D949">_xlfn.XLOOKUP(1,
  (pivot!$A$2:$A$1946=endirim!B949) * (pivot!$C$2:$C$1946 = _xlfn.MAXIFS(pivot!$C$2:$C$1946, pivot!$A$2:$A$1946, endirim!B949)),
  pivot!$D$2:$D$1946)</f>
        <v>25</v>
      </c>
      <c r="E949" s="3" t="str" cm="1">
        <f t="array" ref="E949">_xlfn.XLOOKUP(1,
    (pivot!$A$2:$A$1946=endirim!B949) * (pivot!$D$2:$D$1946 = _xlfn.MAXIFS(pivot!$D$2:$D$1946, pivot!$A$2:$A$1946, endirim!B949)),
    pivot!$B$2:$B$1946)</f>
        <v>NewCellphoneUser</v>
      </c>
      <c r="F949" s="22">
        <f>_xlfn.MAXIFS(pivot!$D$2:$D$1946, pivot!$A$2:$A$1946, endirim!B949)</f>
        <v>25</v>
      </c>
      <c r="G949" s="3" t="str">
        <f t="shared" si="14"/>
        <v>Təklif yoxdur</v>
      </c>
    </row>
    <row r="950" spans="2:7" x14ac:dyDescent="0.3">
      <c r="B950" t="s">
        <v>1004</v>
      </c>
      <c r="C950" s="3" t="str" cm="1">
        <f t="array" ref="C950">_xlfn.XLOOKUP(1,(pivot!$A$2:$A$1946=Table3[[#This Row],[Müştəri adı]])*(pivot!$C$2:$C$1946=_xlfn.MAXIFS(pivot!$C$2:$C$1946,pivot!$A$2:$A$1946,Table3[[#This Row],[Müştəri adı]])),pivot!$B$2:$B$1946)</f>
        <v>Homeownership</v>
      </c>
      <c r="D950" s="22" cm="1">
        <f t="array" ref="D950">_xlfn.XLOOKUP(1,
  (pivot!$A$2:$A$1946=endirim!B950) * (pivot!$C$2:$C$1946 = _xlfn.MAXIFS(pivot!$C$2:$C$1946, pivot!$A$2:$A$1946, endirim!B950)),
  pivot!$D$2:$D$1946)</f>
        <v>13</v>
      </c>
      <c r="E950" s="3" t="str" cm="1">
        <f t="array" ref="E950">_xlfn.XLOOKUP(1,
    (pivot!$A$2:$A$1946=endirim!B950) * (pivot!$D$2:$D$1946 = _xlfn.MAXIFS(pivot!$D$2:$D$1946, pivot!$A$2:$A$1946, endirim!B950)),
    pivot!$B$2:$B$1946)</f>
        <v>TruckOwner</v>
      </c>
      <c r="F950" s="22">
        <f>_xlfn.MAXIFS(pivot!$D$2:$D$1946, pivot!$A$2:$A$1946, endirim!B950)</f>
        <v>26</v>
      </c>
      <c r="G950" s="3" t="str">
        <f t="shared" si="14"/>
        <v>TruckOwner Kompaniyasını 20% endirimlə təklif et</v>
      </c>
    </row>
    <row r="951" spans="2:7" x14ac:dyDescent="0.3">
      <c r="B951" t="s">
        <v>1005</v>
      </c>
      <c r="C951" s="3" t="str" cm="1">
        <f t="array" ref="C951">_xlfn.XLOOKUP(1,(pivot!$A$2:$A$1946=Table3[[#This Row],[Müştəri adı]])*(pivot!$C$2:$C$1946=_xlfn.MAXIFS(pivot!$C$2:$C$1946,pivot!$A$2:$A$1946,Table3[[#This Row],[Müştəri adı]])),pivot!$B$2:$B$1946)</f>
        <v>NotNewCellphoneUser</v>
      </c>
      <c r="D951" s="22" cm="1">
        <f t="array" ref="D951">_xlfn.XLOOKUP(1,
  (pivot!$A$2:$A$1946=endirim!B951) * (pivot!$C$2:$C$1946 = _xlfn.MAXIFS(pivot!$C$2:$C$1946, pivot!$A$2:$A$1946, endirim!B951)),
  pivot!$D$2:$D$1946)</f>
        <v>28</v>
      </c>
      <c r="E951" s="3" t="str" cm="1">
        <f t="array" ref="E951">_xlfn.XLOOKUP(1,
    (pivot!$A$2:$A$1946=endirim!B951) * (pivot!$D$2:$D$1946 = _xlfn.MAXIFS(pivot!$D$2:$D$1946, pivot!$A$2:$A$1946, endirim!B951)),
    pivot!$B$2:$B$1946)</f>
        <v>OptOutMailings</v>
      </c>
      <c r="F951" s="22">
        <f>_xlfn.MAXIFS(pivot!$D$2:$D$1946, pivot!$A$2:$A$1946, endirim!B951)</f>
        <v>75</v>
      </c>
      <c r="G951" s="3" t="str">
        <f t="shared" si="14"/>
        <v>OptOutMailings Kompaniyasını 20% endirimlə təklif et</v>
      </c>
    </row>
    <row r="952" spans="2:7" x14ac:dyDescent="0.3">
      <c r="B952" t="s">
        <v>1006</v>
      </c>
      <c r="C952" s="3" t="str" cm="1">
        <f t="array" ref="C952">_xlfn.XLOOKUP(1,(pivot!$A$2:$A$1946=Table3[[#This Row],[Müştəri adı]])*(pivot!$C$2:$C$1946=_xlfn.MAXIFS(pivot!$C$2:$C$1946,pivot!$A$2:$A$1946,Table3[[#This Row],[Müştəri adı]])),pivot!$B$2:$B$1946)</f>
        <v>MadeCallToRetentionTeam</v>
      </c>
      <c r="D952" s="22" cm="1">
        <f t="array" ref="D952">_xlfn.XLOOKUP(1,
  (pivot!$A$2:$A$1946=endirim!B952) * (pivot!$C$2:$C$1946 = _xlfn.MAXIFS(pivot!$C$2:$C$1946, pivot!$A$2:$A$1946, endirim!B952)),
  pivot!$D$2:$D$1946)</f>
        <v>16</v>
      </c>
      <c r="E952" s="3" t="str" cm="1">
        <f t="array" ref="E952">_xlfn.XLOOKUP(1,
    (pivot!$A$2:$A$1946=endirim!B952) * (pivot!$D$2:$D$1946 = _xlfn.MAXIFS(pivot!$D$2:$D$1946, pivot!$A$2:$A$1946, endirim!B952)),
    pivot!$B$2:$B$1946)</f>
        <v>NotNewCellphoneUser</v>
      </c>
      <c r="F952" s="22">
        <f>_xlfn.MAXIFS(pivot!$D$2:$D$1946, pivot!$A$2:$A$1946, endirim!B952)</f>
        <v>28</v>
      </c>
      <c r="G952" s="3" t="str">
        <f t="shared" si="14"/>
        <v>NotNewCellphoneUser Kompaniyasını 20% endirimlə təklif et</v>
      </c>
    </row>
    <row r="953" spans="2:7" x14ac:dyDescent="0.3">
      <c r="B953" t="s">
        <v>1007</v>
      </c>
      <c r="C953" s="3" t="str" cm="1">
        <f t="array" ref="C953">_xlfn.XLOOKUP(1,(pivot!$A$2:$A$1946=Table3[[#This Row],[Müştəri adı]])*(pivot!$C$2:$C$1946=_xlfn.MAXIFS(pivot!$C$2:$C$1946,pivot!$A$2:$A$1946,Table3[[#This Row],[Müştəri adı]])),pivot!$B$2:$B$1946)</f>
        <v>OptOutMailings</v>
      </c>
      <c r="D953" s="22" cm="1">
        <f t="array" ref="D953">_xlfn.XLOOKUP(1,
  (pivot!$A$2:$A$1946=endirim!B953) * (pivot!$C$2:$C$1946 = _xlfn.MAXIFS(pivot!$C$2:$C$1946, pivot!$A$2:$A$1946, endirim!B953)),
  pivot!$D$2:$D$1946)</f>
        <v>75</v>
      </c>
      <c r="E953" s="3" t="str" cm="1">
        <f t="array" ref="E953">_xlfn.XLOOKUP(1,
    (pivot!$A$2:$A$1946=endirim!B953) * (pivot!$D$2:$D$1946 = _xlfn.MAXIFS(pivot!$D$2:$D$1946, pivot!$A$2:$A$1946, endirim!B953)),
    pivot!$B$2:$B$1946)</f>
        <v>OptOutMailings</v>
      </c>
      <c r="F953" s="22">
        <f>_xlfn.MAXIFS(pivot!$D$2:$D$1946, pivot!$A$2:$A$1946, endirim!B953)</f>
        <v>75</v>
      </c>
      <c r="G953" s="3" t="str">
        <f t="shared" si="14"/>
        <v>Təklif yoxdur</v>
      </c>
    </row>
    <row r="954" spans="2:7" x14ac:dyDescent="0.3">
      <c r="B954" t="s">
        <v>1008</v>
      </c>
      <c r="C954" s="3" t="str" cm="1">
        <f t="array" ref="C954">_xlfn.XLOOKUP(1,(pivot!$A$2:$A$1946=Table3[[#This Row],[Müştəri adı]])*(pivot!$C$2:$C$1946=_xlfn.MAXIFS(pivot!$C$2:$C$1946,pivot!$A$2:$A$1946,Table3[[#This Row],[Müştəri adı]])),pivot!$B$2:$B$1946)</f>
        <v>RVOwner</v>
      </c>
      <c r="D954" s="22" cm="1">
        <f t="array" ref="D954">_xlfn.XLOOKUP(1,
  (pivot!$A$2:$A$1946=endirim!B954) * (pivot!$C$2:$C$1946 = _xlfn.MAXIFS(pivot!$C$2:$C$1946, pivot!$A$2:$A$1946, endirim!B954)),
  pivot!$D$2:$D$1946)</f>
        <v>22</v>
      </c>
      <c r="E954" s="3" t="str" cm="1">
        <f t="array" ref="E954">_xlfn.XLOOKUP(1,
    (pivot!$A$2:$A$1946=endirim!B954) * (pivot!$D$2:$D$1946 = _xlfn.MAXIFS(pivot!$D$2:$D$1946, pivot!$A$2:$A$1946, endirim!B954)),
    pivot!$B$2:$B$1946)</f>
        <v>NotNewCellphoneUser</v>
      </c>
      <c r="F954" s="22">
        <f>_xlfn.MAXIFS(pivot!$D$2:$D$1946, pivot!$A$2:$A$1946, endirim!B954)</f>
        <v>28</v>
      </c>
      <c r="G954" s="3" t="str">
        <f t="shared" si="14"/>
        <v>NotNewCellphoneUser Kompaniyasını 20% endirimlə təklif et</v>
      </c>
    </row>
    <row r="955" spans="2:7" x14ac:dyDescent="0.3">
      <c r="B955" t="s">
        <v>1009</v>
      </c>
      <c r="C955" s="3" t="str" cm="1">
        <f t="array" ref="C955">_xlfn.XLOOKUP(1,(pivot!$A$2:$A$1946=Table3[[#This Row],[Müştəri adı]])*(pivot!$C$2:$C$1946=_xlfn.MAXIFS(pivot!$C$2:$C$1946,pivot!$A$2:$A$1946,Table3[[#This Row],[Müştəri adı]])),pivot!$B$2:$B$1946)</f>
        <v>Homeownership</v>
      </c>
      <c r="D955" s="22" cm="1">
        <f t="array" ref="D955">_xlfn.XLOOKUP(1,
  (pivot!$A$2:$A$1946=endirim!B955) * (pivot!$C$2:$C$1946 = _xlfn.MAXIFS(pivot!$C$2:$C$1946, pivot!$A$2:$A$1946, endirim!B955)),
  pivot!$D$2:$D$1946)</f>
        <v>13</v>
      </c>
      <c r="E955" s="3" t="str" cm="1">
        <f t="array" ref="E955">_xlfn.XLOOKUP(1,
    (pivot!$A$2:$A$1946=endirim!B955) * (pivot!$D$2:$D$1946 = _xlfn.MAXIFS(pivot!$D$2:$D$1946, pivot!$A$2:$A$1946, endirim!B955)),
    pivot!$B$2:$B$1946)</f>
        <v>HasCreditCard</v>
      </c>
      <c r="F955" s="22">
        <f>_xlfn.MAXIFS(pivot!$D$2:$D$1946, pivot!$A$2:$A$1946, endirim!B955)</f>
        <v>65</v>
      </c>
      <c r="G955" s="3" t="str">
        <f t="shared" si="14"/>
        <v>HasCreditCard Kompaniyasını 20% endirimlə təklif et</v>
      </c>
    </row>
    <row r="956" spans="2:7" x14ac:dyDescent="0.3">
      <c r="B956" t="s">
        <v>1010</v>
      </c>
      <c r="C956" s="3" t="str" cm="1">
        <f t="array" ref="C956">_xlfn.XLOOKUP(1,(pivot!$A$2:$A$1946=Table3[[#This Row],[Müştəri adı]])*(pivot!$C$2:$C$1946=_xlfn.MAXIFS(pivot!$C$2:$C$1946,pivot!$A$2:$A$1946,Table3[[#This Row],[Müştəri adı]])),pivot!$B$2:$B$1946)</f>
        <v>MadeCallToRetentionTeam</v>
      </c>
      <c r="D956" s="22" cm="1">
        <f t="array" ref="D956">_xlfn.XLOOKUP(1,
  (pivot!$A$2:$A$1946=endirim!B956) * (pivot!$C$2:$C$1946 = _xlfn.MAXIFS(pivot!$C$2:$C$1946, pivot!$A$2:$A$1946, endirim!B956)),
  pivot!$D$2:$D$1946)</f>
        <v>16</v>
      </c>
      <c r="E956" s="3" t="str" cm="1">
        <f t="array" ref="E956">_xlfn.XLOOKUP(1,
    (pivot!$A$2:$A$1946=endirim!B956) * (pivot!$D$2:$D$1946 = _xlfn.MAXIFS(pivot!$D$2:$D$1946, pivot!$A$2:$A$1946, endirim!B956)),
    pivot!$B$2:$B$1946)</f>
        <v>NewCellphoneUser</v>
      </c>
      <c r="F956" s="22">
        <f>_xlfn.MAXIFS(pivot!$D$2:$D$1946, pivot!$A$2:$A$1946, endirim!B956)</f>
        <v>25</v>
      </c>
      <c r="G956" s="3" t="str">
        <f t="shared" si="14"/>
        <v>NewCellphoneUser Kompaniyasını 20% endirimlə təklif et</v>
      </c>
    </row>
    <row r="957" spans="2:7" x14ac:dyDescent="0.3">
      <c r="B957" t="s">
        <v>1011</v>
      </c>
      <c r="C957" s="3" t="str" cm="1">
        <f t="array" ref="C957">_xlfn.XLOOKUP(1,(pivot!$A$2:$A$1946=Table3[[#This Row],[Müştəri adı]])*(pivot!$C$2:$C$1946=_xlfn.MAXIFS(pivot!$C$2:$C$1946,pivot!$A$2:$A$1946,Table3[[#This Row],[Müştəri adı]])),pivot!$B$2:$B$1946)</f>
        <v>ChildrenInHH</v>
      </c>
      <c r="D957" s="22" cm="1">
        <f t="array" ref="D957">_xlfn.XLOOKUP(1,
  (pivot!$A$2:$A$1946=endirim!B957) * (pivot!$C$2:$C$1946 = _xlfn.MAXIFS(pivot!$C$2:$C$1946, pivot!$A$2:$A$1946, endirim!B957)),
  pivot!$D$2:$D$1946)</f>
        <v>10</v>
      </c>
      <c r="E957" s="3" t="str" cm="1">
        <f t="array" ref="E957">_xlfn.XLOOKUP(1,
    (pivot!$A$2:$A$1946=endirim!B957) * (pivot!$D$2:$D$1946 = _xlfn.MAXIFS(pivot!$D$2:$D$1946, pivot!$A$2:$A$1946, endirim!B957)),
    pivot!$B$2:$B$1946)</f>
        <v>HasCreditCard</v>
      </c>
      <c r="F957" s="22">
        <f>_xlfn.MAXIFS(pivot!$D$2:$D$1946, pivot!$A$2:$A$1946, endirim!B957)</f>
        <v>65</v>
      </c>
      <c r="G957" s="3" t="str">
        <f t="shared" si="14"/>
        <v>HasCreditCard Kompaniyasını 20% endirimlə təklif et</v>
      </c>
    </row>
    <row r="958" spans="2:7" x14ac:dyDescent="0.3">
      <c r="B958" t="s">
        <v>1012</v>
      </c>
      <c r="C958" s="3" t="str" cm="1">
        <f t="array" ref="C958">_xlfn.XLOOKUP(1,(pivot!$A$2:$A$1946=Table3[[#This Row],[Müştəri adı]])*(pivot!$C$2:$C$1946=_xlfn.MAXIFS(pivot!$C$2:$C$1946,pivot!$A$2:$A$1946,Table3[[#This Row],[Müştəri adı]])),pivot!$B$2:$B$1946)</f>
        <v>RespondsToMailOffers</v>
      </c>
      <c r="D958" s="22" cm="1">
        <f t="array" ref="D958">_xlfn.XLOOKUP(1,
  (pivot!$A$2:$A$1946=endirim!B958) * (pivot!$C$2:$C$1946 = _xlfn.MAXIFS(pivot!$C$2:$C$1946, pivot!$A$2:$A$1946, endirim!B958)),
  pivot!$D$2:$D$1946)</f>
        <v>27</v>
      </c>
      <c r="E958" s="3" t="str" cm="1">
        <f t="array" ref="E958">_xlfn.XLOOKUP(1,
    (pivot!$A$2:$A$1946=endirim!B958) * (pivot!$D$2:$D$1946 = _xlfn.MAXIFS(pivot!$D$2:$D$1946, pivot!$A$2:$A$1946, endirim!B958)),
    pivot!$B$2:$B$1946)</f>
        <v>RespondsToMailOffers</v>
      </c>
      <c r="F958" s="22">
        <f>_xlfn.MAXIFS(pivot!$D$2:$D$1946, pivot!$A$2:$A$1946, endirim!B958)</f>
        <v>27</v>
      </c>
      <c r="G958" s="3" t="str">
        <f t="shared" si="14"/>
        <v>Təklif yoxdur</v>
      </c>
    </row>
    <row r="959" spans="2:7" x14ac:dyDescent="0.3">
      <c r="B959" t="s">
        <v>1013</v>
      </c>
      <c r="C959" s="3" t="str" cm="1">
        <f t="array" ref="C959">_xlfn.XLOOKUP(1,(pivot!$A$2:$A$1946=Table3[[#This Row],[Müştəri adı]])*(pivot!$C$2:$C$1946=_xlfn.MAXIFS(pivot!$C$2:$C$1946,pivot!$A$2:$A$1946,Table3[[#This Row],[Müştəri adı]])),pivot!$B$2:$B$1946)</f>
        <v>OwnsMotorcycle</v>
      </c>
      <c r="D959" s="22" cm="1">
        <f t="array" ref="D959">_xlfn.XLOOKUP(1,
  (pivot!$A$2:$A$1946=endirim!B959) * (pivot!$C$2:$C$1946 = _xlfn.MAXIFS(pivot!$C$2:$C$1946, pivot!$A$2:$A$1946, endirim!B959)),
  pivot!$D$2:$D$1946)</f>
        <v>14</v>
      </c>
      <c r="E959" s="3" t="str" cm="1">
        <f t="array" ref="E959">_xlfn.XLOOKUP(1,
    (pivot!$A$2:$A$1946=endirim!B959) * (pivot!$D$2:$D$1946 = _xlfn.MAXIFS(pivot!$D$2:$D$1946, pivot!$A$2:$A$1946, endirim!B959)),
    pivot!$B$2:$B$1946)</f>
        <v>HandsetWebCapable</v>
      </c>
      <c r="F959" s="22">
        <f>_xlfn.MAXIFS(pivot!$D$2:$D$1946, pivot!$A$2:$A$1946, endirim!B959)</f>
        <v>62</v>
      </c>
      <c r="G959" s="3" t="str">
        <f t="shared" si="14"/>
        <v>HandsetWebCapable Kompaniyasını 20% endirimlə təklif et</v>
      </c>
    </row>
    <row r="960" spans="2:7" x14ac:dyDescent="0.3">
      <c r="B960" t="s">
        <v>1014</v>
      </c>
      <c r="C960" s="3" t="str" cm="1">
        <f t="array" ref="C960">_xlfn.XLOOKUP(1,(pivot!$A$2:$A$1946=Table3[[#This Row],[Müştəri adı]])*(pivot!$C$2:$C$1946=_xlfn.MAXIFS(pivot!$C$2:$C$1946,pivot!$A$2:$A$1946,Table3[[#This Row],[Müştəri adı]])),pivot!$B$2:$B$1946)</f>
        <v>HandsetRefurbished</v>
      </c>
      <c r="D960" s="22" cm="1">
        <f t="array" ref="D960">_xlfn.XLOOKUP(1,
  (pivot!$A$2:$A$1946=endirim!B960) * (pivot!$C$2:$C$1946 = _xlfn.MAXIFS(pivot!$C$2:$C$1946, pivot!$A$2:$A$1946, endirim!B960)),
  pivot!$D$2:$D$1946)</f>
        <v>26</v>
      </c>
      <c r="E960" s="3" t="str" cm="1">
        <f t="array" ref="E960">_xlfn.XLOOKUP(1,
    (pivot!$A$2:$A$1946=endirim!B960) * (pivot!$D$2:$D$1946 = _xlfn.MAXIFS(pivot!$D$2:$D$1946, pivot!$A$2:$A$1946, endirim!B960)),
    pivot!$B$2:$B$1946)</f>
        <v>HasCreditCard</v>
      </c>
      <c r="F960" s="22">
        <f>_xlfn.MAXIFS(pivot!$D$2:$D$1946, pivot!$A$2:$A$1946, endirim!B960)</f>
        <v>65</v>
      </c>
      <c r="G960" s="3" t="str">
        <f t="shared" si="14"/>
        <v>HasCreditCard Kompaniyasını 20% endirimlə təklif et</v>
      </c>
    </row>
    <row r="961" spans="2:7" x14ac:dyDescent="0.3">
      <c r="B961" t="s">
        <v>1015</v>
      </c>
      <c r="C961" s="3" t="str" cm="1">
        <f t="array" ref="C961">_xlfn.XLOOKUP(1,(pivot!$A$2:$A$1946=Table3[[#This Row],[Müştəri adı]])*(pivot!$C$2:$C$1946=_xlfn.MAXIFS(pivot!$C$2:$C$1946,pivot!$A$2:$A$1946,Table3[[#This Row],[Müştəri adı]])),pivot!$B$2:$B$1946)</f>
        <v>MaritalStatus</v>
      </c>
      <c r="D961" s="22" cm="1">
        <f t="array" ref="D961">_xlfn.XLOOKUP(1,
  (pivot!$A$2:$A$1946=endirim!B961) * (pivot!$C$2:$C$1946 = _xlfn.MAXIFS(pivot!$C$2:$C$1946, pivot!$A$2:$A$1946, endirim!B961)),
  pivot!$D$2:$D$1946)</f>
        <v>29</v>
      </c>
      <c r="E961" s="3" t="str" cm="1">
        <f t="array" ref="E961">_xlfn.XLOOKUP(1,
    (pivot!$A$2:$A$1946=endirim!B961) * (pivot!$D$2:$D$1946 = _xlfn.MAXIFS(pivot!$D$2:$D$1946, pivot!$A$2:$A$1946, endirim!B961)),
    pivot!$B$2:$B$1946)</f>
        <v>MaritalStatus</v>
      </c>
      <c r="F961" s="22">
        <f>_xlfn.MAXIFS(pivot!$D$2:$D$1946, pivot!$A$2:$A$1946, endirim!B961)</f>
        <v>29</v>
      </c>
      <c r="G961" s="3" t="str">
        <f t="shared" si="14"/>
        <v>Təklif yoxdur</v>
      </c>
    </row>
    <row r="962" spans="2:7" x14ac:dyDescent="0.3">
      <c r="B962" t="s">
        <v>1016</v>
      </c>
      <c r="C962" s="3" t="str" cm="1">
        <f t="array" ref="C962">_xlfn.XLOOKUP(1,(pivot!$A$2:$A$1946=Table3[[#This Row],[Müştəri adı]])*(pivot!$C$2:$C$1946=_xlfn.MAXIFS(pivot!$C$2:$C$1946,pivot!$A$2:$A$1946,Table3[[#This Row],[Müştəri adı]])),pivot!$B$2:$B$1946)</f>
        <v>OwnsMotorcycle</v>
      </c>
      <c r="D962" s="22" cm="1">
        <f t="array" ref="D962">_xlfn.XLOOKUP(1,
  (pivot!$A$2:$A$1946=endirim!B962) * (pivot!$C$2:$C$1946 = _xlfn.MAXIFS(pivot!$C$2:$C$1946, pivot!$A$2:$A$1946, endirim!B962)),
  pivot!$D$2:$D$1946)</f>
        <v>14</v>
      </c>
      <c r="E962" s="3" t="str" cm="1">
        <f t="array" ref="E962">_xlfn.XLOOKUP(1,
    (pivot!$A$2:$A$1946=endirim!B962) * (pivot!$D$2:$D$1946 = _xlfn.MAXIFS(pivot!$D$2:$D$1946, pivot!$A$2:$A$1946, endirim!B962)),
    pivot!$B$2:$B$1946)</f>
        <v>HandsetRefurbished</v>
      </c>
      <c r="F962" s="22">
        <f>_xlfn.MAXIFS(pivot!$D$2:$D$1946, pivot!$A$2:$A$1946, endirim!B962)</f>
        <v>26</v>
      </c>
      <c r="G962" s="3" t="str">
        <f t="shared" si="14"/>
        <v>HandsetRefurbished Kompaniyasını 20% endirimlə təklif et</v>
      </c>
    </row>
    <row r="963" spans="2:7" x14ac:dyDescent="0.3">
      <c r="B963" t="s">
        <v>1017</v>
      </c>
      <c r="C963" s="3" t="str" cm="1">
        <f t="array" ref="C963">_xlfn.XLOOKUP(1,(pivot!$A$2:$A$1946=Table3[[#This Row],[Müştəri adı]])*(pivot!$C$2:$C$1946=_xlfn.MAXIFS(pivot!$C$2:$C$1946,pivot!$A$2:$A$1946,Table3[[#This Row],[Müştəri adı]])),pivot!$B$2:$B$1946)</f>
        <v>ChildrenInHH</v>
      </c>
      <c r="D963" s="22" cm="1">
        <f t="array" ref="D963">_xlfn.XLOOKUP(1,
  (pivot!$A$2:$A$1946=endirim!B963) * (pivot!$C$2:$C$1946 = _xlfn.MAXIFS(pivot!$C$2:$C$1946, pivot!$A$2:$A$1946, endirim!B963)),
  pivot!$D$2:$D$1946)</f>
        <v>10</v>
      </c>
      <c r="E963" s="3" t="str" cm="1">
        <f t="array" ref="E963">_xlfn.XLOOKUP(1,
    (pivot!$A$2:$A$1946=endirim!B963) * (pivot!$D$2:$D$1946 = _xlfn.MAXIFS(pivot!$D$2:$D$1946, pivot!$A$2:$A$1946, endirim!B963)),
    pivot!$B$2:$B$1946)</f>
        <v>NonUSTravel</v>
      </c>
      <c r="F963" s="22">
        <f>_xlfn.MAXIFS(pivot!$D$2:$D$1946, pivot!$A$2:$A$1946, endirim!B963)</f>
        <v>66</v>
      </c>
      <c r="G963" s="3" t="str">
        <f t="shared" si="14"/>
        <v>NonUSTravel Kompaniyasını 20% endirimlə təklif et</v>
      </c>
    </row>
    <row r="964" spans="2:7" x14ac:dyDescent="0.3">
      <c r="B964" t="s">
        <v>1018</v>
      </c>
      <c r="C964" s="3" t="str" cm="1">
        <f t="array" ref="C964">_xlfn.XLOOKUP(1,(pivot!$A$2:$A$1946=Table3[[#This Row],[Müştəri adı]])*(pivot!$C$2:$C$1946=_xlfn.MAXIFS(pivot!$C$2:$C$1946,pivot!$A$2:$A$1946,Table3[[#This Row],[Müştəri adı]])),pivot!$B$2:$B$1946)</f>
        <v>OwnsMotorcycle</v>
      </c>
      <c r="D964" s="22" cm="1">
        <f t="array" ref="D964">_xlfn.XLOOKUP(1,
  (pivot!$A$2:$A$1946=endirim!B964) * (pivot!$C$2:$C$1946 = _xlfn.MAXIFS(pivot!$C$2:$C$1946, pivot!$A$2:$A$1946, endirim!B964)),
  pivot!$D$2:$D$1946)</f>
        <v>14</v>
      </c>
      <c r="E964" s="3" t="str" cm="1">
        <f t="array" ref="E964">_xlfn.XLOOKUP(1,
    (pivot!$A$2:$A$1946=endirim!B964) * (pivot!$D$2:$D$1946 = _xlfn.MAXIFS(pivot!$D$2:$D$1946, pivot!$A$2:$A$1946, endirim!B964)),
    pivot!$B$2:$B$1946)</f>
        <v>RVOwner</v>
      </c>
      <c r="F964" s="22">
        <f>_xlfn.MAXIFS(pivot!$D$2:$D$1946, pivot!$A$2:$A$1946, endirim!B964)</f>
        <v>22</v>
      </c>
      <c r="G964" s="3" t="str">
        <f t="shared" ref="G964:G975" si="15">IF(D964=F964, "Təklif yoxdur", E964&amp;" Kompaniyasını 20% endirimlə təklif et")</f>
        <v>RVOwner Kompaniyasını 20% endirimlə təklif et</v>
      </c>
    </row>
    <row r="965" spans="2:7" x14ac:dyDescent="0.3">
      <c r="B965" t="s">
        <v>1019</v>
      </c>
      <c r="C965" s="3" t="str" cm="1">
        <f t="array" ref="C965">_xlfn.XLOOKUP(1,(pivot!$A$2:$A$1946=Table3[[#This Row],[Müştəri adı]])*(pivot!$C$2:$C$1946=_xlfn.MAXIFS(pivot!$C$2:$C$1946,pivot!$A$2:$A$1946,Table3[[#This Row],[Müştəri adı]])),pivot!$B$2:$B$1946)</f>
        <v>MadeCallToRetentionTeam</v>
      </c>
      <c r="D965" s="22" cm="1">
        <f t="array" ref="D965">_xlfn.XLOOKUP(1,
  (pivot!$A$2:$A$1946=endirim!B965) * (pivot!$C$2:$C$1946 = _xlfn.MAXIFS(pivot!$C$2:$C$1946, pivot!$A$2:$A$1946, endirim!B965)),
  pivot!$D$2:$D$1946)</f>
        <v>16</v>
      </c>
      <c r="E965" s="3" t="str" cm="1">
        <f t="array" ref="E965">_xlfn.XLOOKUP(1,
    (pivot!$A$2:$A$1946=endirim!B965) * (pivot!$D$2:$D$1946 = _xlfn.MAXIFS(pivot!$D$2:$D$1946, pivot!$A$2:$A$1946, endirim!B965)),
    pivot!$B$2:$B$1946)</f>
        <v>NotNewCellphoneUser</v>
      </c>
      <c r="F965" s="22">
        <f>_xlfn.MAXIFS(pivot!$D$2:$D$1946, pivot!$A$2:$A$1946, endirim!B965)</f>
        <v>28</v>
      </c>
      <c r="G965" s="3" t="str">
        <f t="shared" si="15"/>
        <v>NotNewCellphoneUser Kompaniyasını 20% endirimlə təklif et</v>
      </c>
    </row>
    <row r="966" spans="2:7" x14ac:dyDescent="0.3">
      <c r="B966" t="s">
        <v>1020</v>
      </c>
      <c r="C966" s="3" t="str" cm="1">
        <f t="array" ref="C966">_xlfn.XLOOKUP(1,(pivot!$A$2:$A$1946=Table3[[#This Row],[Müştəri adı]])*(pivot!$C$2:$C$1946=_xlfn.MAXIFS(pivot!$C$2:$C$1946,pivot!$A$2:$A$1946,Table3[[#This Row],[Müştəri adı]])),pivot!$B$2:$B$1946)</f>
        <v>MaritalStatus</v>
      </c>
      <c r="D966" s="22" cm="1">
        <f t="array" ref="D966">_xlfn.XLOOKUP(1,
  (pivot!$A$2:$A$1946=endirim!B966) * (pivot!$C$2:$C$1946 = _xlfn.MAXIFS(pivot!$C$2:$C$1946, pivot!$A$2:$A$1946, endirim!B966)),
  pivot!$D$2:$D$1946)</f>
        <v>29</v>
      </c>
      <c r="E966" s="3" t="str" cm="1">
        <f t="array" ref="E966">_xlfn.XLOOKUP(1,
    (pivot!$A$2:$A$1946=endirim!B966) * (pivot!$D$2:$D$1946 = _xlfn.MAXIFS(pivot!$D$2:$D$1946, pivot!$A$2:$A$1946, endirim!B966)),
    pivot!$B$2:$B$1946)</f>
        <v>HasCreditCard</v>
      </c>
      <c r="F966" s="22">
        <f>_xlfn.MAXIFS(pivot!$D$2:$D$1946, pivot!$A$2:$A$1946, endirim!B966)</f>
        <v>65</v>
      </c>
      <c r="G966" s="3" t="str">
        <f t="shared" si="15"/>
        <v>HasCreditCard Kompaniyasını 20% endirimlə təklif et</v>
      </c>
    </row>
    <row r="967" spans="2:7" x14ac:dyDescent="0.3">
      <c r="B967" t="s">
        <v>1021</v>
      </c>
      <c r="C967" s="3" t="str" cm="1">
        <f t="array" ref="C967">_xlfn.XLOOKUP(1,(pivot!$A$2:$A$1946=Table3[[#This Row],[Müştəri adı]])*(pivot!$C$2:$C$1946=_xlfn.MAXIFS(pivot!$C$2:$C$1946,pivot!$A$2:$A$1946,Table3[[#This Row],[Müştəri adı]])),pivot!$B$2:$B$1946)</f>
        <v>OwnsMotorcycle</v>
      </c>
      <c r="D967" s="22" cm="1">
        <f t="array" ref="D967">_xlfn.XLOOKUP(1,
  (pivot!$A$2:$A$1946=endirim!B967) * (pivot!$C$2:$C$1946 = _xlfn.MAXIFS(pivot!$C$2:$C$1946, pivot!$A$2:$A$1946, endirim!B967)),
  pivot!$D$2:$D$1946)</f>
        <v>14</v>
      </c>
      <c r="E967" s="3" t="str" cm="1">
        <f t="array" ref="E967">_xlfn.XLOOKUP(1,
    (pivot!$A$2:$A$1946=endirim!B967) * (pivot!$D$2:$D$1946 = _xlfn.MAXIFS(pivot!$D$2:$D$1946, pivot!$A$2:$A$1946, endirim!B967)),
    pivot!$B$2:$B$1946)</f>
        <v>OwnsMotorcycle</v>
      </c>
      <c r="F967" s="22">
        <f>_xlfn.MAXIFS(pivot!$D$2:$D$1946, pivot!$A$2:$A$1946, endirim!B967)</f>
        <v>14</v>
      </c>
      <c r="G967" s="3" t="str">
        <f t="shared" si="15"/>
        <v>Təklif yoxdur</v>
      </c>
    </row>
    <row r="968" spans="2:7" x14ac:dyDescent="0.3">
      <c r="B968" t="s">
        <v>1022</v>
      </c>
      <c r="C968" s="3" t="str" cm="1">
        <f t="array" ref="C968">_xlfn.XLOOKUP(1,(pivot!$A$2:$A$1946=Table3[[#This Row],[Müştəri adı]])*(pivot!$C$2:$C$1946=_xlfn.MAXIFS(pivot!$C$2:$C$1946,pivot!$A$2:$A$1946,Table3[[#This Row],[Müştəri adı]])),pivot!$B$2:$B$1946)</f>
        <v>OptOutMailings</v>
      </c>
      <c r="D968" s="22" cm="1">
        <f t="array" ref="D968">_xlfn.XLOOKUP(1,
  (pivot!$A$2:$A$1946=endirim!B968) * (pivot!$C$2:$C$1946 = _xlfn.MAXIFS(pivot!$C$2:$C$1946, pivot!$A$2:$A$1946, endirim!B968)),
  pivot!$D$2:$D$1946)</f>
        <v>75</v>
      </c>
      <c r="E968" s="3" t="str" cm="1">
        <f t="array" ref="E968">_xlfn.XLOOKUP(1,
    (pivot!$A$2:$A$1946=endirim!B968) * (pivot!$D$2:$D$1946 = _xlfn.MAXIFS(pivot!$D$2:$D$1946, pivot!$A$2:$A$1946, endirim!B968)),
    pivot!$B$2:$B$1946)</f>
        <v>OptOutMailings</v>
      </c>
      <c r="F968" s="22">
        <f>_xlfn.MAXIFS(pivot!$D$2:$D$1946, pivot!$A$2:$A$1946, endirim!B968)</f>
        <v>75</v>
      </c>
      <c r="G968" s="3" t="str">
        <f t="shared" si="15"/>
        <v>Təklif yoxdur</v>
      </c>
    </row>
    <row r="969" spans="2:7" x14ac:dyDescent="0.3">
      <c r="B969" t="s">
        <v>1023</v>
      </c>
      <c r="C969" s="3" t="str" cm="1">
        <f t="array" ref="C969">_xlfn.XLOOKUP(1,(pivot!$A$2:$A$1946=Table3[[#This Row],[Müştəri adı]])*(pivot!$C$2:$C$1946=_xlfn.MAXIFS(pivot!$C$2:$C$1946,pivot!$A$2:$A$1946,Table3[[#This Row],[Müştəri adı]])),pivot!$B$2:$B$1946)</f>
        <v>NewCellphoneUser</v>
      </c>
      <c r="D969" s="22" cm="1">
        <f t="array" ref="D969">_xlfn.XLOOKUP(1,
  (pivot!$A$2:$A$1946=endirim!B969) * (pivot!$C$2:$C$1946 = _xlfn.MAXIFS(pivot!$C$2:$C$1946, pivot!$A$2:$A$1946, endirim!B969)),
  pivot!$D$2:$D$1946)</f>
        <v>25</v>
      </c>
      <c r="E969" s="3" t="str" cm="1">
        <f t="array" ref="E969">_xlfn.XLOOKUP(1,
    (pivot!$A$2:$A$1946=endirim!B969) * (pivot!$D$2:$D$1946 = _xlfn.MAXIFS(pivot!$D$2:$D$1946, pivot!$A$2:$A$1946, endirim!B969)),
    pivot!$B$2:$B$1946)</f>
        <v>NewCellphoneUser</v>
      </c>
      <c r="F969" s="22">
        <f>_xlfn.MAXIFS(pivot!$D$2:$D$1946, pivot!$A$2:$A$1946, endirim!B969)</f>
        <v>25</v>
      </c>
      <c r="G969" s="3" t="str">
        <f t="shared" si="15"/>
        <v>Təklif yoxdur</v>
      </c>
    </row>
    <row r="970" spans="2:7" x14ac:dyDescent="0.3">
      <c r="B970" t="s">
        <v>1024</v>
      </c>
      <c r="C970" s="3" t="str" cm="1">
        <f t="array" ref="C970">_xlfn.XLOOKUP(1,(pivot!$A$2:$A$1946=Table3[[#This Row],[Müştəri adı]])*(pivot!$C$2:$C$1946=_xlfn.MAXIFS(pivot!$C$2:$C$1946,pivot!$A$2:$A$1946,Table3[[#This Row],[Müştəri adı]])),pivot!$B$2:$B$1946)</f>
        <v>RespondsToMailOffers</v>
      </c>
      <c r="D970" s="22" cm="1">
        <f t="array" ref="D970">_xlfn.XLOOKUP(1,
  (pivot!$A$2:$A$1946=endirim!B970) * (pivot!$C$2:$C$1946 = _xlfn.MAXIFS(pivot!$C$2:$C$1946, pivot!$A$2:$A$1946, endirim!B970)),
  pivot!$D$2:$D$1946)</f>
        <v>27</v>
      </c>
      <c r="E970" s="3" t="str" cm="1">
        <f t="array" ref="E970">_xlfn.XLOOKUP(1,
    (pivot!$A$2:$A$1946=endirim!B970) * (pivot!$D$2:$D$1946 = _xlfn.MAXIFS(pivot!$D$2:$D$1946, pivot!$A$2:$A$1946, endirim!B970)),
    pivot!$B$2:$B$1946)</f>
        <v>HandsetWebCapable</v>
      </c>
      <c r="F970" s="22">
        <f>_xlfn.MAXIFS(pivot!$D$2:$D$1946, pivot!$A$2:$A$1946, endirim!B970)</f>
        <v>62</v>
      </c>
      <c r="G970" s="3" t="str">
        <f t="shared" si="15"/>
        <v>HandsetWebCapable Kompaniyasını 20% endirimlə təklif et</v>
      </c>
    </row>
    <row r="971" spans="2:7" x14ac:dyDescent="0.3">
      <c r="B971" t="s">
        <v>1025</v>
      </c>
      <c r="C971" s="3" t="str" cm="1">
        <f t="array" ref="C971">_xlfn.XLOOKUP(1,(pivot!$A$2:$A$1946=Table3[[#This Row],[Müştəri adı]])*(pivot!$C$2:$C$1946=_xlfn.MAXIFS(pivot!$C$2:$C$1946,pivot!$A$2:$A$1946,Table3[[#This Row],[Müştəri adı]])),pivot!$B$2:$B$1946)</f>
        <v>MadeCallToRetentionTeam</v>
      </c>
      <c r="D971" s="22" cm="1">
        <f t="array" ref="D971">_xlfn.XLOOKUP(1,
  (pivot!$A$2:$A$1946=endirim!B971) * (pivot!$C$2:$C$1946 = _xlfn.MAXIFS(pivot!$C$2:$C$1946, pivot!$A$2:$A$1946, endirim!B971)),
  pivot!$D$2:$D$1946)</f>
        <v>16</v>
      </c>
      <c r="E971" s="3" t="str" cm="1">
        <f t="array" ref="E971">_xlfn.XLOOKUP(1,
    (pivot!$A$2:$A$1946=endirim!B971) * (pivot!$D$2:$D$1946 = _xlfn.MAXIFS(pivot!$D$2:$D$1946, pivot!$A$2:$A$1946, endirim!B971)),
    pivot!$B$2:$B$1946)</f>
        <v>MadeCallToRetentionTeam</v>
      </c>
      <c r="F971" s="22">
        <f>_xlfn.MAXIFS(pivot!$D$2:$D$1946, pivot!$A$2:$A$1946, endirim!B971)</f>
        <v>16</v>
      </c>
      <c r="G971" s="3" t="str">
        <f t="shared" si="15"/>
        <v>Təklif yoxdur</v>
      </c>
    </row>
    <row r="972" spans="2:7" x14ac:dyDescent="0.3">
      <c r="B972" t="s">
        <v>1026</v>
      </c>
      <c r="C972" s="3" t="str" cm="1">
        <f t="array" ref="C972">_xlfn.XLOOKUP(1,(pivot!$A$2:$A$1946=Table3[[#This Row],[Müştəri adı]])*(pivot!$C$2:$C$1946=_xlfn.MAXIFS(pivot!$C$2:$C$1946,pivot!$A$2:$A$1946,Table3[[#This Row],[Müştəri adı]])),pivot!$B$2:$B$1946)</f>
        <v>MadeCallToRetentionTeam</v>
      </c>
      <c r="D972" s="22" cm="1">
        <f t="array" ref="D972">_xlfn.XLOOKUP(1,
  (pivot!$A$2:$A$1946=endirim!B972) * (pivot!$C$2:$C$1946 = _xlfn.MAXIFS(pivot!$C$2:$C$1946, pivot!$A$2:$A$1946, endirim!B972)),
  pivot!$D$2:$D$1946)</f>
        <v>16</v>
      </c>
      <c r="E972" s="3" t="str" cm="1">
        <f t="array" ref="E972">_xlfn.XLOOKUP(1,
    (pivot!$A$2:$A$1946=endirim!B972) * (pivot!$D$2:$D$1946 = _xlfn.MAXIFS(pivot!$D$2:$D$1946, pivot!$A$2:$A$1946, endirim!B972)),
    pivot!$B$2:$B$1946)</f>
        <v>OwnsComputer</v>
      </c>
      <c r="F972" s="22">
        <f>_xlfn.MAXIFS(pivot!$D$2:$D$1946, pivot!$A$2:$A$1946, endirim!B972)</f>
        <v>62</v>
      </c>
      <c r="G972" s="3" t="str">
        <f t="shared" si="15"/>
        <v>OwnsComputer Kompaniyasını 20% endirimlə təklif et</v>
      </c>
    </row>
    <row r="973" spans="2:7" x14ac:dyDescent="0.3">
      <c r="B973" t="s">
        <v>1027</v>
      </c>
      <c r="C973" s="3" t="str" cm="1">
        <f t="array" ref="C973">_xlfn.XLOOKUP(1,(pivot!$A$2:$A$1946=Table3[[#This Row],[Müştəri adı]])*(pivot!$C$2:$C$1946=_xlfn.MAXIFS(pivot!$C$2:$C$1946,pivot!$A$2:$A$1946,Table3[[#This Row],[Müştəri adı]])),pivot!$B$2:$B$1946)</f>
        <v>TruckOwner</v>
      </c>
      <c r="D973" s="22" cm="1">
        <f t="array" ref="D973">_xlfn.XLOOKUP(1,
  (pivot!$A$2:$A$1946=endirim!B973) * (pivot!$C$2:$C$1946 = _xlfn.MAXIFS(pivot!$C$2:$C$1946, pivot!$A$2:$A$1946, endirim!B973)),
  pivot!$D$2:$D$1946)</f>
        <v>26</v>
      </c>
      <c r="E973" s="3" t="str" cm="1">
        <f t="array" ref="E973">_xlfn.XLOOKUP(1,
    (pivot!$A$2:$A$1946=endirim!B973) * (pivot!$D$2:$D$1946 = _xlfn.MAXIFS(pivot!$D$2:$D$1946, pivot!$A$2:$A$1946, endirim!B973)),
    pivot!$B$2:$B$1946)</f>
        <v>TruckOwner</v>
      </c>
      <c r="F973" s="22">
        <f>_xlfn.MAXIFS(pivot!$D$2:$D$1946, pivot!$A$2:$A$1946, endirim!B973)</f>
        <v>26</v>
      </c>
      <c r="G973" s="3" t="str">
        <f t="shared" si="15"/>
        <v>Təklif yoxdur</v>
      </c>
    </row>
    <row r="974" spans="2:7" x14ac:dyDescent="0.3">
      <c r="B974" t="s">
        <v>1028</v>
      </c>
      <c r="C974" s="3" t="str" cm="1">
        <f t="array" ref="C974">_xlfn.XLOOKUP(1,(pivot!$A$2:$A$1946=Table3[[#This Row],[Müştəri adı]])*(pivot!$C$2:$C$1946=_xlfn.MAXIFS(pivot!$C$2:$C$1946,pivot!$A$2:$A$1946,Table3[[#This Row],[Müştəri adı]])),pivot!$B$2:$B$1946)</f>
        <v>TruckOwner</v>
      </c>
      <c r="D974" s="22" cm="1">
        <f t="array" ref="D974">_xlfn.XLOOKUP(1,
  (pivot!$A$2:$A$1946=endirim!B974) * (pivot!$C$2:$C$1946 = _xlfn.MAXIFS(pivot!$C$2:$C$1946, pivot!$A$2:$A$1946, endirim!B974)),
  pivot!$D$2:$D$1946)</f>
        <v>26</v>
      </c>
      <c r="E974" s="3" t="str" cm="1">
        <f t="array" ref="E974">_xlfn.XLOOKUP(1,
    (pivot!$A$2:$A$1946=endirim!B974) * (pivot!$D$2:$D$1946 = _xlfn.MAXIFS(pivot!$D$2:$D$1946, pivot!$A$2:$A$1946, endirim!B974)),
    pivot!$B$2:$B$1946)</f>
        <v>NonUSTravel</v>
      </c>
      <c r="F974" s="22">
        <f>_xlfn.MAXIFS(pivot!$D$2:$D$1946, pivot!$A$2:$A$1946, endirim!B974)</f>
        <v>66</v>
      </c>
      <c r="G974" s="3" t="str">
        <f t="shared" si="15"/>
        <v>NonUSTravel Kompaniyasını 20% endirimlə təklif et</v>
      </c>
    </row>
    <row r="975" spans="2:7" x14ac:dyDescent="0.3">
      <c r="B975" t="s">
        <v>1029</v>
      </c>
      <c r="C975" s="3" t="str" cm="1">
        <f t="array" ref="C975">_xlfn.XLOOKUP(1,(pivot!$A$2:$A$1946=Table3[[#This Row],[Müştəri adı]])*(pivot!$C$2:$C$1946=_xlfn.MAXIFS(pivot!$C$2:$C$1946,pivot!$A$2:$A$1946,Table3[[#This Row],[Müştəri adı]])),pivot!$B$2:$B$1946)</f>
        <v>NewCellphoneUser</v>
      </c>
      <c r="D975" s="22" cm="1">
        <f t="array" ref="D975">_xlfn.XLOOKUP(1,
  (pivot!$A$2:$A$1946=endirim!B975) * (pivot!$C$2:$C$1946 = _xlfn.MAXIFS(pivot!$C$2:$C$1946, pivot!$A$2:$A$1946, endirim!B975)),
  pivot!$D$2:$D$1946)</f>
        <v>25</v>
      </c>
      <c r="E975" s="3" t="str" cm="1">
        <f t="array" ref="E975">_xlfn.XLOOKUP(1,
    (pivot!$A$2:$A$1946=endirim!B975) * (pivot!$D$2:$D$1946 = _xlfn.MAXIFS(pivot!$D$2:$D$1946, pivot!$A$2:$A$1946, endirim!B975)),
    pivot!$B$2:$B$1946)</f>
        <v>OwnsComputer</v>
      </c>
      <c r="F975" s="22">
        <f>_xlfn.MAXIFS(pivot!$D$2:$D$1946, pivot!$A$2:$A$1946, endirim!B975)</f>
        <v>62</v>
      </c>
      <c r="G975" s="3" t="str">
        <f t="shared" si="15"/>
        <v>OwnsComputer Kompaniyasını 20% endirimlə təklif et</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3FFE57D-42D8-47E6-A21E-02C3E2F5CF1A}">
  <ds:schemaRefs>
    <ds:schemaRef ds:uri="http://schemas.microsoft.com/DataMashup"/>
  </ds:schemaRefs>
</ds:datastoreItem>
</file>

<file path=customXml/itemProps2.xml><?xml version="1.0" encoding="utf-8"?>
<ds:datastoreItem xmlns:ds="http://schemas.openxmlformats.org/officeDocument/2006/customXml" ds:itemID="{0F775527-A0C2-4569-B760-E5B216060661}">
  <ds:schemaRefs/>
</ds:datastoreItem>
</file>

<file path=customXml/itemProps3.xml><?xml version="1.0" encoding="utf-8"?>
<ds:datastoreItem xmlns:ds="http://schemas.openxmlformats.org/officeDocument/2006/customXml" ds:itemID="{6C6EBD44-0695-4923-A28B-01FEDA2C97EB}">
  <ds:schemaRefs/>
</ds:datastoreItem>
</file>

<file path=customXml/itemProps4.xml><?xml version="1.0" encoding="utf-8"?>
<ds:datastoreItem xmlns:ds="http://schemas.openxmlformats.org/officeDocument/2006/customXml" ds:itemID="{EE987C9B-1D61-401B-8999-F0D7772FF244}">
  <ds:schemaRefs/>
</ds:datastoreItem>
</file>

<file path=customXml/itemProps5.xml><?xml version="1.0" encoding="utf-8"?>
<ds:datastoreItem xmlns:ds="http://schemas.openxmlformats.org/officeDocument/2006/customXml" ds:itemID="{CB83A025-9676-4AB6-8B14-433C950BEFC7}">
  <ds:schemaRefs/>
</ds:datastoreItem>
</file>

<file path=customXml/itemProps6.xml><?xml version="1.0" encoding="utf-8"?>
<ds:datastoreItem xmlns:ds="http://schemas.openxmlformats.org/officeDocument/2006/customXml" ds:itemID="{4CD1FFDA-2C26-4812-BE41-C59DD76BB593}">
  <ds:schemaRefs/>
</ds:datastoreItem>
</file>

<file path=customXml/itemProps7.xml><?xml version="1.0" encoding="utf-8"?>
<ds:datastoreItem xmlns:ds="http://schemas.openxmlformats.org/officeDocument/2006/customXml" ds:itemID="{A141C2F6-5B20-47AE-88FC-8A9EE1221D1B}">
  <ds:schemaRefs/>
</ds:datastoreItem>
</file>

<file path=customXml/itemProps8.xml><?xml version="1.0" encoding="utf-8"?>
<ds:datastoreItem xmlns:ds="http://schemas.openxmlformats.org/officeDocument/2006/customXml" ds:itemID="{FC380642-F3DA-434F-86F7-16B498F38D86}">
  <ds:schemaRefs/>
</ds:datastoreItem>
</file>

<file path=customXml/itemProps9.xml><?xml version="1.0" encoding="utf-8"?>
<ds:datastoreItem xmlns:ds="http://schemas.openxmlformats.org/officeDocument/2006/customXml" ds:itemID="{C32CFCF4-7D9F-4C9A-80F3-821A77BDD151}">
  <ds:schemaRefs/>
</ds:datastoreItem>
</file>

<file path=customXml/itemProps10.xml><?xml version="1.0" encoding="utf-8"?>
<ds:datastoreItem xmlns:ds="http://schemas.openxmlformats.org/officeDocument/2006/customXml" ds:itemID="{19BE6D40-B077-4146-ADB5-5B522E17FB1D}">
  <ds:schemaRefs/>
</ds:datastoreItem>
</file>

<file path=customXml/itemProps11.xml><?xml version="1.0" encoding="utf-8"?>
<ds:datastoreItem xmlns:ds="http://schemas.openxmlformats.org/officeDocument/2006/customXml" ds:itemID="{41DC7567-69C5-411E-9503-1A3AF062FEB5}">
  <ds:schemaRefs/>
</ds:datastoreItem>
</file>

<file path=customXml/itemProps12.xml><?xml version="1.0" encoding="utf-8"?>
<ds:datastoreItem xmlns:ds="http://schemas.openxmlformats.org/officeDocument/2006/customXml" ds:itemID="{378F8AA2-826E-4DEA-BE08-DFCA48D27E7E}">
  <ds:schemaRefs/>
</ds:datastoreItem>
</file>

<file path=customXml/itemProps13.xml><?xml version="1.0" encoding="utf-8"?>
<ds:datastoreItem xmlns:ds="http://schemas.openxmlformats.org/officeDocument/2006/customXml" ds:itemID="{A8C32020-7EAD-48A5-BAB1-E5B2351AEFBD}">
  <ds:schemaRefs/>
</ds:datastoreItem>
</file>

<file path=customXml/itemProps14.xml><?xml version="1.0" encoding="utf-8"?>
<ds:datastoreItem xmlns:ds="http://schemas.openxmlformats.org/officeDocument/2006/customXml" ds:itemID="{D05204A3-C97E-4A55-8E18-549B48B11EC9}">
  <ds:schemaRefs/>
</ds:datastoreItem>
</file>

<file path=customXml/itemProps15.xml><?xml version="1.0" encoding="utf-8"?>
<ds:datastoreItem xmlns:ds="http://schemas.openxmlformats.org/officeDocument/2006/customXml" ds:itemID="{5AE1EDF2-C5E0-4BBA-8365-876A7041F684}">
  <ds:schemaRefs/>
</ds:datastoreItem>
</file>

<file path=customXml/itemProps16.xml><?xml version="1.0" encoding="utf-8"?>
<ds:datastoreItem xmlns:ds="http://schemas.openxmlformats.org/officeDocument/2006/customXml" ds:itemID="{E484719A-A2B7-442F-B3CA-564FAD0610E8}">
  <ds:schemaRefs/>
</ds:datastoreItem>
</file>

<file path=customXml/itemProps17.xml><?xml version="1.0" encoding="utf-8"?>
<ds:datastoreItem xmlns:ds="http://schemas.openxmlformats.org/officeDocument/2006/customXml" ds:itemID="{0A221D1B-F47F-433A-A54D-827D4852441E}">
  <ds:schemaRefs/>
</ds:datastoreItem>
</file>

<file path=customXml/itemProps18.xml><?xml version="1.0" encoding="utf-8"?>
<ds:datastoreItem xmlns:ds="http://schemas.openxmlformats.org/officeDocument/2006/customXml" ds:itemID="{D6483D29-9371-49A5-9E56-F4F5D6495A31}">
  <ds:schemaRefs/>
</ds:datastoreItem>
</file>

<file path=customXml/itemProps19.xml><?xml version="1.0" encoding="utf-8"?>
<ds:datastoreItem xmlns:ds="http://schemas.openxmlformats.org/officeDocument/2006/customXml" ds:itemID="{D3BA3712-2651-4EDB-AED2-5CD24AAFFE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Cohort</vt:lpstr>
      <vt:lpstr>Stabillik</vt:lpstr>
      <vt:lpstr>Pareto</vt:lpstr>
      <vt:lpstr>pivot</vt:lpstr>
      <vt:lpstr>endirim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Rufat Ismayilov</dc:creator>
  <cp:lastModifiedBy>Rufat Ismayilov</cp:lastModifiedBy>
  <dcterms:created xsi:type="dcterms:W3CDTF">2026-05-19T09:27:06Z</dcterms:created>
  <dcterms:modified xsi:type="dcterms:W3CDTF">2026-05-19T15:29:18Z</dcterms:modified>
</cp:coreProperties>
</file>